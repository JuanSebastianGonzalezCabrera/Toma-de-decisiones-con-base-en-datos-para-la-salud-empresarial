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8_{10E3FA44-187F-41FA-87B0-6F022631753C}" xr6:coauthVersionLast="47" xr6:coauthVersionMax="47" xr10:uidLastSave="{00000000-0000-0000-0000-000000000000}"/>
  <bookViews>
    <workbookView xWindow="-120" yWindow="-120" windowWidth="29040" windowHeight="15840" xr2:uid="{15A19881-3F91-4906-9C93-2F11C6256A70}"/>
  </bookViews>
  <sheets>
    <sheet name="Metrica" sheetId="2" r:id="rId1"/>
    <sheet name="DATA" sheetId="1" r:id="rId2"/>
  </sheets>
  <externalReferences>
    <externalReference r:id="rId3"/>
  </externalReferences>
  <definedNames>
    <definedName name="_xlnm._FilterDatabase" localSheetId="1" hidden="1">DATA!$E$1:$E$1035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a="1"/>
  <c r="O2" i="2" s="1"/>
  <c r="D2" i="2" a="1"/>
  <c r="D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 i="2" a="1"/>
  <c r="P2" i="2" s="1"/>
  <c r="O3" i="2" a="1"/>
  <c r="O3" i="2" s="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 i="2" a="1"/>
  <c r="N2" i="2" s="1"/>
  <c r="M18" i="2" a="1"/>
  <c r="M18"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 i="2" a="1"/>
  <c r="L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 i="2" a="1"/>
  <c r="K2" i="2" s="1"/>
  <c r="J3" i="2" a="1"/>
  <c r="J3" i="2" s="1"/>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 i="2" a="1"/>
  <c r="J2" i="2" s="1"/>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 i="2" a="1"/>
  <c r="I2" i="2"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 i="2" a="1"/>
  <c r="H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 i="2" a="1"/>
  <c r="G2" i="2" s="1"/>
  <c r="F3" i="2"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 i="2" a="1"/>
  <c r="F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 i="2" a="1"/>
  <c r="E2" i="2" s="1"/>
  <c r="D3" i="2"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P27" i="2" a="1"/>
  <c r="P27" i="2" s="1"/>
  <c r="M27" i="2" a="1"/>
  <c r="M27" i="2" s="1"/>
  <c r="L27" i="2" a="1"/>
  <c r="L27" i="2" s="1"/>
  <c r="K27" i="2" a="1"/>
  <c r="K27" i="2" s="1"/>
  <c r="J27" i="2" a="1"/>
  <c r="J27" i="2" s="1"/>
  <c r="I27" i="2" a="1"/>
  <c r="I27" i="2" s="1"/>
  <c r="H27" i="2" a="1"/>
  <c r="H27" i="2" s="1"/>
  <c r="G27" i="2" a="1"/>
  <c r="G27" i="2" s="1"/>
  <c r="F27" i="2" a="1"/>
  <c r="F27" i="2" s="1"/>
  <c r="E27" i="2" a="1"/>
  <c r="E27" i="2" s="1"/>
  <c r="D27" i="2" a="1"/>
  <c r="D27" i="2" s="1"/>
  <c r="H3" i="1"/>
  <c r="I3" i="1" s="1"/>
  <c r="U1035" i="1"/>
  <c r="R1035" i="1"/>
  <c r="O1035" i="1"/>
  <c r="L1035" i="1"/>
  <c r="A1035" i="1"/>
  <c r="U1034" i="1"/>
  <c r="R1034" i="1"/>
  <c r="O1034" i="1"/>
  <c r="L1034" i="1"/>
  <c r="A1034" i="1"/>
  <c r="U1033" i="1"/>
  <c r="R1033" i="1"/>
  <c r="M12" i="2" s="1" a="1"/>
  <c r="M12" i="2" s="1"/>
  <c r="O1033" i="1"/>
  <c r="A1033" i="1"/>
  <c r="U1032" i="1"/>
  <c r="R1032" i="1"/>
  <c r="O1032" i="1"/>
  <c r="A1032" i="1"/>
  <c r="U1031" i="1"/>
  <c r="R1031" i="1"/>
  <c r="O1031" i="1"/>
  <c r="A1031" i="1"/>
  <c r="U1030" i="1"/>
  <c r="R1030" i="1"/>
  <c r="O1030" i="1"/>
  <c r="A1030" i="1"/>
  <c r="U1029" i="1"/>
  <c r="R1029" i="1"/>
  <c r="O1029" i="1"/>
  <c r="A1029" i="1"/>
  <c r="U1028" i="1"/>
  <c r="R1028" i="1"/>
  <c r="O1028" i="1"/>
  <c r="A1028" i="1"/>
  <c r="U1027" i="1"/>
  <c r="R1027" i="1"/>
  <c r="O1027" i="1"/>
  <c r="A1027" i="1"/>
  <c r="S1026" i="1"/>
  <c r="U1026" i="1" s="1"/>
  <c r="R1026" i="1"/>
  <c r="O1026" i="1"/>
  <c r="A1026" i="1"/>
  <c r="U1025" i="1"/>
  <c r="S1025" i="1"/>
  <c r="R1025" i="1"/>
  <c r="O1025" i="1"/>
  <c r="A1025" i="1"/>
  <c r="S1024" i="1"/>
  <c r="U1024" i="1" s="1"/>
  <c r="R1024" i="1"/>
  <c r="Q1024" i="1"/>
  <c r="I1025" i="1" s="1"/>
  <c r="M1024" i="1"/>
  <c r="O1024" i="1" s="1"/>
  <c r="A1024" i="1"/>
  <c r="U1023" i="1"/>
  <c r="P1023" i="1"/>
  <c r="L1024" i="1" s="1"/>
  <c r="P1024" i="1" s="1"/>
  <c r="L1025" i="1" s="1"/>
  <c r="A1023" i="1"/>
  <c r="U1022" i="1"/>
  <c r="R1022" i="1"/>
  <c r="L1022" i="1"/>
  <c r="A1022" i="1"/>
  <c r="U1021" i="1"/>
  <c r="R1021" i="1"/>
  <c r="L1021" i="1"/>
  <c r="A1021" i="1"/>
  <c r="U1020" i="1"/>
  <c r="R1020" i="1"/>
  <c r="L1020" i="1"/>
  <c r="A1020" i="1"/>
  <c r="U1019" i="1"/>
  <c r="R1019" i="1"/>
  <c r="L1019" i="1"/>
  <c r="A1019" i="1"/>
  <c r="U1018" i="1"/>
  <c r="R1018" i="1"/>
  <c r="L1018" i="1"/>
  <c r="A1018" i="1"/>
  <c r="U1017" i="1"/>
  <c r="R1017" i="1"/>
  <c r="L1017" i="1"/>
  <c r="A1017" i="1"/>
  <c r="U1016" i="1"/>
  <c r="R1016" i="1"/>
  <c r="L1016" i="1"/>
  <c r="A1016" i="1"/>
  <c r="U1015" i="1"/>
  <c r="R1015" i="1"/>
  <c r="L1015" i="1"/>
  <c r="A1015" i="1"/>
  <c r="U1014" i="1"/>
  <c r="R1014" i="1"/>
  <c r="L1014" i="1"/>
  <c r="A1014" i="1"/>
  <c r="U1013" i="1"/>
  <c r="R1013" i="1"/>
  <c r="L1013" i="1"/>
  <c r="A1013" i="1"/>
  <c r="U1012" i="1"/>
  <c r="R1012" i="1"/>
  <c r="L1012" i="1"/>
  <c r="A1012" i="1"/>
  <c r="U1011" i="1"/>
  <c r="R1011" i="1"/>
  <c r="L1011" i="1"/>
  <c r="A1011" i="1"/>
  <c r="U1010" i="1"/>
  <c r="R1010" i="1"/>
  <c r="L1010" i="1"/>
  <c r="A1010" i="1"/>
  <c r="U1009" i="1"/>
  <c r="R1009" i="1"/>
  <c r="L1009" i="1"/>
  <c r="A1009" i="1"/>
  <c r="U1008" i="1"/>
  <c r="R1008" i="1"/>
  <c r="L1008" i="1"/>
  <c r="A1008" i="1"/>
  <c r="U1007" i="1"/>
  <c r="R1007" i="1"/>
  <c r="L1007" i="1"/>
  <c r="A1007" i="1"/>
  <c r="U1006" i="1"/>
  <c r="R1006" i="1"/>
  <c r="L1006" i="1"/>
  <c r="A1006" i="1"/>
  <c r="U1005" i="1"/>
  <c r="R1005" i="1"/>
  <c r="L1005" i="1"/>
  <c r="A1005" i="1"/>
  <c r="U1004" i="1"/>
  <c r="R1004" i="1"/>
  <c r="L1004" i="1"/>
  <c r="A1004" i="1"/>
  <c r="U1003" i="1"/>
  <c r="R1003" i="1"/>
  <c r="L1003" i="1"/>
  <c r="A1003" i="1"/>
  <c r="U1002" i="1"/>
  <c r="R1002" i="1"/>
  <c r="L1002" i="1"/>
  <c r="A1002" i="1"/>
  <c r="U1001" i="1"/>
  <c r="R1001" i="1"/>
  <c r="L1001" i="1"/>
  <c r="A1001" i="1"/>
  <c r="U1000" i="1"/>
  <c r="R1000" i="1"/>
  <c r="L1000" i="1"/>
  <c r="A1000" i="1"/>
  <c r="U999" i="1"/>
  <c r="R999" i="1"/>
  <c r="M19" i="2" s="1" a="1"/>
  <c r="M19" i="2" s="1"/>
  <c r="L999" i="1"/>
  <c r="A999" i="1"/>
  <c r="U998" i="1"/>
  <c r="R998" i="1"/>
  <c r="A998" i="1"/>
  <c r="U997" i="1"/>
  <c r="R997" i="1"/>
  <c r="A997" i="1"/>
  <c r="U996" i="1"/>
  <c r="R996" i="1"/>
  <c r="A996" i="1"/>
  <c r="U995" i="1"/>
  <c r="R995" i="1"/>
  <c r="A995" i="1"/>
  <c r="S994" i="1"/>
  <c r="U994" i="1" s="1"/>
  <c r="R994" i="1"/>
  <c r="A994" i="1"/>
  <c r="U993" i="1"/>
  <c r="R993" i="1"/>
  <c r="A993" i="1"/>
  <c r="U992" i="1"/>
  <c r="S992" i="1"/>
  <c r="R992" i="1"/>
  <c r="A992" i="1"/>
  <c r="U991" i="1"/>
  <c r="S991" i="1"/>
  <c r="R991" i="1"/>
  <c r="I991" i="1"/>
  <c r="A991" i="1"/>
  <c r="U990" i="1"/>
  <c r="S990" i="1"/>
  <c r="R990" i="1"/>
  <c r="A990" i="1"/>
  <c r="U989" i="1"/>
  <c r="S989" i="1"/>
  <c r="R989" i="1"/>
  <c r="A989" i="1"/>
  <c r="S988" i="1"/>
  <c r="U988" i="1" s="1"/>
  <c r="R988" i="1"/>
  <c r="A988" i="1"/>
  <c r="S987" i="1"/>
  <c r="U987" i="1" s="1"/>
  <c r="R987" i="1"/>
  <c r="Q987" i="1"/>
  <c r="Q988" i="1" s="1"/>
  <c r="Q989" i="1" s="1"/>
  <c r="Q990" i="1" s="1"/>
  <c r="Q991" i="1" s="1"/>
  <c r="N987" i="1"/>
  <c r="O987" i="1" s="1"/>
  <c r="G987" i="1"/>
  <c r="G988" i="1" s="1"/>
  <c r="G989" i="1" s="1"/>
  <c r="G990" i="1" s="1"/>
  <c r="G991" i="1" s="1"/>
  <c r="G992" i="1" s="1"/>
  <c r="G993" i="1" s="1"/>
  <c r="G994" i="1" s="1"/>
  <c r="G995" i="1" s="1"/>
  <c r="G996" i="1" s="1"/>
  <c r="G997" i="1" s="1"/>
  <c r="G998" i="1" s="1"/>
  <c r="G999" i="1" s="1"/>
  <c r="G1000" i="1" s="1"/>
  <c r="G1001" i="1" s="1"/>
  <c r="G1002" i="1" s="1"/>
  <c r="G1003" i="1" s="1"/>
  <c r="G1004" i="1" s="1"/>
  <c r="G1005" i="1" s="1"/>
  <c r="G1006" i="1" s="1"/>
  <c r="G1007" i="1" s="1"/>
  <c r="G1008" i="1" s="1"/>
  <c r="G1009" i="1" s="1"/>
  <c r="G1010" i="1" s="1"/>
  <c r="G1011" i="1" s="1"/>
  <c r="G1012" i="1" s="1"/>
  <c r="G1013" i="1" s="1"/>
  <c r="G1014" i="1" s="1"/>
  <c r="G1015" i="1" s="1"/>
  <c r="G1016" i="1" s="1"/>
  <c r="G1017" i="1" s="1"/>
  <c r="G1018" i="1" s="1"/>
  <c r="G1019" i="1" s="1"/>
  <c r="G1020" i="1" s="1"/>
  <c r="G1021" i="1" s="1"/>
  <c r="G1022" i="1" s="1"/>
  <c r="F987" i="1"/>
  <c r="F988" i="1" s="1"/>
  <c r="F989" i="1" s="1"/>
  <c r="F990" i="1" s="1"/>
  <c r="F991" i="1" s="1"/>
  <c r="F992" i="1" s="1"/>
  <c r="F993" i="1" s="1"/>
  <c r="F994" i="1" s="1"/>
  <c r="F995" i="1" s="1"/>
  <c r="F996" i="1" s="1"/>
  <c r="F997" i="1" s="1"/>
  <c r="F998" i="1" s="1"/>
  <c r="F999" i="1" s="1"/>
  <c r="F1000" i="1" s="1"/>
  <c r="F1001" i="1" s="1"/>
  <c r="F1002" i="1" s="1"/>
  <c r="F1003" i="1" s="1"/>
  <c r="F1004" i="1" s="1"/>
  <c r="F1005" i="1" s="1"/>
  <c r="F1006" i="1" s="1"/>
  <c r="F1007" i="1" s="1"/>
  <c r="F1008" i="1" s="1"/>
  <c r="F1009" i="1" s="1"/>
  <c r="F1010" i="1" s="1"/>
  <c r="F1011" i="1" s="1"/>
  <c r="F1012" i="1" s="1"/>
  <c r="F1013" i="1" s="1"/>
  <c r="F1014" i="1" s="1"/>
  <c r="F1015" i="1" s="1"/>
  <c r="F1016" i="1" s="1"/>
  <c r="F1017" i="1" s="1"/>
  <c r="F1018" i="1" s="1"/>
  <c r="F1019" i="1" s="1"/>
  <c r="F1020" i="1" s="1"/>
  <c r="F1021" i="1" s="1"/>
  <c r="F1022" i="1" s="1"/>
  <c r="A987" i="1"/>
  <c r="U986" i="1"/>
  <c r="L986" i="1"/>
  <c r="P986" i="1" s="1"/>
  <c r="L987" i="1" s="1"/>
  <c r="P987" i="1" s="1"/>
  <c r="L988" i="1" s="1"/>
  <c r="A986" i="1"/>
  <c r="U985" i="1"/>
  <c r="R985" i="1"/>
  <c r="L985" i="1"/>
  <c r="A985" i="1"/>
  <c r="U984" i="1"/>
  <c r="R984" i="1"/>
  <c r="L984" i="1"/>
  <c r="A984" i="1"/>
  <c r="U983" i="1"/>
  <c r="R983" i="1"/>
  <c r="L983" i="1"/>
  <c r="A983" i="1"/>
  <c r="U982" i="1"/>
  <c r="R982" i="1"/>
  <c r="L982" i="1"/>
  <c r="A982" i="1"/>
  <c r="U981" i="1"/>
  <c r="R981" i="1"/>
  <c r="L981" i="1"/>
  <c r="A981" i="1"/>
  <c r="U980" i="1"/>
  <c r="R980" i="1"/>
  <c r="L980" i="1"/>
  <c r="A980" i="1"/>
  <c r="U979" i="1"/>
  <c r="R979" i="1"/>
  <c r="L979" i="1"/>
  <c r="A979" i="1"/>
  <c r="U978" i="1"/>
  <c r="R978" i="1"/>
  <c r="L978" i="1"/>
  <c r="A978" i="1"/>
  <c r="U977" i="1"/>
  <c r="R977" i="1"/>
  <c r="L977" i="1"/>
  <c r="A977" i="1"/>
  <c r="U976" i="1"/>
  <c r="R976" i="1"/>
  <c r="L976" i="1"/>
  <c r="A976" i="1"/>
  <c r="U975" i="1"/>
  <c r="R975" i="1"/>
  <c r="L975" i="1"/>
  <c r="A975" i="1"/>
  <c r="U974" i="1"/>
  <c r="R974" i="1"/>
  <c r="L974" i="1"/>
  <c r="A974" i="1"/>
  <c r="U973" i="1"/>
  <c r="R973" i="1"/>
  <c r="L973" i="1"/>
  <c r="A973" i="1"/>
  <c r="U972" i="1"/>
  <c r="R972" i="1"/>
  <c r="L972" i="1"/>
  <c r="A972" i="1"/>
  <c r="U971" i="1"/>
  <c r="R971" i="1"/>
  <c r="L971" i="1"/>
  <c r="A971" i="1"/>
  <c r="U970" i="1"/>
  <c r="R970" i="1"/>
  <c r="L970" i="1"/>
  <c r="A970" i="1"/>
  <c r="U969" i="1"/>
  <c r="R969" i="1"/>
  <c r="L969" i="1"/>
  <c r="A969" i="1"/>
  <c r="U968" i="1"/>
  <c r="R968" i="1"/>
  <c r="L968" i="1"/>
  <c r="A968" i="1"/>
  <c r="U967" i="1"/>
  <c r="R967" i="1"/>
  <c r="L967" i="1"/>
  <c r="A967" i="1"/>
  <c r="U966" i="1"/>
  <c r="R966" i="1"/>
  <c r="L966" i="1"/>
  <c r="A966" i="1"/>
  <c r="U965" i="1"/>
  <c r="R965" i="1"/>
  <c r="L965" i="1"/>
  <c r="A965" i="1"/>
  <c r="U964" i="1"/>
  <c r="R964" i="1"/>
  <c r="L964" i="1"/>
  <c r="A964" i="1"/>
  <c r="U963" i="1"/>
  <c r="R963" i="1"/>
  <c r="L963" i="1"/>
  <c r="A963" i="1"/>
  <c r="U962" i="1"/>
  <c r="R962" i="1"/>
  <c r="A962" i="1"/>
  <c r="U961" i="1"/>
  <c r="R961" i="1"/>
  <c r="M24" i="2" s="1" a="1"/>
  <c r="M24" i="2" s="1"/>
  <c r="A961" i="1"/>
  <c r="S960" i="1"/>
  <c r="R960" i="1"/>
  <c r="A960" i="1"/>
  <c r="U959" i="1"/>
  <c r="R959" i="1"/>
  <c r="A959" i="1"/>
  <c r="U958" i="1"/>
  <c r="R958" i="1"/>
  <c r="A958" i="1"/>
  <c r="U957" i="1"/>
  <c r="R957" i="1"/>
  <c r="A957" i="1"/>
  <c r="S956" i="1"/>
  <c r="R956" i="1"/>
  <c r="A956" i="1"/>
  <c r="U955" i="1"/>
  <c r="S955" i="1"/>
  <c r="R955" i="1"/>
  <c r="A955" i="1"/>
  <c r="S954" i="1"/>
  <c r="R954" i="1"/>
  <c r="A954" i="1"/>
  <c r="U953" i="1"/>
  <c r="R953" i="1"/>
  <c r="P953" i="1"/>
  <c r="L954" i="1" s="1"/>
  <c r="A953" i="1"/>
  <c r="S952" i="1"/>
  <c r="U952" i="1" s="1"/>
  <c r="R952" i="1"/>
  <c r="A952" i="1"/>
  <c r="U951" i="1"/>
  <c r="R951" i="1"/>
  <c r="A951" i="1"/>
  <c r="U950" i="1"/>
  <c r="R950" i="1"/>
  <c r="Q950" i="1"/>
  <c r="Q951" i="1" s="1"/>
  <c r="Q952" i="1" s="1"/>
  <c r="N950" i="1"/>
  <c r="M950" i="1"/>
  <c r="G950" i="1"/>
  <c r="G951" i="1" s="1"/>
  <c r="G952" i="1" s="1"/>
  <c r="G953" i="1" s="1"/>
  <c r="G954" i="1" s="1"/>
  <c r="G955" i="1" s="1"/>
  <c r="G956" i="1" s="1"/>
  <c r="G957" i="1" s="1"/>
  <c r="G958" i="1" s="1"/>
  <c r="G959" i="1" s="1"/>
  <c r="G960" i="1" s="1"/>
  <c r="G961" i="1" s="1"/>
  <c r="G962" i="1" s="1"/>
  <c r="G963" i="1" s="1"/>
  <c r="G964" i="1" s="1"/>
  <c r="G965" i="1" s="1"/>
  <c r="G966" i="1" s="1"/>
  <c r="G967" i="1" s="1"/>
  <c r="G968" i="1" s="1"/>
  <c r="G969" i="1" s="1"/>
  <c r="G970" i="1" s="1"/>
  <c r="G971" i="1" s="1"/>
  <c r="G972" i="1" s="1"/>
  <c r="G973" i="1" s="1"/>
  <c r="G974" i="1" s="1"/>
  <c r="G975" i="1" s="1"/>
  <c r="G976" i="1" s="1"/>
  <c r="G977" i="1" s="1"/>
  <c r="G978" i="1" s="1"/>
  <c r="G979" i="1" s="1"/>
  <c r="G980" i="1" s="1"/>
  <c r="G981" i="1" s="1"/>
  <c r="G982" i="1" s="1"/>
  <c r="G983" i="1" s="1"/>
  <c r="G984" i="1" s="1"/>
  <c r="G985" i="1" s="1"/>
  <c r="F950" i="1"/>
  <c r="F951" i="1" s="1"/>
  <c r="F952" i="1" s="1"/>
  <c r="F953" i="1" s="1"/>
  <c r="F954" i="1" s="1"/>
  <c r="F955" i="1" s="1"/>
  <c r="F956" i="1" s="1"/>
  <c r="F957" i="1" s="1"/>
  <c r="F958" i="1" s="1"/>
  <c r="F959" i="1" s="1"/>
  <c r="F960" i="1" s="1"/>
  <c r="F961" i="1" s="1"/>
  <c r="F962" i="1" s="1"/>
  <c r="F963" i="1" s="1"/>
  <c r="F964" i="1" s="1"/>
  <c r="F965" i="1" s="1"/>
  <c r="F966" i="1" s="1"/>
  <c r="F967" i="1" s="1"/>
  <c r="F968" i="1" s="1"/>
  <c r="F969" i="1" s="1"/>
  <c r="F970" i="1" s="1"/>
  <c r="F971" i="1" s="1"/>
  <c r="F972" i="1" s="1"/>
  <c r="F973" i="1" s="1"/>
  <c r="F974" i="1" s="1"/>
  <c r="F975" i="1" s="1"/>
  <c r="F976" i="1" s="1"/>
  <c r="F977" i="1" s="1"/>
  <c r="F978" i="1" s="1"/>
  <c r="F979" i="1" s="1"/>
  <c r="F980" i="1" s="1"/>
  <c r="F981" i="1" s="1"/>
  <c r="F982" i="1" s="1"/>
  <c r="F983" i="1" s="1"/>
  <c r="F984" i="1" s="1"/>
  <c r="F985" i="1" s="1"/>
  <c r="A950" i="1"/>
  <c r="U949" i="1"/>
  <c r="L949" i="1"/>
  <c r="P949" i="1" s="1"/>
  <c r="L950" i="1" s="1"/>
  <c r="P950" i="1" s="1"/>
  <c r="L951" i="1" s="1"/>
  <c r="P951" i="1" s="1"/>
  <c r="L952" i="1" s="1"/>
  <c r="A949" i="1"/>
  <c r="U948" i="1"/>
  <c r="R948" i="1"/>
  <c r="L948" i="1"/>
  <c r="P948" i="1" s="1"/>
  <c r="A948" i="1"/>
  <c r="U947" i="1"/>
  <c r="R947" i="1"/>
  <c r="L947" i="1"/>
  <c r="P947" i="1" s="1"/>
  <c r="A947" i="1"/>
  <c r="U946" i="1"/>
  <c r="R946" i="1"/>
  <c r="L946" i="1"/>
  <c r="P946" i="1" s="1"/>
  <c r="A946" i="1"/>
  <c r="U945" i="1"/>
  <c r="R945" i="1"/>
  <c r="L945" i="1"/>
  <c r="P945" i="1" s="1"/>
  <c r="A945" i="1"/>
  <c r="U944" i="1"/>
  <c r="R944" i="1"/>
  <c r="P944" i="1"/>
  <c r="L944" i="1"/>
  <c r="A944" i="1"/>
  <c r="U943" i="1"/>
  <c r="R943" i="1"/>
  <c r="L943" i="1"/>
  <c r="P943" i="1" s="1"/>
  <c r="A943" i="1"/>
  <c r="U942" i="1"/>
  <c r="R942" i="1"/>
  <c r="L942" i="1"/>
  <c r="P942" i="1" s="1"/>
  <c r="A942" i="1"/>
  <c r="U941" i="1"/>
  <c r="R941" i="1"/>
  <c r="L941" i="1"/>
  <c r="P941" i="1" s="1"/>
  <c r="A941" i="1"/>
  <c r="U940" i="1"/>
  <c r="R940" i="1"/>
  <c r="L940" i="1"/>
  <c r="P940" i="1" s="1"/>
  <c r="A940" i="1"/>
  <c r="U939" i="1"/>
  <c r="R939" i="1"/>
  <c r="L939" i="1"/>
  <c r="P939" i="1" s="1"/>
  <c r="A939" i="1"/>
  <c r="U938" i="1"/>
  <c r="R938" i="1"/>
  <c r="L938" i="1"/>
  <c r="P938" i="1" s="1"/>
  <c r="A938" i="1"/>
  <c r="U937" i="1"/>
  <c r="R937" i="1"/>
  <c r="L937" i="1"/>
  <c r="P937" i="1" s="1"/>
  <c r="A937" i="1"/>
  <c r="U936" i="1"/>
  <c r="R936" i="1"/>
  <c r="L936" i="1"/>
  <c r="P936" i="1" s="1"/>
  <c r="A936" i="1"/>
  <c r="U935" i="1"/>
  <c r="R935" i="1"/>
  <c r="L935" i="1"/>
  <c r="P935" i="1" s="1"/>
  <c r="A935" i="1"/>
  <c r="U934" i="1"/>
  <c r="R934" i="1"/>
  <c r="L934" i="1"/>
  <c r="P934" i="1" s="1"/>
  <c r="A934" i="1"/>
  <c r="U933" i="1"/>
  <c r="R933" i="1"/>
  <c r="L933" i="1"/>
  <c r="P933" i="1" s="1"/>
  <c r="A933" i="1"/>
  <c r="U932" i="1"/>
  <c r="R932" i="1"/>
  <c r="L932" i="1"/>
  <c r="P932" i="1" s="1"/>
  <c r="A932" i="1"/>
  <c r="U931" i="1"/>
  <c r="R931" i="1"/>
  <c r="L931" i="1"/>
  <c r="P931" i="1" s="1"/>
  <c r="A931" i="1"/>
  <c r="U930" i="1"/>
  <c r="R930" i="1"/>
  <c r="L930" i="1"/>
  <c r="P930" i="1" s="1"/>
  <c r="A930" i="1"/>
  <c r="U929" i="1"/>
  <c r="R929" i="1"/>
  <c r="L929" i="1"/>
  <c r="P929" i="1" s="1"/>
  <c r="A929" i="1"/>
  <c r="U928" i="1"/>
  <c r="R928" i="1"/>
  <c r="L928" i="1"/>
  <c r="P928" i="1" s="1"/>
  <c r="A928" i="1"/>
  <c r="U927" i="1"/>
  <c r="R927" i="1"/>
  <c r="L927" i="1"/>
  <c r="P927" i="1" s="1"/>
  <c r="A927" i="1"/>
  <c r="U926" i="1"/>
  <c r="R926" i="1"/>
  <c r="L926" i="1"/>
  <c r="P926" i="1" s="1"/>
  <c r="A926" i="1"/>
  <c r="U925" i="1"/>
  <c r="R925" i="1"/>
  <c r="L925" i="1"/>
  <c r="P925" i="1" s="1"/>
  <c r="A925" i="1"/>
  <c r="U924" i="1"/>
  <c r="R924" i="1"/>
  <c r="L924" i="1"/>
  <c r="P924" i="1" s="1"/>
  <c r="A924" i="1"/>
  <c r="U923" i="1"/>
  <c r="R923" i="1"/>
  <c r="L923" i="1"/>
  <c r="P923" i="1" s="1"/>
  <c r="A923" i="1"/>
  <c r="U922" i="1"/>
  <c r="R922" i="1"/>
  <c r="L922" i="1"/>
  <c r="P922" i="1" s="1"/>
  <c r="A922" i="1"/>
  <c r="U921" i="1"/>
  <c r="R921" i="1"/>
  <c r="L921" i="1"/>
  <c r="P921" i="1" s="1"/>
  <c r="A921" i="1"/>
  <c r="U920" i="1"/>
  <c r="R920" i="1"/>
  <c r="L920" i="1"/>
  <c r="P920" i="1" s="1"/>
  <c r="A920" i="1"/>
  <c r="U919" i="1"/>
  <c r="R919" i="1"/>
  <c r="L919" i="1"/>
  <c r="P919" i="1" s="1"/>
  <c r="A919" i="1"/>
  <c r="U918" i="1"/>
  <c r="R918" i="1"/>
  <c r="L918" i="1"/>
  <c r="P918" i="1" s="1"/>
  <c r="A918" i="1"/>
  <c r="U917" i="1"/>
  <c r="R917" i="1"/>
  <c r="L917" i="1"/>
  <c r="P917" i="1" s="1"/>
  <c r="A917" i="1"/>
  <c r="U916" i="1"/>
  <c r="R916" i="1"/>
  <c r="L916" i="1"/>
  <c r="P916" i="1" s="1"/>
  <c r="A916" i="1"/>
  <c r="U915" i="1"/>
  <c r="R915" i="1"/>
  <c r="L915" i="1"/>
  <c r="P915" i="1" s="1"/>
  <c r="A915" i="1"/>
  <c r="U914" i="1"/>
  <c r="R914" i="1"/>
  <c r="L914" i="1"/>
  <c r="P914" i="1" s="1"/>
  <c r="A914" i="1"/>
  <c r="U913" i="1"/>
  <c r="R913" i="1"/>
  <c r="M20" i="2" s="1" a="1"/>
  <c r="M20" i="2" s="1"/>
  <c r="L913" i="1"/>
  <c r="P913" i="1" s="1"/>
  <c r="A913" i="1"/>
  <c r="U912" i="1"/>
  <c r="R912" i="1"/>
  <c r="A912" i="1"/>
  <c r="U911" i="1"/>
  <c r="R911" i="1"/>
  <c r="A911" i="1"/>
  <c r="U910" i="1"/>
  <c r="R910" i="1"/>
  <c r="A910" i="1"/>
  <c r="S909" i="1"/>
  <c r="U909" i="1" s="1"/>
  <c r="R909" i="1"/>
  <c r="A909" i="1"/>
  <c r="U908" i="1"/>
  <c r="R908" i="1"/>
  <c r="A908" i="1"/>
  <c r="U907" i="1"/>
  <c r="R907" i="1"/>
  <c r="A907" i="1"/>
  <c r="U906" i="1"/>
  <c r="R906" i="1"/>
  <c r="I906" i="1"/>
  <c r="A906" i="1"/>
  <c r="U905" i="1"/>
  <c r="R905" i="1"/>
  <c r="A905" i="1"/>
  <c r="U904" i="1"/>
  <c r="R904" i="1"/>
  <c r="A904" i="1"/>
  <c r="U903" i="1"/>
  <c r="R903" i="1"/>
  <c r="A903" i="1"/>
  <c r="U902" i="1"/>
  <c r="R902" i="1"/>
  <c r="A902" i="1"/>
  <c r="U901" i="1"/>
  <c r="R901" i="1"/>
  <c r="Q901" i="1"/>
  <c r="N901" i="1"/>
  <c r="M901" i="1"/>
  <c r="G901" i="1"/>
  <c r="G902" i="1" s="1"/>
  <c r="G903" i="1" s="1"/>
  <c r="G904" i="1" s="1"/>
  <c r="G905" i="1" s="1"/>
  <c r="G906" i="1" s="1"/>
  <c r="G907" i="1" s="1"/>
  <c r="G908" i="1" s="1"/>
  <c r="G909" i="1" s="1"/>
  <c r="G910" i="1" s="1"/>
  <c r="G911" i="1" s="1"/>
  <c r="G912" i="1" s="1"/>
  <c r="G913" i="1" s="1"/>
  <c r="G914" i="1" s="1"/>
  <c r="G915" i="1" s="1"/>
  <c r="G916" i="1" s="1"/>
  <c r="G917" i="1" s="1"/>
  <c r="G918" i="1" s="1"/>
  <c r="G919" i="1" s="1"/>
  <c r="G920" i="1" s="1"/>
  <c r="G921" i="1" s="1"/>
  <c r="G922" i="1" s="1"/>
  <c r="G923" i="1" s="1"/>
  <c r="G924" i="1" s="1"/>
  <c r="G925" i="1" s="1"/>
  <c r="G926" i="1" s="1"/>
  <c r="G927" i="1" s="1"/>
  <c r="G928" i="1" s="1"/>
  <c r="G929" i="1" s="1"/>
  <c r="G930" i="1" s="1"/>
  <c r="G931" i="1" s="1"/>
  <c r="G932" i="1" s="1"/>
  <c r="G933" i="1" s="1"/>
  <c r="G934" i="1" s="1"/>
  <c r="G935" i="1" s="1"/>
  <c r="G936" i="1" s="1"/>
  <c r="G937" i="1" s="1"/>
  <c r="G938" i="1" s="1"/>
  <c r="G939" i="1" s="1"/>
  <c r="G940" i="1" s="1"/>
  <c r="G941" i="1" s="1"/>
  <c r="G942" i="1" s="1"/>
  <c r="G943" i="1" s="1"/>
  <c r="G944" i="1" s="1"/>
  <c r="G945" i="1" s="1"/>
  <c r="G946" i="1" s="1"/>
  <c r="G947" i="1" s="1"/>
  <c r="G948" i="1" s="1"/>
  <c r="F901" i="1"/>
  <c r="F902" i="1" s="1"/>
  <c r="F903" i="1" s="1"/>
  <c r="F904" i="1" s="1"/>
  <c r="F905" i="1" s="1"/>
  <c r="F906" i="1" s="1"/>
  <c r="F907" i="1" s="1"/>
  <c r="F908" i="1" s="1"/>
  <c r="F909" i="1" s="1"/>
  <c r="F910" i="1" s="1"/>
  <c r="F911" i="1" s="1"/>
  <c r="F912" i="1" s="1"/>
  <c r="F913" i="1" s="1"/>
  <c r="F914" i="1" s="1"/>
  <c r="F915" i="1" s="1"/>
  <c r="F916" i="1" s="1"/>
  <c r="F917" i="1" s="1"/>
  <c r="F918" i="1" s="1"/>
  <c r="F919" i="1" s="1"/>
  <c r="F920" i="1" s="1"/>
  <c r="F921" i="1" s="1"/>
  <c r="F922" i="1" s="1"/>
  <c r="F923" i="1" s="1"/>
  <c r="F924" i="1" s="1"/>
  <c r="F925" i="1" s="1"/>
  <c r="F926" i="1" s="1"/>
  <c r="F927" i="1" s="1"/>
  <c r="F928" i="1" s="1"/>
  <c r="F929" i="1" s="1"/>
  <c r="F930" i="1" s="1"/>
  <c r="F931" i="1" s="1"/>
  <c r="F932" i="1" s="1"/>
  <c r="F933" i="1" s="1"/>
  <c r="F934" i="1" s="1"/>
  <c r="F935" i="1" s="1"/>
  <c r="F936" i="1" s="1"/>
  <c r="F937" i="1" s="1"/>
  <c r="F938" i="1" s="1"/>
  <c r="F939" i="1" s="1"/>
  <c r="F940" i="1" s="1"/>
  <c r="F941" i="1" s="1"/>
  <c r="F942" i="1" s="1"/>
  <c r="F943" i="1" s="1"/>
  <c r="F944" i="1" s="1"/>
  <c r="F945" i="1" s="1"/>
  <c r="F946" i="1" s="1"/>
  <c r="F947" i="1" s="1"/>
  <c r="F948" i="1" s="1"/>
  <c r="A901" i="1"/>
  <c r="U900" i="1"/>
  <c r="L900" i="1"/>
  <c r="P900" i="1" s="1"/>
  <c r="L901" i="1" s="1"/>
  <c r="P901" i="1" s="1"/>
  <c r="L902" i="1" s="1"/>
  <c r="P902" i="1" s="1"/>
  <c r="L903" i="1" s="1"/>
  <c r="P903" i="1" s="1"/>
  <c r="L904" i="1" s="1"/>
  <c r="P904" i="1" s="1"/>
  <c r="L905" i="1" s="1"/>
  <c r="P905" i="1" s="1"/>
  <c r="L906" i="1" s="1"/>
  <c r="P906" i="1" s="1"/>
  <c r="L907" i="1" s="1"/>
  <c r="P907" i="1" s="1"/>
  <c r="L908" i="1" s="1"/>
  <c r="P908" i="1" s="1"/>
  <c r="L909" i="1" s="1"/>
  <c r="P909" i="1" s="1"/>
  <c r="A900" i="1"/>
  <c r="U899" i="1"/>
  <c r="R899" i="1"/>
  <c r="L899" i="1"/>
  <c r="A899" i="1"/>
  <c r="U898" i="1"/>
  <c r="R898" i="1"/>
  <c r="L898" i="1"/>
  <c r="A898" i="1"/>
  <c r="U897" i="1"/>
  <c r="R897" i="1"/>
  <c r="L897" i="1"/>
  <c r="A897" i="1"/>
  <c r="U896" i="1"/>
  <c r="R896" i="1"/>
  <c r="L896" i="1"/>
  <c r="A896" i="1"/>
  <c r="U895" i="1"/>
  <c r="R895" i="1"/>
  <c r="L895" i="1"/>
  <c r="A895" i="1"/>
  <c r="U894" i="1"/>
  <c r="R894" i="1"/>
  <c r="L894" i="1"/>
  <c r="A894" i="1"/>
  <c r="U893" i="1"/>
  <c r="R893" i="1"/>
  <c r="L893" i="1"/>
  <c r="A893" i="1"/>
  <c r="U892" i="1"/>
  <c r="R892" i="1"/>
  <c r="L892" i="1"/>
  <c r="A892" i="1"/>
  <c r="U891" i="1"/>
  <c r="R891" i="1"/>
  <c r="L891" i="1"/>
  <c r="A891" i="1"/>
  <c r="U890" i="1"/>
  <c r="R890" i="1"/>
  <c r="L890" i="1"/>
  <c r="A890" i="1"/>
  <c r="U889" i="1"/>
  <c r="R889" i="1"/>
  <c r="L889" i="1"/>
  <c r="A889" i="1"/>
  <c r="U888" i="1"/>
  <c r="R888" i="1"/>
  <c r="L888" i="1"/>
  <c r="A888" i="1"/>
  <c r="U887" i="1"/>
  <c r="R887" i="1"/>
  <c r="L887" i="1"/>
  <c r="A887" i="1"/>
  <c r="U886" i="1"/>
  <c r="R886" i="1"/>
  <c r="L886" i="1"/>
  <c r="A886" i="1"/>
  <c r="U885" i="1"/>
  <c r="R885" i="1"/>
  <c r="L885" i="1"/>
  <c r="A885" i="1"/>
  <c r="U884" i="1"/>
  <c r="R884" i="1"/>
  <c r="L884" i="1"/>
  <c r="A884" i="1"/>
  <c r="U883" i="1"/>
  <c r="R883" i="1"/>
  <c r="L883" i="1"/>
  <c r="A883" i="1"/>
  <c r="U882" i="1"/>
  <c r="R882" i="1"/>
  <c r="L882" i="1"/>
  <c r="A882" i="1"/>
  <c r="U881" i="1"/>
  <c r="R881" i="1"/>
  <c r="L881" i="1"/>
  <c r="A881" i="1"/>
  <c r="U880" i="1"/>
  <c r="R880" i="1"/>
  <c r="L880" i="1"/>
  <c r="A880" i="1"/>
  <c r="U879" i="1"/>
  <c r="R879" i="1"/>
  <c r="L879" i="1"/>
  <c r="A879" i="1"/>
  <c r="U878" i="1"/>
  <c r="R878" i="1"/>
  <c r="L878" i="1"/>
  <c r="A878" i="1"/>
  <c r="U877" i="1"/>
  <c r="R877" i="1"/>
  <c r="L877" i="1"/>
  <c r="A877" i="1"/>
  <c r="U876" i="1"/>
  <c r="R876" i="1"/>
  <c r="L876" i="1"/>
  <c r="A876" i="1"/>
  <c r="U875" i="1"/>
  <c r="R875" i="1"/>
  <c r="L875" i="1"/>
  <c r="A875" i="1"/>
  <c r="U874" i="1"/>
  <c r="R874" i="1"/>
  <c r="M22" i="2" s="1" a="1"/>
  <c r="M22" i="2" s="1"/>
  <c r="L874" i="1"/>
  <c r="A874" i="1"/>
  <c r="U873" i="1"/>
  <c r="R873" i="1"/>
  <c r="A873" i="1"/>
  <c r="U872" i="1"/>
  <c r="R872" i="1"/>
  <c r="A872" i="1"/>
  <c r="S871" i="1"/>
  <c r="U871" i="1" s="1"/>
  <c r="R871" i="1"/>
  <c r="A871" i="1"/>
  <c r="U870" i="1"/>
  <c r="R870" i="1"/>
  <c r="A870" i="1"/>
  <c r="U869" i="1"/>
  <c r="R869" i="1"/>
  <c r="A869" i="1"/>
  <c r="U868" i="1"/>
  <c r="R868" i="1"/>
  <c r="A868" i="1"/>
  <c r="U867" i="1"/>
  <c r="R867" i="1"/>
  <c r="I867" i="1"/>
  <c r="A867" i="1"/>
  <c r="U866" i="1"/>
  <c r="R866" i="1"/>
  <c r="A866" i="1"/>
  <c r="S865" i="1"/>
  <c r="U865" i="1" s="1"/>
  <c r="R865" i="1"/>
  <c r="A865" i="1"/>
  <c r="U864" i="1"/>
  <c r="R864" i="1"/>
  <c r="A864" i="1"/>
  <c r="S863" i="1"/>
  <c r="R863" i="1"/>
  <c r="A863" i="1"/>
  <c r="U862" i="1"/>
  <c r="R862" i="1"/>
  <c r="Q862" i="1"/>
  <c r="Q863" i="1" s="1"/>
  <c r="N862" i="1"/>
  <c r="M862" i="1"/>
  <c r="G862" i="1"/>
  <c r="G863" i="1" s="1"/>
  <c r="G864" i="1" s="1"/>
  <c r="G865" i="1" s="1"/>
  <c r="G866" i="1" s="1"/>
  <c r="G867" i="1" s="1"/>
  <c r="G868" i="1" s="1"/>
  <c r="G869" i="1" s="1"/>
  <c r="G870" i="1" s="1"/>
  <c r="G871" i="1" s="1"/>
  <c r="G872" i="1" s="1"/>
  <c r="G873" i="1" s="1"/>
  <c r="G874" i="1" s="1"/>
  <c r="G875" i="1" s="1"/>
  <c r="G876" i="1" s="1"/>
  <c r="G877" i="1" s="1"/>
  <c r="G878" i="1" s="1"/>
  <c r="G879" i="1" s="1"/>
  <c r="G880" i="1" s="1"/>
  <c r="G881" i="1" s="1"/>
  <c r="G882" i="1" s="1"/>
  <c r="G883" i="1" s="1"/>
  <c r="G884" i="1" s="1"/>
  <c r="G885" i="1" s="1"/>
  <c r="G886" i="1" s="1"/>
  <c r="G887" i="1" s="1"/>
  <c r="G888" i="1" s="1"/>
  <c r="G889" i="1" s="1"/>
  <c r="G890" i="1" s="1"/>
  <c r="G891" i="1" s="1"/>
  <c r="G892" i="1" s="1"/>
  <c r="G893" i="1" s="1"/>
  <c r="G894" i="1" s="1"/>
  <c r="G895" i="1" s="1"/>
  <c r="G896" i="1" s="1"/>
  <c r="G897" i="1" s="1"/>
  <c r="G898" i="1" s="1"/>
  <c r="G899" i="1" s="1"/>
  <c r="F862" i="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A862" i="1"/>
  <c r="U861" i="1"/>
  <c r="L861" i="1"/>
  <c r="P861" i="1" s="1"/>
  <c r="L862" i="1" s="1"/>
  <c r="P862" i="1" s="1"/>
  <c r="A861" i="1"/>
  <c r="U860" i="1"/>
  <c r="R860" i="1"/>
  <c r="L860" i="1"/>
  <c r="A860" i="1"/>
  <c r="U859" i="1"/>
  <c r="R859" i="1"/>
  <c r="L859" i="1"/>
  <c r="A859" i="1"/>
  <c r="U858" i="1"/>
  <c r="R858" i="1"/>
  <c r="L858" i="1"/>
  <c r="A858" i="1"/>
  <c r="U857" i="1"/>
  <c r="R857" i="1"/>
  <c r="L857" i="1"/>
  <c r="A857" i="1"/>
  <c r="U856" i="1"/>
  <c r="R856" i="1"/>
  <c r="L856" i="1"/>
  <c r="A856" i="1"/>
  <c r="U855" i="1"/>
  <c r="R855" i="1"/>
  <c r="L855" i="1"/>
  <c r="A855" i="1"/>
  <c r="U854" i="1"/>
  <c r="R854" i="1"/>
  <c r="L854" i="1"/>
  <c r="A854" i="1"/>
  <c r="U853" i="1"/>
  <c r="R853" i="1"/>
  <c r="L853" i="1"/>
  <c r="A853" i="1"/>
  <c r="U852" i="1"/>
  <c r="R852" i="1"/>
  <c r="L852" i="1"/>
  <c r="A852" i="1"/>
  <c r="U851" i="1"/>
  <c r="R851" i="1"/>
  <c r="M13" i="2" s="1" a="1"/>
  <c r="M13" i="2" s="1"/>
  <c r="L851" i="1"/>
  <c r="A851" i="1"/>
  <c r="U850" i="1"/>
  <c r="R850" i="1"/>
  <c r="A850" i="1"/>
  <c r="U849" i="1"/>
  <c r="R849" i="1"/>
  <c r="A849" i="1"/>
  <c r="U848" i="1"/>
  <c r="R848" i="1"/>
  <c r="A848" i="1"/>
  <c r="U847" i="1"/>
  <c r="R847" i="1"/>
  <c r="A847" i="1"/>
  <c r="U846" i="1"/>
  <c r="R846" i="1"/>
  <c r="A846" i="1"/>
  <c r="U845" i="1"/>
  <c r="R845" i="1"/>
  <c r="A845" i="1"/>
  <c r="U844" i="1"/>
  <c r="R844" i="1"/>
  <c r="I844" i="1"/>
  <c r="A844" i="1"/>
  <c r="U843" i="1"/>
  <c r="R843" i="1"/>
  <c r="A843" i="1"/>
  <c r="U842" i="1"/>
  <c r="S842" i="1"/>
  <c r="R842" i="1"/>
  <c r="A842" i="1"/>
  <c r="U841" i="1"/>
  <c r="R841" i="1"/>
  <c r="A841" i="1"/>
  <c r="U840" i="1"/>
  <c r="R840" i="1"/>
  <c r="A840" i="1"/>
  <c r="U839" i="1"/>
  <c r="R839" i="1"/>
  <c r="Q839" i="1"/>
  <c r="Q840" i="1" s="1"/>
  <c r="M841" i="1" s="1"/>
  <c r="N839" i="1"/>
  <c r="M839" i="1"/>
  <c r="G839" i="1"/>
  <c r="G840" i="1" s="1"/>
  <c r="G841" i="1" s="1"/>
  <c r="G842" i="1" s="1"/>
  <c r="G843" i="1" s="1"/>
  <c r="G844" i="1" s="1"/>
  <c r="G845" i="1" s="1"/>
  <c r="G846" i="1" s="1"/>
  <c r="G847" i="1" s="1"/>
  <c r="G848" i="1" s="1"/>
  <c r="G849" i="1" s="1"/>
  <c r="G850" i="1" s="1"/>
  <c r="G851" i="1" s="1"/>
  <c r="G852" i="1" s="1"/>
  <c r="G853" i="1" s="1"/>
  <c r="G854" i="1" s="1"/>
  <c r="G855" i="1" s="1"/>
  <c r="G856" i="1" s="1"/>
  <c r="G857" i="1" s="1"/>
  <c r="G858" i="1" s="1"/>
  <c r="G859" i="1" s="1"/>
  <c r="G860" i="1" s="1"/>
  <c r="F839" i="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A839" i="1"/>
  <c r="U838" i="1"/>
  <c r="L838" i="1"/>
  <c r="P838" i="1" s="1"/>
  <c r="L839" i="1" s="1"/>
  <c r="P839" i="1" s="1"/>
  <c r="L840" i="1" s="1"/>
  <c r="A838" i="1"/>
  <c r="U837" i="1"/>
  <c r="R837" i="1"/>
  <c r="L837" i="1"/>
  <c r="H837" i="1"/>
  <c r="A837" i="1"/>
  <c r="U836" i="1"/>
  <c r="R836" i="1"/>
  <c r="L836" i="1"/>
  <c r="H836" i="1"/>
  <c r="A836" i="1"/>
  <c r="U835" i="1"/>
  <c r="R835" i="1"/>
  <c r="L835" i="1"/>
  <c r="H835" i="1"/>
  <c r="A835" i="1"/>
  <c r="U834" i="1"/>
  <c r="R834" i="1"/>
  <c r="L834" i="1"/>
  <c r="P834" i="1" s="1"/>
  <c r="H834" i="1"/>
  <c r="A834" i="1"/>
  <c r="U833" i="1"/>
  <c r="R833" i="1"/>
  <c r="L833" i="1"/>
  <c r="H833" i="1"/>
  <c r="A833" i="1"/>
  <c r="U832" i="1"/>
  <c r="R832" i="1"/>
  <c r="L832" i="1"/>
  <c r="H832" i="1"/>
  <c r="A832" i="1"/>
  <c r="U831" i="1"/>
  <c r="R831" i="1"/>
  <c r="L831" i="1"/>
  <c r="P831" i="1" s="1"/>
  <c r="H831" i="1"/>
  <c r="A831" i="1"/>
  <c r="U830" i="1"/>
  <c r="R830" i="1"/>
  <c r="L830" i="1"/>
  <c r="H830" i="1"/>
  <c r="A830" i="1"/>
  <c r="U829" i="1"/>
  <c r="R829" i="1"/>
  <c r="L829" i="1"/>
  <c r="H829" i="1"/>
  <c r="A829" i="1"/>
  <c r="U828" i="1"/>
  <c r="R828" i="1"/>
  <c r="L828" i="1"/>
  <c r="H828" i="1"/>
  <c r="A828" i="1"/>
  <c r="U827" i="1"/>
  <c r="R827" i="1"/>
  <c r="L827" i="1"/>
  <c r="H827" i="1"/>
  <c r="A827" i="1"/>
  <c r="U826" i="1"/>
  <c r="R826" i="1"/>
  <c r="L826" i="1"/>
  <c r="H826" i="1"/>
  <c r="A826" i="1"/>
  <c r="U825" i="1"/>
  <c r="R825" i="1"/>
  <c r="L825" i="1"/>
  <c r="H825" i="1"/>
  <c r="A825" i="1"/>
  <c r="U824" i="1"/>
  <c r="R824" i="1"/>
  <c r="L824" i="1"/>
  <c r="H824" i="1"/>
  <c r="A824" i="1"/>
  <c r="U823" i="1"/>
  <c r="R823" i="1"/>
  <c r="L823" i="1"/>
  <c r="P823" i="1" s="1"/>
  <c r="H823" i="1"/>
  <c r="A823" i="1"/>
  <c r="U822" i="1"/>
  <c r="R822" i="1"/>
  <c r="L822" i="1"/>
  <c r="H822" i="1"/>
  <c r="A822" i="1"/>
  <c r="U821" i="1"/>
  <c r="R821" i="1"/>
  <c r="L821" i="1"/>
  <c r="H821" i="1"/>
  <c r="A821" i="1"/>
  <c r="U820" i="1"/>
  <c r="R820" i="1"/>
  <c r="L820" i="1"/>
  <c r="H820" i="1"/>
  <c r="A820" i="1"/>
  <c r="U819" i="1"/>
  <c r="R819" i="1"/>
  <c r="L819" i="1"/>
  <c r="H819" i="1"/>
  <c r="A819" i="1"/>
  <c r="U818" i="1"/>
  <c r="R818" i="1"/>
  <c r="L818" i="1"/>
  <c r="H818" i="1"/>
  <c r="A818" i="1"/>
  <c r="U817" i="1"/>
  <c r="R817" i="1"/>
  <c r="L817" i="1"/>
  <c r="H817" i="1"/>
  <c r="A817" i="1"/>
  <c r="U816" i="1"/>
  <c r="R816" i="1"/>
  <c r="L816" i="1"/>
  <c r="P816" i="1" s="1"/>
  <c r="H816" i="1"/>
  <c r="A816" i="1"/>
  <c r="U815" i="1"/>
  <c r="R815" i="1"/>
  <c r="L815" i="1"/>
  <c r="H815" i="1"/>
  <c r="A815" i="1"/>
  <c r="U814" i="1"/>
  <c r="R814" i="1"/>
  <c r="L814" i="1"/>
  <c r="H814" i="1"/>
  <c r="A814" i="1"/>
  <c r="U813" i="1"/>
  <c r="R813" i="1"/>
  <c r="L813" i="1"/>
  <c r="H813" i="1"/>
  <c r="A813" i="1"/>
  <c r="U812" i="1"/>
  <c r="R812" i="1"/>
  <c r="L812" i="1"/>
  <c r="H812" i="1"/>
  <c r="P812" i="1" s="1"/>
  <c r="A812" i="1"/>
  <c r="U811" i="1"/>
  <c r="R811" i="1"/>
  <c r="L811" i="1"/>
  <c r="H811" i="1"/>
  <c r="A811" i="1"/>
  <c r="U810" i="1"/>
  <c r="R810" i="1"/>
  <c r="L810" i="1"/>
  <c r="P810" i="1" s="1"/>
  <c r="H810" i="1"/>
  <c r="A810" i="1"/>
  <c r="U809" i="1"/>
  <c r="R809" i="1"/>
  <c r="L809" i="1"/>
  <c r="H809" i="1"/>
  <c r="P809" i="1" s="1"/>
  <c r="A809" i="1"/>
  <c r="U808" i="1"/>
  <c r="R808" i="1"/>
  <c r="L808" i="1"/>
  <c r="H808" i="1"/>
  <c r="A808" i="1"/>
  <c r="U807" i="1"/>
  <c r="R807" i="1"/>
  <c r="L807" i="1"/>
  <c r="H807" i="1"/>
  <c r="A807" i="1"/>
  <c r="U806" i="1"/>
  <c r="R806" i="1"/>
  <c r="L806" i="1"/>
  <c r="H806" i="1"/>
  <c r="A806" i="1"/>
  <c r="U805" i="1"/>
  <c r="R805" i="1"/>
  <c r="L805" i="1"/>
  <c r="H805" i="1"/>
  <c r="P805" i="1" s="1"/>
  <c r="A805" i="1"/>
  <c r="U804" i="1"/>
  <c r="R804" i="1"/>
  <c r="L804" i="1"/>
  <c r="P804" i="1" s="1"/>
  <c r="H804" i="1"/>
  <c r="A804" i="1"/>
  <c r="U803" i="1"/>
  <c r="R803" i="1"/>
  <c r="L803" i="1"/>
  <c r="H803" i="1"/>
  <c r="A803" i="1"/>
  <c r="U802" i="1"/>
  <c r="R802" i="1"/>
  <c r="L802" i="1"/>
  <c r="H802" i="1"/>
  <c r="A802" i="1"/>
  <c r="U801" i="1"/>
  <c r="R801" i="1"/>
  <c r="L801" i="1"/>
  <c r="H801" i="1"/>
  <c r="P801" i="1" s="1"/>
  <c r="A801" i="1"/>
  <c r="U800" i="1"/>
  <c r="R800" i="1"/>
  <c r="L800" i="1"/>
  <c r="P800" i="1" s="1"/>
  <c r="H800" i="1"/>
  <c r="A800" i="1"/>
  <c r="U799" i="1"/>
  <c r="R799" i="1"/>
  <c r="L799" i="1"/>
  <c r="H799" i="1"/>
  <c r="A799" i="1"/>
  <c r="U798" i="1"/>
  <c r="R798" i="1"/>
  <c r="L798" i="1"/>
  <c r="H798" i="1"/>
  <c r="A798" i="1"/>
  <c r="U797" i="1"/>
  <c r="R797" i="1"/>
  <c r="L797" i="1"/>
  <c r="H797" i="1"/>
  <c r="P797" i="1" s="1"/>
  <c r="A797" i="1"/>
  <c r="U796" i="1"/>
  <c r="R796" i="1"/>
  <c r="L796" i="1"/>
  <c r="P796" i="1" s="1"/>
  <c r="H796" i="1"/>
  <c r="A796" i="1"/>
  <c r="U795" i="1"/>
  <c r="R795" i="1"/>
  <c r="L795" i="1"/>
  <c r="H795" i="1"/>
  <c r="A795" i="1"/>
  <c r="U794" i="1"/>
  <c r="R794" i="1"/>
  <c r="L794" i="1"/>
  <c r="H794" i="1"/>
  <c r="A794" i="1"/>
  <c r="U793" i="1"/>
  <c r="R793" i="1"/>
  <c r="L793" i="1"/>
  <c r="H793" i="1"/>
  <c r="P793" i="1" s="1"/>
  <c r="A793" i="1"/>
  <c r="U792" i="1"/>
  <c r="R792" i="1"/>
  <c r="L792" i="1"/>
  <c r="P792" i="1" s="1"/>
  <c r="H792" i="1"/>
  <c r="A792" i="1"/>
  <c r="U791" i="1"/>
  <c r="R791" i="1"/>
  <c r="M25" i="2" s="1" a="1"/>
  <c r="M25" i="2" s="1"/>
  <c r="H791" i="1"/>
  <c r="A791" i="1"/>
  <c r="S790" i="1"/>
  <c r="U790" i="1" s="1"/>
  <c r="R790" i="1"/>
  <c r="H790" i="1"/>
  <c r="A790" i="1"/>
  <c r="U789" i="1"/>
  <c r="R789" i="1"/>
  <c r="H789" i="1"/>
  <c r="A789" i="1"/>
  <c r="U788" i="1"/>
  <c r="R788" i="1"/>
  <c r="H788" i="1"/>
  <c r="A788" i="1"/>
  <c r="U787" i="1"/>
  <c r="R787" i="1"/>
  <c r="H787" i="1"/>
  <c r="A787" i="1"/>
  <c r="U786" i="1"/>
  <c r="S786" i="1"/>
  <c r="R786" i="1"/>
  <c r="H786" i="1"/>
  <c r="A786" i="1"/>
  <c r="U785" i="1"/>
  <c r="R785" i="1"/>
  <c r="H785" i="1"/>
  <c r="A785" i="1"/>
  <c r="U784" i="1"/>
  <c r="R784" i="1"/>
  <c r="P784" i="1"/>
  <c r="L785" i="1" s="1"/>
  <c r="P785" i="1" s="1"/>
  <c r="L786" i="1" s="1"/>
  <c r="P786" i="1" s="1"/>
  <c r="A784" i="1"/>
  <c r="U783" i="1"/>
  <c r="R783" i="1"/>
  <c r="A783" i="1"/>
  <c r="U782" i="1"/>
  <c r="R782" i="1"/>
  <c r="A782" i="1"/>
  <c r="U781" i="1"/>
  <c r="R781" i="1"/>
  <c r="A781" i="1"/>
  <c r="S780" i="1"/>
  <c r="U780" i="1" s="1"/>
  <c r="R780" i="1"/>
  <c r="A780" i="1"/>
  <c r="U779" i="1"/>
  <c r="S779" i="1"/>
  <c r="R779" i="1"/>
  <c r="Q779" i="1"/>
  <c r="M780" i="1" s="1"/>
  <c r="N779" i="1"/>
  <c r="M779" i="1"/>
  <c r="G779" i="1"/>
  <c r="G780" i="1" s="1"/>
  <c r="G781" i="1" s="1"/>
  <c r="G782" i="1" s="1"/>
  <c r="G783" i="1" s="1"/>
  <c r="G784" i="1" s="1"/>
  <c r="G785" i="1" s="1"/>
  <c r="G786" i="1" s="1"/>
  <c r="G787" i="1" s="1"/>
  <c r="G788" i="1" s="1"/>
  <c r="G789" i="1" s="1"/>
  <c r="G790" i="1" s="1"/>
  <c r="G791" i="1" s="1"/>
  <c r="G792" i="1" s="1"/>
  <c r="G793" i="1" s="1"/>
  <c r="G794" i="1" s="1"/>
  <c r="G795" i="1" s="1"/>
  <c r="G796" i="1" s="1"/>
  <c r="G797" i="1" s="1"/>
  <c r="G798" i="1" s="1"/>
  <c r="G799" i="1" s="1"/>
  <c r="G800" i="1" s="1"/>
  <c r="G801" i="1" s="1"/>
  <c r="G802" i="1" s="1"/>
  <c r="G803" i="1" s="1"/>
  <c r="G804" i="1" s="1"/>
  <c r="G805" i="1" s="1"/>
  <c r="G806" i="1" s="1"/>
  <c r="G807" i="1" s="1"/>
  <c r="G808" i="1" s="1"/>
  <c r="G809" i="1" s="1"/>
  <c r="G810" i="1" s="1"/>
  <c r="G811" i="1" s="1"/>
  <c r="G812" i="1" s="1"/>
  <c r="G813" i="1" s="1"/>
  <c r="G814" i="1" s="1"/>
  <c r="G815" i="1" s="1"/>
  <c r="G816" i="1" s="1"/>
  <c r="G817" i="1" s="1"/>
  <c r="G818" i="1" s="1"/>
  <c r="G819" i="1" s="1"/>
  <c r="G820" i="1" s="1"/>
  <c r="G821" i="1" s="1"/>
  <c r="G822" i="1" s="1"/>
  <c r="G823" i="1" s="1"/>
  <c r="G824" i="1" s="1"/>
  <c r="G825" i="1" s="1"/>
  <c r="G826" i="1" s="1"/>
  <c r="G827" i="1" s="1"/>
  <c r="G828" i="1" s="1"/>
  <c r="G829" i="1" s="1"/>
  <c r="G830" i="1" s="1"/>
  <c r="G831" i="1" s="1"/>
  <c r="G832" i="1" s="1"/>
  <c r="G833" i="1" s="1"/>
  <c r="G834" i="1" s="1"/>
  <c r="G835" i="1" s="1"/>
  <c r="G836" i="1" s="1"/>
  <c r="G837" i="1" s="1"/>
  <c r="F779" i="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A779" i="1"/>
  <c r="U778" i="1"/>
  <c r="L778" i="1"/>
  <c r="P778" i="1" s="1"/>
  <c r="L779" i="1" s="1"/>
  <c r="P779" i="1" s="1"/>
  <c r="L780" i="1" s="1"/>
  <c r="P780" i="1" s="1"/>
  <c r="A778" i="1"/>
  <c r="U777" i="1"/>
  <c r="R777" i="1"/>
  <c r="L777" i="1"/>
  <c r="H777" i="1"/>
  <c r="A777" i="1"/>
  <c r="U776" i="1"/>
  <c r="R776" i="1"/>
  <c r="L776" i="1"/>
  <c r="H776" i="1"/>
  <c r="A776" i="1"/>
  <c r="U775" i="1"/>
  <c r="R775" i="1"/>
  <c r="L775" i="1"/>
  <c r="H775" i="1"/>
  <c r="A775" i="1"/>
  <c r="U774" i="1"/>
  <c r="R774" i="1"/>
  <c r="L774" i="1"/>
  <c r="H774" i="1"/>
  <c r="A774" i="1"/>
  <c r="U773" i="1"/>
  <c r="R773" i="1"/>
  <c r="L773" i="1"/>
  <c r="H773" i="1"/>
  <c r="A773" i="1"/>
  <c r="U772" i="1"/>
  <c r="R772" i="1"/>
  <c r="L772" i="1"/>
  <c r="P772" i="1" s="1"/>
  <c r="H772" i="1"/>
  <c r="A772" i="1"/>
  <c r="U771" i="1"/>
  <c r="R771" i="1"/>
  <c r="L771" i="1"/>
  <c r="H771" i="1"/>
  <c r="A771" i="1"/>
  <c r="U770" i="1"/>
  <c r="R770" i="1"/>
  <c r="L770" i="1"/>
  <c r="H770" i="1"/>
  <c r="A770" i="1"/>
  <c r="U769" i="1"/>
  <c r="R769" i="1"/>
  <c r="L769" i="1"/>
  <c r="H769" i="1"/>
  <c r="A769" i="1"/>
  <c r="U768" i="1"/>
  <c r="R768" i="1"/>
  <c r="L768" i="1"/>
  <c r="H768" i="1"/>
  <c r="P768" i="1" s="1"/>
  <c r="A768" i="1"/>
  <c r="U767" i="1"/>
  <c r="R767" i="1"/>
  <c r="L767" i="1"/>
  <c r="H767" i="1"/>
  <c r="A767" i="1"/>
  <c r="U766" i="1"/>
  <c r="R766" i="1"/>
  <c r="L766" i="1"/>
  <c r="H766" i="1"/>
  <c r="A766" i="1"/>
  <c r="U765" i="1"/>
  <c r="R765" i="1"/>
  <c r="L765" i="1"/>
  <c r="H765" i="1"/>
  <c r="A765" i="1"/>
  <c r="U764" i="1"/>
  <c r="R764" i="1"/>
  <c r="L764" i="1"/>
  <c r="H764" i="1"/>
  <c r="A764" i="1"/>
  <c r="U763" i="1"/>
  <c r="R763" i="1"/>
  <c r="L763" i="1"/>
  <c r="H763" i="1"/>
  <c r="A763" i="1"/>
  <c r="U762" i="1"/>
  <c r="R762" i="1"/>
  <c r="L762" i="1"/>
  <c r="H762" i="1"/>
  <c r="A762" i="1"/>
  <c r="U761" i="1"/>
  <c r="R761" i="1"/>
  <c r="L761" i="1"/>
  <c r="H761" i="1"/>
  <c r="A761" i="1"/>
  <c r="U760" i="1"/>
  <c r="R760" i="1"/>
  <c r="L760" i="1"/>
  <c r="H760" i="1"/>
  <c r="A760" i="1"/>
  <c r="U759" i="1"/>
  <c r="R759" i="1"/>
  <c r="L759" i="1"/>
  <c r="H759" i="1"/>
  <c r="A759" i="1"/>
  <c r="U758" i="1"/>
  <c r="R758" i="1"/>
  <c r="L758" i="1"/>
  <c r="H758" i="1"/>
  <c r="A758" i="1"/>
  <c r="U757" i="1"/>
  <c r="R757" i="1"/>
  <c r="L757" i="1"/>
  <c r="H757" i="1"/>
  <c r="A757" i="1"/>
  <c r="U756" i="1"/>
  <c r="R756" i="1"/>
  <c r="L756" i="1"/>
  <c r="H756" i="1"/>
  <c r="P756" i="1" s="1"/>
  <c r="A756" i="1"/>
  <c r="U755" i="1"/>
  <c r="R755" i="1"/>
  <c r="L755" i="1"/>
  <c r="H755" i="1"/>
  <c r="A755" i="1"/>
  <c r="U754" i="1"/>
  <c r="R754" i="1"/>
  <c r="L754" i="1"/>
  <c r="H754" i="1"/>
  <c r="A754" i="1"/>
  <c r="U753" i="1"/>
  <c r="R753" i="1"/>
  <c r="L753" i="1"/>
  <c r="H753" i="1"/>
  <c r="A753" i="1"/>
  <c r="U752" i="1"/>
  <c r="R752" i="1"/>
  <c r="L752" i="1"/>
  <c r="H752" i="1"/>
  <c r="A752" i="1"/>
  <c r="U751" i="1"/>
  <c r="R751" i="1"/>
  <c r="L751" i="1"/>
  <c r="H751" i="1"/>
  <c r="A751" i="1"/>
  <c r="U750" i="1"/>
  <c r="R750" i="1"/>
  <c r="L750" i="1"/>
  <c r="H750" i="1"/>
  <c r="A750" i="1"/>
  <c r="U749" i="1"/>
  <c r="R749" i="1"/>
  <c r="L749" i="1"/>
  <c r="H749" i="1"/>
  <c r="A749" i="1"/>
  <c r="U748" i="1"/>
  <c r="R748" i="1"/>
  <c r="L748" i="1"/>
  <c r="H748" i="1"/>
  <c r="P748" i="1" s="1"/>
  <c r="A748" i="1"/>
  <c r="U747" i="1"/>
  <c r="R747" i="1"/>
  <c r="L747" i="1"/>
  <c r="P747" i="1" s="1"/>
  <c r="H747" i="1"/>
  <c r="A747" i="1"/>
  <c r="U746" i="1"/>
  <c r="R746" i="1"/>
  <c r="L746" i="1"/>
  <c r="H746" i="1"/>
  <c r="A746" i="1"/>
  <c r="U745" i="1"/>
  <c r="R745" i="1"/>
  <c r="L745" i="1"/>
  <c r="H745" i="1"/>
  <c r="A745" i="1"/>
  <c r="U744" i="1"/>
  <c r="R744" i="1"/>
  <c r="L744" i="1"/>
  <c r="H744" i="1"/>
  <c r="A744" i="1"/>
  <c r="U743" i="1"/>
  <c r="R743" i="1"/>
  <c r="L743" i="1"/>
  <c r="H743" i="1"/>
  <c r="A743" i="1"/>
  <c r="U742" i="1"/>
  <c r="R742" i="1"/>
  <c r="L742" i="1"/>
  <c r="H742" i="1"/>
  <c r="A742" i="1"/>
  <c r="U741" i="1"/>
  <c r="R741" i="1"/>
  <c r="L741" i="1"/>
  <c r="H741" i="1"/>
  <c r="A741" i="1"/>
  <c r="U740" i="1"/>
  <c r="R740" i="1"/>
  <c r="L740" i="1"/>
  <c r="H740" i="1"/>
  <c r="A740" i="1"/>
  <c r="U739" i="1"/>
  <c r="R739" i="1"/>
  <c r="L739" i="1"/>
  <c r="P739" i="1" s="1"/>
  <c r="H739" i="1"/>
  <c r="A739" i="1"/>
  <c r="U738" i="1"/>
  <c r="R738" i="1"/>
  <c r="M23" i="2" s="1" a="1"/>
  <c r="M23" i="2" s="1"/>
  <c r="H738" i="1"/>
  <c r="A738" i="1"/>
  <c r="U737" i="1"/>
  <c r="R737" i="1"/>
  <c r="H737" i="1"/>
  <c r="A737" i="1"/>
  <c r="U736" i="1"/>
  <c r="R736" i="1"/>
  <c r="H736" i="1"/>
  <c r="A736" i="1"/>
  <c r="U735" i="1"/>
  <c r="R735" i="1"/>
  <c r="H735" i="1"/>
  <c r="A735" i="1"/>
  <c r="S734" i="1"/>
  <c r="R734" i="1"/>
  <c r="H734" i="1"/>
  <c r="A734" i="1"/>
  <c r="U733" i="1"/>
  <c r="R733" i="1"/>
  <c r="H733" i="1"/>
  <c r="A733" i="1"/>
  <c r="U732" i="1"/>
  <c r="R732" i="1"/>
  <c r="H732" i="1"/>
  <c r="A732" i="1"/>
  <c r="U731" i="1"/>
  <c r="R731" i="1"/>
  <c r="P731" i="1"/>
  <c r="L732" i="1" s="1"/>
  <c r="P732" i="1" s="1"/>
  <c r="L733" i="1" s="1"/>
  <c r="A731" i="1"/>
  <c r="U730" i="1"/>
  <c r="R730" i="1"/>
  <c r="A730" i="1"/>
  <c r="U729" i="1"/>
  <c r="S729" i="1"/>
  <c r="R729" i="1"/>
  <c r="A729" i="1"/>
  <c r="U728" i="1"/>
  <c r="R728" i="1"/>
  <c r="A728" i="1"/>
  <c r="U727" i="1"/>
  <c r="R727" i="1"/>
  <c r="A727" i="1"/>
  <c r="S726" i="1"/>
  <c r="R726" i="1"/>
  <c r="Q726" i="1"/>
  <c r="Q727" i="1" s="1"/>
  <c r="N726" i="1"/>
  <c r="M726" i="1"/>
  <c r="G726" i="1"/>
  <c r="G727" i="1" s="1"/>
  <c r="G728" i="1" s="1"/>
  <c r="G729" i="1" s="1"/>
  <c r="G730" i="1" s="1"/>
  <c r="G731" i="1" s="1"/>
  <c r="G732" i="1" s="1"/>
  <c r="G733" i="1" s="1"/>
  <c r="G734" i="1" s="1"/>
  <c r="G735" i="1" s="1"/>
  <c r="G736" i="1" s="1"/>
  <c r="G737" i="1" s="1"/>
  <c r="G738" i="1" s="1"/>
  <c r="G739" i="1" s="1"/>
  <c r="G740" i="1" s="1"/>
  <c r="G741" i="1" s="1"/>
  <c r="G742" i="1" s="1"/>
  <c r="G743" i="1" s="1"/>
  <c r="G744" i="1" s="1"/>
  <c r="G745" i="1" s="1"/>
  <c r="G746" i="1" s="1"/>
  <c r="G747" i="1" s="1"/>
  <c r="G748" i="1" s="1"/>
  <c r="G749" i="1" s="1"/>
  <c r="G750" i="1" s="1"/>
  <c r="G751" i="1" s="1"/>
  <c r="G752" i="1" s="1"/>
  <c r="G753" i="1" s="1"/>
  <c r="G754" i="1" s="1"/>
  <c r="G755" i="1" s="1"/>
  <c r="G756" i="1" s="1"/>
  <c r="G757" i="1" s="1"/>
  <c r="G758" i="1" s="1"/>
  <c r="G759" i="1" s="1"/>
  <c r="G760" i="1" s="1"/>
  <c r="G761" i="1" s="1"/>
  <c r="G762" i="1" s="1"/>
  <c r="G763" i="1" s="1"/>
  <c r="G764" i="1" s="1"/>
  <c r="G765" i="1" s="1"/>
  <c r="G766" i="1" s="1"/>
  <c r="G767" i="1" s="1"/>
  <c r="G768" i="1" s="1"/>
  <c r="G769" i="1" s="1"/>
  <c r="G770" i="1" s="1"/>
  <c r="G771" i="1" s="1"/>
  <c r="G772" i="1" s="1"/>
  <c r="G773" i="1" s="1"/>
  <c r="G774" i="1" s="1"/>
  <c r="G775" i="1" s="1"/>
  <c r="G776" i="1" s="1"/>
  <c r="G777" i="1" s="1"/>
  <c r="F726" i="1"/>
  <c r="F727" i="1" s="1"/>
  <c r="F728" i="1" s="1"/>
  <c r="F729" i="1" s="1"/>
  <c r="F730" i="1" s="1"/>
  <c r="F731" i="1" s="1"/>
  <c r="F732" i="1" s="1"/>
  <c r="F733" i="1" s="1"/>
  <c r="F734" i="1" s="1"/>
  <c r="F735" i="1" s="1"/>
  <c r="F736" i="1" s="1"/>
  <c r="F737" i="1" s="1"/>
  <c r="F738" i="1" s="1"/>
  <c r="F739" i="1" s="1"/>
  <c r="F740" i="1" s="1"/>
  <c r="F741" i="1" s="1"/>
  <c r="F742" i="1" s="1"/>
  <c r="F743" i="1" s="1"/>
  <c r="F744" i="1" s="1"/>
  <c r="F745" i="1" s="1"/>
  <c r="F746" i="1" s="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A726" i="1"/>
  <c r="U725" i="1"/>
  <c r="L725" i="1"/>
  <c r="P725" i="1" s="1"/>
  <c r="L726" i="1" s="1"/>
  <c r="P726" i="1" s="1"/>
  <c r="A725" i="1"/>
  <c r="U724" i="1"/>
  <c r="R724" i="1"/>
  <c r="M724" i="1"/>
  <c r="L724" i="1"/>
  <c r="A724" i="1"/>
  <c r="U723" i="1"/>
  <c r="R723" i="1"/>
  <c r="M723" i="1"/>
  <c r="L723" i="1"/>
  <c r="A723" i="1"/>
  <c r="U722" i="1"/>
  <c r="R722" i="1"/>
  <c r="M722" i="1"/>
  <c r="L722" i="1"/>
  <c r="A722" i="1"/>
  <c r="U721" i="1"/>
  <c r="R721" i="1"/>
  <c r="M721" i="1"/>
  <c r="L721" i="1"/>
  <c r="A721" i="1"/>
  <c r="U720" i="1"/>
  <c r="R720" i="1"/>
  <c r="M720" i="1"/>
  <c r="L720" i="1"/>
  <c r="A720" i="1"/>
  <c r="U719" i="1"/>
  <c r="R719" i="1"/>
  <c r="M719" i="1"/>
  <c r="L719" i="1"/>
  <c r="A719" i="1"/>
  <c r="U718" i="1"/>
  <c r="R718" i="1"/>
  <c r="M718" i="1"/>
  <c r="L718" i="1"/>
  <c r="A718" i="1"/>
  <c r="U717" i="1"/>
  <c r="R717" i="1"/>
  <c r="M717" i="1"/>
  <c r="L717" i="1"/>
  <c r="A717" i="1"/>
  <c r="U716" i="1"/>
  <c r="R716" i="1"/>
  <c r="M716" i="1"/>
  <c r="L716" i="1"/>
  <c r="A716" i="1"/>
  <c r="U715" i="1"/>
  <c r="R715" i="1"/>
  <c r="M715" i="1"/>
  <c r="L715" i="1"/>
  <c r="A715" i="1"/>
  <c r="U714" i="1"/>
  <c r="R714" i="1"/>
  <c r="M714" i="1"/>
  <c r="L714" i="1"/>
  <c r="A714" i="1"/>
  <c r="U713" i="1"/>
  <c r="R713" i="1"/>
  <c r="M713" i="1"/>
  <c r="L713" i="1"/>
  <c r="A713" i="1"/>
  <c r="U712" i="1"/>
  <c r="R712" i="1"/>
  <c r="M712" i="1"/>
  <c r="L712" i="1"/>
  <c r="A712" i="1"/>
  <c r="U711" i="1"/>
  <c r="R711" i="1"/>
  <c r="M711" i="1"/>
  <c r="L711" i="1"/>
  <c r="A711" i="1"/>
  <c r="U710" i="1"/>
  <c r="R710" i="1"/>
  <c r="M710" i="1"/>
  <c r="L710" i="1"/>
  <c r="A710" i="1"/>
  <c r="U709" i="1"/>
  <c r="R709" i="1"/>
  <c r="M709" i="1"/>
  <c r="L709" i="1"/>
  <c r="A709" i="1"/>
  <c r="U708" i="1"/>
  <c r="R708" i="1"/>
  <c r="M708" i="1"/>
  <c r="L708" i="1"/>
  <c r="A708" i="1"/>
  <c r="U707" i="1"/>
  <c r="R707" i="1"/>
  <c r="M707" i="1"/>
  <c r="L707" i="1"/>
  <c r="A707" i="1"/>
  <c r="U706" i="1"/>
  <c r="R706" i="1"/>
  <c r="M706" i="1"/>
  <c r="L706" i="1"/>
  <c r="A706" i="1"/>
  <c r="U705" i="1"/>
  <c r="R705" i="1"/>
  <c r="M705" i="1"/>
  <c r="L705" i="1"/>
  <c r="A705" i="1"/>
  <c r="U704" i="1"/>
  <c r="R704" i="1"/>
  <c r="M704" i="1"/>
  <c r="L704" i="1"/>
  <c r="A704" i="1"/>
  <c r="U703" i="1"/>
  <c r="R703" i="1"/>
  <c r="M703" i="1"/>
  <c r="L703" i="1"/>
  <c r="A703" i="1"/>
  <c r="U702" i="1"/>
  <c r="R702" i="1"/>
  <c r="M702" i="1"/>
  <c r="L702" i="1"/>
  <c r="A702" i="1"/>
  <c r="U701" i="1"/>
  <c r="R701" i="1"/>
  <c r="M701" i="1"/>
  <c r="L701" i="1"/>
  <c r="A701" i="1"/>
  <c r="U700" i="1"/>
  <c r="R700" i="1"/>
  <c r="M700" i="1"/>
  <c r="L700" i="1"/>
  <c r="A700" i="1"/>
  <c r="U699" i="1"/>
  <c r="R699" i="1"/>
  <c r="M699" i="1"/>
  <c r="L699" i="1"/>
  <c r="A699" i="1"/>
  <c r="U698" i="1"/>
  <c r="R698" i="1"/>
  <c r="M698" i="1"/>
  <c r="L698" i="1"/>
  <c r="A698" i="1"/>
  <c r="U697" i="1"/>
  <c r="R697" i="1"/>
  <c r="M7" i="2" s="1" a="1"/>
  <c r="M7" i="2" s="1"/>
  <c r="M697" i="1"/>
  <c r="A697" i="1"/>
  <c r="U696" i="1"/>
  <c r="R696" i="1"/>
  <c r="M696" i="1"/>
  <c r="A696" i="1"/>
  <c r="U695" i="1"/>
  <c r="R695" i="1"/>
  <c r="M695" i="1"/>
  <c r="A695" i="1"/>
  <c r="U694" i="1"/>
  <c r="R694" i="1"/>
  <c r="M694" i="1"/>
  <c r="A694" i="1"/>
  <c r="U693" i="1"/>
  <c r="R693" i="1"/>
  <c r="M693" i="1"/>
  <c r="A693" i="1"/>
  <c r="U692" i="1"/>
  <c r="R692" i="1"/>
  <c r="M692" i="1"/>
  <c r="A692" i="1"/>
  <c r="U691" i="1"/>
  <c r="R691" i="1"/>
  <c r="M691" i="1"/>
  <c r="A691" i="1"/>
  <c r="U690" i="1"/>
  <c r="R690" i="1"/>
  <c r="M690" i="1"/>
  <c r="A690" i="1"/>
  <c r="U689" i="1"/>
  <c r="R689" i="1"/>
  <c r="M689" i="1"/>
  <c r="A689" i="1"/>
  <c r="U688" i="1"/>
  <c r="R688" i="1"/>
  <c r="M688" i="1"/>
  <c r="A688" i="1"/>
  <c r="U687" i="1"/>
  <c r="R687" i="1"/>
  <c r="M687" i="1"/>
  <c r="A687" i="1"/>
  <c r="U686" i="1"/>
  <c r="R686" i="1"/>
  <c r="M686" i="1"/>
  <c r="H686" i="1"/>
  <c r="H687" i="1" s="1"/>
  <c r="H688" i="1" s="1"/>
  <c r="H689" i="1" s="1"/>
  <c r="A686" i="1"/>
  <c r="U685" i="1"/>
  <c r="R685" i="1"/>
  <c r="M685" i="1"/>
  <c r="J685" i="1"/>
  <c r="A685" i="1"/>
  <c r="U684" i="1"/>
  <c r="R684" i="1"/>
  <c r="M684" i="1"/>
  <c r="H684" i="1"/>
  <c r="A684" i="1"/>
  <c r="U683" i="1"/>
  <c r="R683" i="1"/>
  <c r="M683" i="1"/>
  <c r="A683" i="1"/>
  <c r="U682" i="1"/>
  <c r="R682" i="1"/>
  <c r="M682" i="1"/>
  <c r="A682" i="1"/>
  <c r="U681" i="1"/>
  <c r="R681" i="1"/>
  <c r="M681" i="1"/>
  <c r="A681" i="1"/>
  <c r="U680" i="1"/>
  <c r="R680" i="1"/>
  <c r="M680" i="1"/>
  <c r="A680" i="1"/>
  <c r="U679" i="1"/>
  <c r="R679" i="1"/>
  <c r="M679" i="1"/>
  <c r="H679" i="1"/>
  <c r="A679" i="1"/>
  <c r="U678" i="1"/>
  <c r="R678" i="1"/>
  <c r="M678" i="1"/>
  <c r="K678" i="1"/>
  <c r="A678" i="1"/>
  <c r="U677" i="1"/>
  <c r="R677" i="1"/>
  <c r="M677" i="1"/>
  <c r="A677" i="1"/>
  <c r="U676" i="1"/>
  <c r="Q676" i="1"/>
  <c r="Q677" i="1" s="1"/>
  <c r="N678" i="1" s="1"/>
  <c r="O678" i="1" s="1"/>
  <c r="N676" i="1"/>
  <c r="M676" i="1"/>
  <c r="L676" i="1"/>
  <c r="P676" i="1" s="1"/>
  <c r="L677" i="1" s="1"/>
  <c r="P677" i="1" s="1"/>
  <c r="L678" i="1" s="1"/>
  <c r="A676" i="1"/>
  <c r="U675" i="1"/>
  <c r="R675" i="1"/>
  <c r="L675" i="1"/>
  <c r="A675" i="1"/>
  <c r="U674" i="1"/>
  <c r="R674" i="1"/>
  <c r="L674" i="1"/>
  <c r="A674" i="1"/>
  <c r="U673" i="1"/>
  <c r="R673" i="1"/>
  <c r="L673" i="1"/>
  <c r="A673" i="1"/>
  <c r="U672" i="1"/>
  <c r="R672" i="1"/>
  <c r="L672" i="1"/>
  <c r="A672" i="1"/>
  <c r="U671" i="1"/>
  <c r="R671" i="1"/>
  <c r="L671" i="1"/>
  <c r="A671" i="1"/>
  <c r="U670" i="1"/>
  <c r="R670" i="1"/>
  <c r="L670" i="1"/>
  <c r="A670" i="1"/>
  <c r="U669" i="1"/>
  <c r="R669" i="1"/>
  <c r="L669" i="1"/>
  <c r="A669" i="1"/>
  <c r="U668" i="1"/>
  <c r="R668" i="1"/>
  <c r="L668" i="1"/>
  <c r="A668" i="1"/>
  <c r="U667" i="1"/>
  <c r="R667" i="1"/>
  <c r="L667" i="1"/>
  <c r="A667" i="1"/>
  <c r="U666" i="1"/>
  <c r="R666" i="1"/>
  <c r="L666" i="1"/>
  <c r="A666" i="1"/>
  <c r="U665" i="1"/>
  <c r="R665" i="1"/>
  <c r="L665" i="1"/>
  <c r="A665" i="1"/>
  <c r="U664" i="1"/>
  <c r="R664" i="1"/>
  <c r="L664" i="1"/>
  <c r="A664" i="1"/>
  <c r="U663" i="1"/>
  <c r="R663" i="1"/>
  <c r="L663" i="1"/>
  <c r="A663" i="1"/>
  <c r="U662" i="1"/>
  <c r="R662" i="1"/>
  <c r="L662" i="1"/>
  <c r="A662" i="1"/>
  <c r="U661" i="1"/>
  <c r="R661" i="1"/>
  <c r="L661" i="1"/>
  <c r="A661" i="1"/>
  <c r="U660" i="1"/>
  <c r="R660" i="1"/>
  <c r="L660" i="1"/>
  <c r="A660" i="1"/>
  <c r="U659" i="1"/>
  <c r="R659" i="1"/>
  <c r="L659" i="1"/>
  <c r="A659" i="1"/>
  <c r="U658" i="1"/>
  <c r="R658" i="1"/>
  <c r="L658" i="1"/>
  <c r="A658" i="1"/>
  <c r="U657" i="1"/>
  <c r="R657" i="1"/>
  <c r="L657" i="1"/>
  <c r="A657" i="1"/>
  <c r="U656" i="1"/>
  <c r="R656" i="1"/>
  <c r="L656" i="1"/>
  <c r="A656" i="1"/>
  <c r="U655" i="1"/>
  <c r="R655" i="1"/>
  <c r="L655" i="1"/>
  <c r="A655" i="1"/>
  <c r="U654" i="1"/>
  <c r="R654" i="1"/>
  <c r="L654" i="1"/>
  <c r="A654" i="1"/>
  <c r="U653" i="1"/>
  <c r="R653" i="1"/>
  <c r="L653" i="1"/>
  <c r="A653" i="1"/>
  <c r="U652" i="1"/>
  <c r="R652" i="1"/>
  <c r="L652" i="1"/>
  <c r="A652" i="1"/>
  <c r="U651" i="1"/>
  <c r="R651" i="1"/>
  <c r="L651" i="1"/>
  <c r="A651" i="1"/>
  <c r="U650" i="1"/>
  <c r="R650" i="1"/>
  <c r="L650" i="1"/>
  <c r="A650" i="1"/>
  <c r="U649" i="1"/>
  <c r="R649" i="1"/>
  <c r="L649" i="1"/>
  <c r="A649" i="1"/>
  <c r="U648" i="1"/>
  <c r="R648" i="1"/>
  <c r="L648" i="1"/>
  <c r="A648" i="1"/>
  <c r="U647" i="1"/>
  <c r="R647" i="1"/>
  <c r="L647" i="1"/>
  <c r="A647" i="1"/>
  <c r="U646" i="1"/>
  <c r="R646" i="1"/>
  <c r="L646" i="1"/>
  <c r="A646" i="1"/>
  <c r="U645" i="1"/>
  <c r="R645" i="1"/>
  <c r="M14" i="2" s="1" a="1"/>
  <c r="M14" i="2" s="1"/>
  <c r="L645" i="1"/>
  <c r="A645" i="1"/>
  <c r="U644" i="1"/>
  <c r="R644" i="1"/>
  <c r="A644" i="1"/>
  <c r="U643" i="1"/>
  <c r="R643" i="1"/>
  <c r="A643" i="1"/>
  <c r="U642" i="1"/>
  <c r="R642" i="1"/>
  <c r="A642" i="1"/>
  <c r="U641" i="1"/>
  <c r="R641" i="1"/>
  <c r="A641" i="1"/>
  <c r="U640" i="1"/>
  <c r="R640" i="1"/>
  <c r="A640" i="1"/>
  <c r="U639" i="1"/>
  <c r="R639" i="1"/>
  <c r="A639" i="1"/>
  <c r="U638" i="1"/>
  <c r="R638" i="1"/>
  <c r="A638" i="1"/>
  <c r="U637" i="1"/>
  <c r="R637" i="1"/>
  <c r="A637" i="1"/>
  <c r="U636" i="1"/>
  <c r="R636" i="1"/>
  <c r="A636" i="1"/>
  <c r="U635" i="1"/>
  <c r="R635" i="1"/>
  <c r="A635" i="1"/>
  <c r="U634" i="1"/>
  <c r="R634" i="1"/>
  <c r="A634" i="1"/>
  <c r="U633" i="1"/>
  <c r="R633" i="1"/>
  <c r="A633" i="1"/>
  <c r="U632" i="1"/>
  <c r="R632" i="1"/>
  <c r="A632" i="1"/>
  <c r="U631" i="1"/>
  <c r="R631" i="1"/>
  <c r="A631" i="1"/>
  <c r="U630" i="1"/>
  <c r="R630" i="1"/>
  <c r="A630" i="1"/>
  <c r="U629" i="1"/>
  <c r="R629" i="1"/>
  <c r="A629" i="1"/>
  <c r="U628" i="1"/>
  <c r="R628" i="1"/>
  <c r="A628" i="1"/>
  <c r="U627" i="1"/>
  <c r="R627" i="1"/>
  <c r="A627" i="1"/>
  <c r="U626" i="1"/>
  <c r="R626" i="1"/>
  <c r="A626" i="1"/>
  <c r="U625" i="1"/>
  <c r="R625" i="1"/>
  <c r="A625" i="1"/>
  <c r="U624" i="1"/>
  <c r="R624" i="1"/>
  <c r="A624" i="1"/>
  <c r="U623" i="1"/>
  <c r="R623" i="1"/>
  <c r="Q623" i="1"/>
  <c r="Q624" i="1" s="1"/>
  <c r="A623" i="1"/>
  <c r="U622" i="1"/>
  <c r="Q622" i="1"/>
  <c r="N623" i="1" s="1"/>
  <c r="O623" i="1" s="1"/>
  <c r="N622" i="1"/>
  <c r="O622" i="1" s="1"/>
  <c r="A622" i="1"/>
  <c r="U621" i="1"/>
  <c r="R621" i="1"/>
  <c r="M621" i="1"/>
  <c r="A621" i="1"/>
  <c r="U620" i="1"/>
  <c r="R620" i="1"/>
  <c r="M620" i="1"/>
  <c r="A620" i="1"/>
  <c r="U619" i="1"/>
  <c r="R619" i="1"/>
  <c r="M619" i="1"/>
  <c r="A619" i="1"/>
  <c r="U618" i="1"/>
  <c r="R618" i="1"/>
  <c r="M618" i="1"/>
  <c r="H618" i="1"/>
  <c r="H619" i="1" s="1"/>
  <c r="H620" i="1" s="1"/>
  <c r="A618" i="1"/>
  <c r="U617" i="1"/>
  <c r="R617" i="1"/>
  <c r="M617" i="1"/>
  <c r="A617" i="1"/>
  <c r="U616" i="1"/>
  <c r="R616" i="1"/>
  <c r="M616" i="1"/>
  <c r="A616" i="1"/>
  <c r="U615" i="1"/>
  <c r="R615" i="1"/>
  <c r="M615" i="1"/>
  <c r="H615" i="1"/>
  <c r="A615" i="1"/>
  <c r="S614" i="1"/>
  <c r="U614" i="1" s="1"/>
  <c r="R614" i="1"/>
  <c r="M614" i="1"/>
  <c r="A614" i="1"/>
  <c r="U613" i="1"/>
  <c r="R613" i="1"/>
  <c r="M613" i="1"/>
  <c r="A613" i="1"/>
  <c r="U612" i="1"/>
  <c r="R612" i="1"/>
  <c r="M612" i="1"/>
  <c r="A612" i="1"/>
  <c r="U611" i="1"/>
  <c r="R611" i="1"/>
  <c r="M611" i="1"/>
  <c r="A611" i="1"/>
  <c r="U610" i="1"/>
  <c r="R610" i="1"/>
  <c r="Q610" i="1"/>
  <c r="Q611" i="1" s="1"/>
  <c r="N610" i="1"/>
  <c r="M610" i="1"/>
  <c r="A610" i="1"/>
  <c r="U609" i="1"/>
  <c r="M609" i="1"/>
  <c r="O609" i="1" s="1"/>
  <c r="A609" i="1"/>
  <c r="U608" i="1"/>
  <c r="R608" i="1"/>
  <c r="M608" i="1"/>
  <c r="A608" i="1"/>
  <c r="U607" i="1"/>
  <c r="R607" i="1"/>
  <c r="M607" i="1"/>
  <c r="A607" i="1"/>
  <c r="U606" i="1"/>
  <c r="R606" i="1"/>
  <c r="M606" i="1"/>
  <c r="A606" i="1"/>
  <c r="U605" i="1"/>
  <c r="R605" i="1"/>
  <c r="M605" i="1"/>
  <c r="A605" i="1"/>
  <c r="U604" i="1"/>
  <c r="R604" i="1"/>
  <c r="M604" i="1"/>
  <c r="A604" i="1"/>
  <c r="U603" i="1"/>
  <c r="R603" i="1"/>
  <c r="M603" i="1"/>
  <c r="A603" i="1"/>
  <c r="U602" i="1"/>
  <c r="R602" i="1"/>
  <c r="M602" i="1"/>
  <c r="A602" i="1"/>
  <c r="U601" i="1"/>
  <c r="R601" i="1"/>
  <c r="M601" i="1"/>
  <c r="A601" i="1"/>
  <c r="U600" i="1"/>
  <c r="R600" i="1"/>
  <c r="M600" i="1"/>
  <c r="A600" i="1"/>
  <c r="U599" i="1"/>
  <c r="R599" i="1"/>
  <c r="M599" i="1"/>
  <c r="A599" i="1"/>
  <c r="U598" i="1"/>
  <c r="R598" i="1"/>
  <c r="M598" i="1"/>
  <c r="A598" i="1"/>
  <c r="U597" i="1"/>
  <c r="R597" i="1"/>
  <c r="Q597" i="1"/>
  <c r="N597" i="1"/>
  <c r="M597" i="1"/>
  <c r="A597" i="1"/>
  <c r="U596" i="1"/>
  <c r="M596" i="1"/>
  <c r="L596" i="1"/>
  <c r="P596" i="1" s="1"/>
  <c r="L597" i="1" s="1"/>
  <c r="P597" i="1" s="1"/>
  <c r="L598" i="1" s="1"/>
  <c r="P598" i="1" s="1"/>
  <c r="L599" i="1" s="1"/>
  <c r="P599" i="1" s="1"/>
  <c r="L600" i="1" s="1"/>
  <c r="P600" i="1" s="1"/>
  <c r="L601" i="1" s="1"/>
  <c r="P601" i="1" s="1"/>
  <c r="L602" i="1" s="1"/>
  <c r="P602" i="1" s="1"/>
  <c r="L603" i="1" s="1"/>
  <c r="P603" i="1" s="1"/>
  <c r="L604" i="1" s="1"/>
  <c r="P604" i="1" s="1"/>
  <c r="L605" i="1" s="1"/>
  <c r="P605" i="1" s="1"/>
  <c r="L606" i="1" s="1"/>
  <c r="P606" i="1" s="1"/>
  <c r="L607" i="1" s="1"/>
  <c r="P607" i="1" s="1"/>
  <c r="L608" i="1" s="1"/>
  <c r="P608" i="1" s="1"/>
  <c r="L609" i="1" s="1"/>
  <c r="P609" i="1" s="1"/>
  <c r="L610" i="1" s="1"/>
  <c r="P610" i="1" s="1"/>
  <c r="L611" i="1" s="1"/>
  <c r="P611" i="1" s="1"/>
  <c r="L612" i="1" s="1"/>
  <c r="P612" i="1" s="1"/>
  <c r="L613" i="1" s="1"/>
  <c r="P613" i="1" s="1"/>
  <c r="L614" i="1" s="1"/>
  <c r="P614" i="1" s="1"/>
  <c r="L615" i="1" s="1"/>
  <c r="A596" i="1"/>
  <c r="U595" i="1"/>
  <c r="R595" i="1"/>
  <c r="M595" i="1"/>
  <c r="L595" i="1"/>
  <c r="P595" i="1" s="1"/>
  <c r="A595" i="1"/>
  <c r="U594" i="1"/>
  <c r="R594" i="1"/>
  <c r="M594" i="1"/>
  <c r="L594" i="1"/>
  <c r="P594" i="1" s="1"/>
  <c r="A594" i="1"/>
  <c r="U593" i="1"/>
  <c r="R593" i="1"/>
  <c r="M593" i="1"/>
  <c r="L593" i="1"/>
  <c r="P593" i="1" s="1"/>
  <c r="A593" i="1"/>
  <c r="U592" i="1"/>
  <c r="R592" i="1"/>
  <c r="M592" i="1"/>
  <c r="L592" i="1"/>
  <c r="P592" i="1" s="1"/>
  <c r="A592" i="1"/>
  <c r="U591" i="1"/>
  <c r="R591" i="1"/>
  <c r="M591" i="1"/>
  <c r="L591" i="1"/>
  <c r="P591" i="1" s="1"/>
  <c r="A591" i="1"/>
  <c r="U590" i="1"/>
  <c r="R590" i="1"/>
  <c r="M590" i="1"/>
  <c r="L590" i="1"/>
  <c r="P590" i="1" s="1"/>
  <c r="A590" i="1"/>
  <c r="U589" i="1"/>
  <c r="R589" i="1"/>
  <c r="M589" i="1"/>
  <c r="L589" i="1"/>
  <c r="P589" i="1" s="1"/>
  <c r="A589" i="1"/>
  <c r="U588" i="1"/>
  <c r="R588" i="1"/>
  <c r="M588" i="1"/>
  <c r="L588" i="1"/>
  <c r="P588" i="1" s="1"/>
  <c r="A588" i="1"/>
  <c r="U587" i="1"/>
  <c r="R587" i="1"/>
  <c r="M587" i="1"/>
  <c r="L587" i="1"/>
  <c r="P587" i="1" s="1"/>
  <c r="A587" i="1"/>
  <c r="U586" i="1"/>
  <c r="R586" i="1"/>
  <c r="M586" i="1"/>
  <c r="L586" i="1"/>
  <c r="P586" i="1" s="1"/>
  <c r="A586" i="1"/>
  <c r="U585" i="1"/>
  <c r="R585" i="1"/>
  <c r="M585" i="1"/>
  <c r="L585" i="1"/>
  <c r="P585" i="1" s="1"/>
  <c r="A585" i="1"/>
  <c r="U584" i="1"/>
  <c r="R584" i="1"/>
  <c r="M584" i="1"/>
  <c r="L584" i="1"/>
  <c r="P584" i="1" s="1"/>
  <c r="A584" i="1"/>
  <c r="U583" i="1"/>
  <c r="R583" i="1"/>
  <c r="M583" i="1"/>
  <c r="L583" i="1"/>
  <c r="P583" i="1" s="1"/>
  <c r="A583" i="1"/>
  <c r="U582" i="1"/>
  <c r="R582" i="1"/>
  <c r="M582" i="1"/>
  <c r="L582" i="1"/>
  <c r="P582" i="1" s="1"/>
  <c r="A582" i="1"/>
  <c r="U581" i="1"/>
  <c r="R581" i="1"/>
  <c r="M581" i="1"/>
  <c r="L581" i="1"/>
  <c r="P581" i="1" s="1"/>
  <c r="A581" i="1"/>
  <c r="U580" i="1"/>
  <c r="R580" i="1"/>
  <c r="M580" i="1"/>
  <c r="L580" i="1"/>
  <c r="P580" i="1" s="1"/>
  <c r="A580" i="1"/>
  <c r="U579" i="1"/>
  <c r="R579" i="1"/>
  <c r="M4" i="2" s="1" a="1"/>
  <c r="M4" i="2" s="1"/>
  <c r="M579" i="1"/>
  <c r="L579" i="1"/>
  <c r="P579" i="1" s="1"/>
  <c r="A579" i="1"/>
  <c r="U578" i="1"/>
  <c r="R578" i="1"/>
  <c r="M578" i="1"/>
  <c r="A578" i="1"/>
  <c r="U577" i="1"/>
  <c r="R577" i="1"/>
  <c r="M577" i="1"/>
  <c r="A577" i="1"/>
  <c r="U576" i="1"/>
  <c r="R576" i="1"/>
  <c r="P576" i="1"/>
  <c r="L577" i="1" s="1"/>
  <c r="P577" i="1" s="1"/>
  <c r="L578" i="1" s="1"/>
  <c r="P578" i="1" s="1"/>
  <c r="M576" i="1"/>
  <c r="A576" i="1"/>
  <c r="U575" i="1"/>
  <c r="R575" i="1"/>
  <c r="M575" i="1"/>
  <c r="A575" i="1"/>
  <c r="U574" i="1"/>
  <c r="R574" i="1"/>
  <c r="M574" i="1"/>
  <c r="A574" i="1"/>
  <c r="U573" i="1"/>
  <c r="R573" i="1"/>
  <c r="M573" i="1"/>
  <c r="A573" i="1"/>
  <c r="U572" i="1"/>
  <c r="R572" i="1"/>
  <c r="M572" i="1"/>
  <c r="A572" i="1"/>
  <c r="U571" i="1"/>
  <c r="R571" i="1"/>
  <c r="M571" i="1"/>
  <c r="A571" i="1"/>
  <c r="U570" i="1"/>
  <c r="R570" i="1"/>
  <c r="M570" i="1"/>
  <c r="A570" i="1"/>
  <c r="U569" i="1"/>
  <c r="R569" i="1"/>
  <c r="M569" i="1"/>
  <c r="A569" i="1"/>
  <c r="U568" i="1"/>
  <c r="R568" i="1"/>
  <c r="M568" i="1"/>
  <c r="A568" i="1"/>
  <c r="U567" i="1"/>
  <c r="R567" i="1"/>
  <c r="M567" i="1"/>
  <c r="A567" i="1"/>
  <c r="U566" i="1"/>
  <c r="R566" i="1"/>
  <c r="P566" i="1"/>
  <c r="L567" i="1" s="1"/>
  <c r="P567" i="1" s="1"/>
  <c r="L568" i="1" s="1"/>
  <c r="P568" i="1" s="1"/>
  <c r="L569" i="1" s="1"/>
  <c r="P569" i="1" s="1"/>
  <c r="L570" i="1" s="1"/>
  <c r="P570" i="1" s="1"/>
  <c r="L571" i="1" s="1"/>
  <c r="P571" i="1" s="1"/>
  <c r="L572" i="1" s="1"/>
  <c r="P572" i="1" s="1"/>
  <c r="L573" i="1" s="1"/>
  <c r="P573" i="1" s="1"/>
  <c r="L574" i="1" s="1"/>
  <c r="P574" i="1" s="1"/>
  <c r="L575" i="1" s="1"/>
  <c r="P575" i="1" s="1"/>
  <c r="M566" i="1"/>
  <c r="A566" i="1"/>
  <c r="U565" i="1"/>
  <c r="R565" i="1"/>
  <c r="M565" i="1"/>
  <c r="A565" i="1"/>
  <c r="U564" i="1"/>
  <c r="R564" i="1"/>
  <c r="M564" i="1"/>
  <c r="A564" i="1"/>
  <c r="U563" i="1"/>
  <c r="R563" i="1"/>
  <c r="M563" i="1"/>
  <c r="A563" i="1"/>
  <c r="U562" i="1"/>
  <c r="R562" i="1"/>
  <c r="M562" i="1"/>
  <c r="A562" i="1"/>
  <c r="U561" i="1"/>
  <c r="R561" i="1"/>
  <c r="M561" i="1"/>
  <c r="A561" i="1"/>
  <c r="U560" i="1"/>
  <c r="R560" i="1"/>
  <c r="Q560" i="1"/>
  <c r="Q561" i="1" s="1"/>
  <c r="N560" i="1"/>
  <c r="M560" i="1"/>
  <c r="A560" i="1"/>
  <c r="U559" i="1"/>
  <c r="M559" i="1"/>
  <c r="L559" i="1"/>
  <c r="P559" i="1" s="1"/>
  <c r="L560" i="1" s="1"/>
  <c r="P560" i="1" s="1"/>
  <c r="L561" i="1" s="1"/>
  <c r="P561" i="1" s="1"/>
  <c r="L562" i="1" s="1"/>
  <c r="P562" i="1" s="1"/>
  <c r="L563" i="1" s="1"/>
  <c r="P563" i="1" s="1"/>
  <c r="L564" i="1" s="1"/>
  <c r="P564" i="1" s="1"/>
  <c r="L565" i="1" s="1"/>
  <c r="P565" i="1" s="1"/>
  <c r="A559" i="1"/>
  <c r="U558" i="1"/>
  <c r="R558" i="1"/>
  <c r="L558" i="1"/>
  <c r="A558" i="1"/>
  <c r="U557" i="1"/>
  <c r="R557" i="1"/>
  <c r="L557" i="1"/>
  <c r="A557" i="1"/>
  <c r="U556" i="1"/>
  <c r="R556" i="1"/>
  <c r="L556" i="1"/>
  <c r="A556" i="1"/>
  <c r="U555" i="1"/>
  <c r="R555" i="1"/>
  <c r="L555" i="1"/>
  <c r="A555" i="1"/>
  <c r="U554" i="1"/>
  <c r="R554" i="1"/>
  <c r="L554" i="1"/>
  <c r="A554" i="1"/>
  <c r="U553" i="1"/>
  <c r="R553" i="1"/>
  <c r="L553" i="1"/>
  <c r="A553" i="1"/>
  <c r="U552" i="1"/>
  <c r="R552" i="1"/>
  <c r="L552" i="1"/>
  <c r="A552" i="1"/>
  <c r="U551" i="1"/>
  <c r="R551" i="1"/>
  <c r="L551" i="1"/>
  <c r="A551" i="1"/>
  <c r="U550" i="1"/>
  <c r="R550" i="1"/>
  <c r="L550" i="1"/>
  <c r="A550" i="1"/>
  <c r="U549" i="1"/>
  <c r="R549" i="1"/>
  <c r="L549" i="1"/>
  <c r="A549" i="1"/>
  <c r="U548" i="1"/>
  <c r="R548" i="1"/>
  <c r="L548" i="1"/>
  <c r="A548" i="1"/>
  <c r="U547" i="1"/>
  <c r="R547" i="1"/>
  <c r="L547" i="1"/>
  <c r="A547" i="1"/>
  <c r="U546" i="1"/>
  <c r="R546" i="1"/>
  <c r="L546" i="1"/>
  <c r="A546" i="1"/>
  <c r="U545" i="1"/>
  <c r="R545" i="1"/>
  <c r="L545" i="1"/>
  <c r="A545" i="1"/>
  <c r="U544" i="1"/>
  <c r="R544" i="1"/>
  <c r="L544" i="1"/>
  <c r="A544" i="1"/>
  <c r="U543" i="1"/>
  <c r="R543" i="1"/>
  <c r="L543" i="1"/>
  <c r="A543" i="1"/>
  <c r="U542" i="1"/>
  <c r="R542" i="1"/>
  <c r="M11" i="2" s="1" a="1"/>
  <c r="M11" i="2" s="1"/>
  <c r="L542" i="1"/>
  <c r="A542" i="1"/>
  <c r="U541" i="1"/>
  <c r="R541" i="1"/>
  <c r="A541" i="1"/>
  <c r="U540" i="1"/>
  <c r="R540" i="1"/>
  <c r="A540" i="1"/>
  <c r="U539" i="1"/>
  <c r="R539" i="1"/>
  <c r="A539" i="1"/>
  <c r="U538" i="1"/>
  <c r="R538" i="1"/>
  <c r="A538" i="1"/>
  <c r="U537" i="1"/>
  <c r="R537" i="1"/>
  <c r="A537" i="1"/>
  <c r="U536" i="1"/>
  <c r="R536" i="1"/>
  <c r="H536" i="1"/>
  <c r="A536" i="1"/>
  <c r="U535" i="1"/>
  <c r="R535" i="1"/>
  <c r="A535" i="1"/>
  <c r="U534" i="1"/>
  <c r="R534" i="1"/>
  <c r="P534" i="1"/>
  <c r="L535" i="1" s="1"/>
  <c r="P535" i="1" s="1"/>
  <c r="L536" i="1" s="1"/>
  <c r="A534" i="1"/>
  <c r="U533" i="1"/>
  <c r="R533" i="1"/>
  <c r="A533" i="1"/>
  <c r="U532" i="1"/>
  <c r="R532" i="1"/>
  <c r="A532" i="1"/>
  <c r="U531" i="1"/>
  <c r="R531" i="1"/>
  <c r="H531" i="1"/>
  <c r="H532" i="1" s="1"/>
  <c r="A531" i="1"/>
  <c r="U530" i="1"/>
  <c r="R530" i="1"/>
  <c r="A530" i="1"/>
  <c r="U529" i="1"/>
  <c r="R529" i="1"/>
  <c r="A529" i="1"/>
  <c r="U528" i="1"/>
  <c r="R528" i="1"/>
  <c r="A528" i="1"/>
  <c r="U527" i="1"/>
  <c r="R527" i="1"/>
  <c r="A527" i="1"/>
  <c r="U526" i="1"/>
  <c r="R526" i="1"/>
  <c r="A526" i="1"/>
  <c r="U525" i="1"/>
  <c r="R525" i="1"/>
  <c r="A525" i="1"/>
  <c r="U524" i="1"/>
  <c r="R524" i="1"/>
  <c r="A524" i="1"/>
  <c r="U523" i="1"/>
  <c r="R523" i="1"/>
  <c r="Q523" i="1"/>
  <c r="N524" i="1" s="1"/>
  <c r="O524" i="1" s="1"/>
  <c r="N523" i="1"/>
  <c r="O523" i="1" s="1"/>
  <c r="A523" i="1"/>
  <c r="U522" i="1"/>
  <c r="O522" i="1"/>
  <c r="L522" i="1"/>
  <c r="P522" i="1" s="1"/>
  <c r="L523" i="1" s="1"/>
  <c r="P523" i="1" s="1"/>
  <c r="L524" i="1" s="1"/>
  <c r="P524" i="1" s="1"/>
  <c r="L525" i="1" s="1"/>
  <c r="P525" i="1" s="1"/>
  <c r="L526" i="1" s="1"/>
  <c r="P526" i="1" s="1"/>
  <c r="L527" i="1" s="1"/>
  <c r="P527" i="1" s="1"/>
  <c r="L528" i="1" s="1"/>
  <c r="A522" i="1"/>
  <c r="U521" i="1"/>
  <c r="R521" i="1"/>
  <c r="M521" i="1"/>
  <c r="L521" i="1"/>
  <c r="P521" i="1" s="1"/>
  <c r="A521" i="1"/>
  <c r="U520" i="1"/>
  <c r="R520" i="1"/>
  <c r="M520" i="1"/>
  <c r="L520" i="1"/>
  <c r="P520" i="1" s="1"/>
  <c r="A520" i="1"/>
  <c r="U519" i="1"/>
  <c r="R519" i="1"/>
  <c r="M519" i="1"/>
  <c r="L519" i="1"/>
  <c r="P519" i="1" s="1"/>
  <c r="A519" i="1"/>
  <c r="U518" i="1"/>
  <c r="R518" i="1"/>
  <c r="M518" i="1"/>
  <c r="L518" i="1"/>
  <c r="P518" i="1" s="1"/>
  <c r="A518" i="1"/>
  <c r="U517" i="1"/>
  <c r="R517" i="1"/>
  <c r="M517" i="1"/>
  <c r="L517" i="1"/>
  <c r="P517" i="1" s="1"/>
  <c r="A517" i="1"/>
  <c r="U516" i="1"/>
  <c r="R516" i="1"/>
  <c r="M516" i="1"/>
  <c r="L516" i="1"/>
  <c r="P516" i="1" s="1"/>
  <c r="A516" i="1"/>
  <c r="U515" i="1"/>
  <c r="R515" i="1"/>
  <c r="M515" i="1"/>
  <c r="L515" i="1"/>
  <c r="P515" i="1" s="1"/>
  <c r="A515" i="1"/>
  <c r="U514" i="1"/>
  <c r="R514" i="1"/>
  <c r="M514" i="1"/>
  <c r="L514" i="1"/>
  <c r="P514" i="1" s="1"/>
  <c r="A514" i="1"/>
  <c r="U513" i="1"/>
  <c r="R513" i="1"/>
  <c r="M513" i="1"/>
  <c r="L513" i="1"/>
  <c r="P513" i="1" s="1"/>
  <c r="A513" i="1"/>
  <c r="U512" i="1"/>
  <c r="R512" i="1"/>
  <c r="M512" i="1"/>
  <c r="L512" i="1"/>
  <c r="P512" i="1" s="1"/>
  <c r="A512" i="1"/>
  <c r="U511" i="1"/>
  <c r="R511" i="1"/>
  <c r="M511" i="1"/>
  <c r="L511" i="1"/>
  <c r="P511" i="1" s="1"/>
  <c r="A511" i="1"/>
  <c r="U510" i="1"/>
  <c r="R510" i="1"/>
  <c r="M510" i="1"/>
  <c r="L510" i="1"/>
  <c r="P510" i="1" s="1"/>
  <c r="A510" i="1"/>
  <c r="U509" i="1"/>
  <c r="R509" i="1"/>
  <c r="M509" i="1"/>
  <c r="L509" i="1"/>
  <c r="P509" i="1" s="1"/>
  <c r="A509" i="1"/>
  <c r="U508" i="1"/>
  <c r="R508" i="1"/>
  <c r="M508" i="1"/>
  <c r="L508" i="1"/>
  <c r="P508" i="1" s="1"/>
  <c r="A508" i="1"/>
  <c r="U507" i="1"/>
  <c r="R507" i="1"/>
  <c r="M507" i="1"/>
  <c r="L507" i="1"/>
  <c r="P507" i="1" s="1"/>
  <c r="A507" i="1"/>
  <c r="U506" i="1"/>
  <c r="R506" i="1"/>
  <c r="M506" i="1"/>
  <c r="L506" i="1"/>
  <c r="P506" i="1" s="1"/>
  <c r="A506" i="1"/>
  <c r="U505" i="1"/>
  <c r="R505" i="1"/>
  <c r="M505" i="1"/>
  <c r="L505" i="1"/>
  <c r="P505" i="1" s="1"/>
  <c r="A505" i="1"/>
  <c r="U504" i="1"/>
  <c r="R504" i="1"/>
  <c r="M504" i="1"/>
  <c r="L504" i="1"/>
  <c r="P504" i="1" s="1"/>
  <c r="A504" i="1"/>
  <c r="U503" i="1"/>
  <c r="R503" i="1"/>
  <c r="M503" i="1"/>
  <c r="L503" i="1"/>
  <c r="P503" i="1" s="1"/>
  <c r="A503" i="1"/>
  <c r="U502" i="1"/>
  <c r="R502" i="1"/>
  <c r="M502" i="1"/>
  <c r="L502" i="1"/>
  <c r="P502" i="1" s="1"/>
  <c r="A502" i="1"/>
  <c r="U501" i="1"/>
  <c r="R501" i="1"/>
  <c r="M501" i="1"/>
  <c r="L501" i="1"/>
  <c r="P501" i="1" s="1"/>
  <c r="A501" i="1"/>
  <c r="U500" i="1"/>
  <c r="R500" i="1"/>
  <c r="M500" i="1"/>
  <c r="L500" i="1"/>
  <c r="P500" i="1" s="1"/>
  <c r="A500" i="1"/>
  <c r="U499" i="1"/>
  <c r="R499" i="1"/>
  <c r="M499" i="1"/>
  <c r="L499" i="1"/>
  <c r="P499" i="1" s="1"/>
  <c r="A499" i="1"/>
  <c r="U498" i="1"/>
  <c r="R498" i="1"/>
  <c r="M498" i="1"/>
  <c r="L498" i="1"/>
  <c r="P498" i="1" s="1"/>
  <c r="A498" i="1"/>
  <c r="U497" i="1"/>
  <c r="R497" i="1"/>
  <c r="M497" i="1"/>
  <c r="L497" i="1"/>
  <c r="P497" i="1" s="1"/>
  <c r="A497" i="1"/>
  <c r="U496" i="1"/>
  <c r="R496" i="1"/>
  <c r="M496" i="1"/>
  <c r="L496" i="1"/>
  <c r="P496" i="1" s="1"/>
  <c r="A496" i="1"/>
  <c r="U495" i="1"/>
  <c r="R495" i="1"/>
  <c r="M495" i="1"/>
  <c r="L495" i="1"/>
  <c r="P495" i="1" s="1"/>
  <c r="A495" i="1"/>
  <c r="U494" i="1"/>
  <c r="R494" i="1"/>
  <c r="M494" i="1"/>
  <c r="L494" i="1"/>
  <c r="P494" i="1" s="1"/>
  <c r="A494" i="1"/>
  <c r="U493" i="1"/>
  <c r="R493" i="1"/>
  <c r="M493" i="1"/>
  <c r="L493" i="1"/>
  <c r="P493" i="1" s="1"/>
  <c r="A493" i="1"/>
  <c r="U492" i="1"/>
  <c r="R492" i="1"/>
  <c r="M492" i="1"/>
  <c r="L492" i="1"/>
  <c r="P492" i="1" s="1"/>
  <c r="A492" i="1"/>
  <c r="U491" i="1"/>
  <c r="R491" i="1"/>
  <c r="M491" i="1"/>
  <c r="L491" i="1"/>
  <c r="P491" i="1" s="1"/>
  <c r="A491" i="1"/>
  <c r="U490" i="1"/>
  <c r="R490" i="1"/>
  <c r="M490" i="1"/>
  <c r="L490" i="1"/>
  <c r="P490" i="1" s="1"/>
  <c r="A490" i="1"/>
  <c r="U489" i="1"/>
  <c r="R489" i="1"/>
  <c r="M489" i="1"/>
  <c r="L489" i="1"/>
  <c r="P489" i="1" s="1"/>
  <c r="A489" i="1"/>
  <c r="U488" i="1"/>
  <c r="R488" i="1"/>
  <c r="M488" i="1"/>
  <c r="L488" i="1"/>
  <c r="P488" i="1" s="1"/>
  <c r="A488" i="1"/>
  <c r="U487" i="1"/>
  <c r="R487" i="1"/>
  <c r="M487" i="1"/>
  <c r="L487" i="1"/>
  <c r="P487" i="1" s="1"/>
  <c r="A487" i="1"/>
  <c r="U486" i="1"/>
  <c r="R486" i="1"/>
  <c r="M486" i="1"/>
  <c r="L486" i="1"/>
  <c r="P486" i="1" s="1"/>
  <c r="A486" i="1"/>
  <c r="U485" i="1"/>
  <c r="R485" i="1"/>
  <c r="M485" i="1"/>
  <c r="L485" i="1"/>
  <c r="P485" i="1" s="1"/>
  <c r="A485" i="1"/>
  <c r="U484" i="1"/>
  <c r="R484" i="1"/>
  <c r="M484" i="1"/>
  <c r="L484" i="1"/>
  <c r="P484" i="1" s="1"/>
  <c r="A484" i="1"/>
  <c r="U483" i="1"/>
  <c r="R483" i="1"/>
  <c r="M483" i="1"/>
  <c r="L483" i="1"/>
  <c r="P483" i="1" s="1"/>
  <c r="A483" i="1"/>
  <c r="U482" i="1"/>
  <c r="R482" i="1"/>
  <c r="P482" i="1"/>
  <c r="M482" i="1"/>
  <c r="L482" i="1"/>
  <c r="A482" i="1"/>
  <c r="U481" i="1"/>
  <c r="R481" i="1"/>
  <c r="M481" i="1"/>
  <c r="L481" i="1"/>
  <c r="P481" i="1" s="1"/>
  <c r="A481" i="1"/>
  <c r="U480" i="1"/>
  <c r="R480" i="1"/>
  <c r="M480" i="1"/>
  <c r="L480" i="1"/>
  <c r="P480" i="1" s="1"/>
  <c r="A480" i="1"/>
  <c r="U479" i="1"/>
  <c r="R479" i="1"/>
  <c r="P479" i="1"/>
  <c r="M479" i="1"/>
  <c r="L479" i="1"/>
  <c r="A479" i="1"/>
  <c r="U478" i="1"/>
  <c r="R478" i="1"/>
  <c r="M478" i="1"/>
  <c r="L478" i="1"/>
  <c r="P478" i="1" s="1"/>
  <c r="A478" i="1"/>
  <c r="U477" i="1"/>
  <c r="R477" i="1"/>
  <c r="M477" i="1"/>
  <c r="L477" i="1"/>
  <c r="P477" i="1" s="1"/>
  <c r="A477" i="1"/>
  <c r="U476" i="1"/>
  <c r="R476" i="1"/>
  <c r="M476" i="1"/>
  <c r="L476" i="1"/>
  <c r="P476" i="1" s="1"/>
  <c r="A476" i="1"/>
  <c r="U475" i="1"/>
  <c r="R475" i="1"/>
  <c r="M475" i="1"/>
  <c r="L475" i="1"/>
  <c r="P475" i="1" s="1"/>
  <c r="A475" i="1"/>
  <c r="U474" i="1"/>
  <c r="R474" i="1"/>
  <c r="M474" i="1"/>
  <c r="L474" i="1"/>
  <c r="P474" i="1" s="1"/>
  <c r="A474" i="1"/>
  <c r="U473" i="1"/>
  <c r="R473" i="1"/>
  <c r="M473" i="1"/>
  <c r="L473" i="1"/>
  <c r="P473" i="1" s="1"/>
  <c r="A473" i="1"/>
  <c r="U472" i="1"/>
  <c r="R472" i="1"/>
  <c r="M472" i="1"/>
  <c r="L472" i="1"/>
  <c r="P472" i="1" s="1"/>
  <c r="A472" i="1"/>
  <c r="U471" i="1"/>
  <c r="R471" i="1"/>
  <c r="M471" i="1"/>
  <c r="L471" i="1"/>
  <c r="P471" i="1" s="1"/>
  <c r="A471" i="1"/>
  <c r="U470" i="1"/>
  <c r="R470" i="1"/>
  <c r="M470" i="1"/>
  <c r="L470" i="1"/>
  <c r="P470" i="1" s="1"/>
  <c r="A470" i="1"/>
  <c r="U469" i="1"/>
  <c r="R469" i="1"/>
  <c r="M469" i="1"/>
  <c r="L469" i="1"/>
  <c r="P469" i="1" s="1"/>
  <c r="A469" i="1"/>
  <c r="U468" i="1"/>
  <c r="R468" i="1"/>
  <c r="M468" i="1"/>
  <c r="L468" i="1"/>
  <c r="P468" i="1" s="1"/>
  <c r="A468" i="1"/>
  <c r="U467" i="1"/>
  <c r="R467" i="1"/>
  <c r="M467" i="1"/>
  <c r="L467" i="1"/>
  <c r="P467" i="1" s="1"/>
  <c r="A467" i="1"/>
  <c r="U466" i="1"/>
  <c r="R466" i="1"/>
  <c r="M466" i="1"/>
  <c r="L466" i="1"/>
  <c r="P466" i="1" s="1"/>
  <c r="A466" i="1"/>
  <c r="U465" i="1"/>
  <c r="R465" i="1"/>
  <c r="M465" i="1"/>
  <c r="L465" i="1"/>
  <c r="P465" i="1" s="1"/>
  <c r="A465" i="1"/>
  <c r="U464" i="1"/>
  <c r="R464" i="1"/>
  <c r="M464" i="1"/>
  <c r="L464" i="1"/>
  <c r="P464" i="1" s="1"/>
  <c r="A464" i="1"/>
  <c r="U463" i="1"/>
  <c r="R463" i="1"/>
  <c r="M463" i="1"/>
  <c r="L463" i="1"/>
  <c r="P463" i="1" s="1"/>
  <c r="A463" i="1"/>
  <c r="U462" i="1"/>
  <c r="R462" i="1"/>
  <c r="M462" i="1"/>
  <c r="L462" i="1"/>
  <c r="P462" i="1" s="1"/>
  <c r="A462" i="1"/>
  <c r="U461" i="1"/>
  <c r="R461" i="1"/>
  <c r="M461" i="1"/>
  <c r="L461" i="1"/>
  <c r="P461" i="1" s="1"/>
  <c r="A461" i="1"/>
  <c r="U460" i="1"/>
  <c r="R460" i="1"/>
  <c r="M460" i="1"/>
  <c r="L460" i="1"/>
  <c r="P460" i="1" s="1"/>
  <c r="A460" i="1"/>
  <c r="U459" i="1"/>
  <c r="R459" i="1"/>
  <c r="M459" i="1"/>
  <c r="L459" i="1"/>
  <c r="P459" i="1" s="1"/>
  <c r="A459" i="1"/>
  <c r="U458" i="1"/>
  <c r="R458" i="1"/>
  <c r="M458" i="1"/>
  <c r="L458" i="1"/>
  <c r="P458" i="1" s="1"/>
  <c r="A458" i="1"/>
  <c r="U457" i="1"/>
  <c r="R457" i="1"/>
  <c r="M457" i="1"/>
  <c r="L457" i="1"/>
  <c r="P457" i="1" s="1"/>
  <c r="A457" i="1"/>
  <c r="U456" i="1"/>
  <c r="R456" i="1"/>
  <c r="M456" i="1"/>
  <c r="L456" i="1"/>
  <c r="P456" i="1" s="1"/>
  <c r="A456" i="1"/>
  <c r="U455" i="1"/>
  <c r="R455" i="1"/>
  <c r="M455" i="1"/>
  <c r="L455" i="1"/>
  <c r="P455" i="1" s="1"/>
  <c r="A455" i="1"/>
  <c r="U454" i="1"/>
  <c r="R454" i="1"/>
  <c r="M454" i="1"/>
  <c r="L454" i="1"/>
  <c r="P454" i="1" s="1"/>
  <c r="A454" i="1"/>
  <c r="U453" i="1"/>
  <c r="R453" i="1"/>
  <c r="M453" i="1"/>
  <c r="L453" i="1"/>
  <c r="P453" i="1" s="1"/>
  <c r="A453" i="1"/>
  <c r="U452" i="1"/>
  <c r="R452" i="1"/>
  <c r="M452" i="1"/>
  <c r="L452" i="1"/>
  <c r="P452" i="1" s="1"/>
  <c r="A452" i="1"/>
  <c r="U451" i="1"/>
  <c r="R451" i="1"/>
  <c r="M451" i="1"/>
  <c r="L451" i="1"/>
  <c r="P451" i="1" s="1"/>
  <c r="A451" i="1"/>
  <c r="U450" i="1"/>
  <c r="R450" i="1"/>
  <c r="M450" i="1"/>
  <c r="L450" i="1"/>
  <c r="P450" i="1" s="1"/>
  <c r="A450" i="1"/>
  <c r="U449" i="1"/>
  <c r="R449" i="1"/>
  <c r="M449" i="1"/>
  <c r="L449" i="1"/>
  <c r="P449" i="1" s="1"/>
  <c r="A449" i="1"/>
  <c r="U448" i="1"/>
  <c r="R448" i="1"/>
  <c r="M448" i="1"/>
  <c r="L448" i="1"/>
  <c r="P448" i="1" s="1"/>
  <c r="A448" i="1"/>
  <c r="U447" i="1"/>
  <c r="R447" i="1"/>
  <c r="M447" i="1"/>
  <c r="L447" i="1"/>
  <c r="P447" i="1" s="1"/>
  <c r="A447" i="1"/>
  <c r="U446" i="1"/>
  <c r="R446" i="1"/>
  <c r="M17" i="2" s="1" a="1"/>
  <c r="M17" i="2" s="1"/>
  <c r="M446" i="1"/>
  <c r="A446" i="1"/>
  <c r="U445" i="1"/>
  <c r="R445" i="1"/>
  <c r="M445" i="1"/>
  <c r="A445" i="1"/>
  <c r="U444" i="1"/>
  <c r="R444" i="1"/>
  <c r="M444" i="1"/>
  <c r="A444" i="1"/>
  <c r="U443" i="1"/>
  <c r="R443" i="1"/>
  <c r="M443" i="1"/>
  <c r="A443" i="1"/>
  <c r="U442" i="1"/>
  <c r="R442" i="1"/>
  <c r="M442" i="1"/>
  <c r="A442" i="1"/>
  <c r="U441" i="1"/>
  <c r="R441" i="1"/>
  <c r="M441" i="1"/>
  <c r="A441" i="1"/>
  <c r="U440" i="1"/>
  <c r="R440" i="1"/>
  <c r="M440" i="1"/>
  <c r="A440" i="1"/>
  <c r="U439" i="1"/>
  <c r="R439" i="1"/>
  <c r="M439" i="1"/>
  <c r="A439" i="1"/>
  <c r="U438" i="1"/>
  <c r="R438" i="1"/>
  <c r="M438" i="1"/>
  <c r="A438" i="1"/>
  <c r="U437" i="1"/>
  <c r="R437" i="1"/>
  <c r="M437" i="1"/>
  <c r="A437" i="1"/>
  <c r="U436" i="1"/>
  <c r="R436" i="1"/>
  <c r="M436" i="1"/>
  <c r="A436" i="1"/>
  <c r="U435" i="1"/>
  <c r="R435" i="1"/>
  <c r="M435" i="1"/>
  <c r="I435" i="1"/>
  <c r="A435" i="1"/>
  <c r="U434" i="1"/>
  <c r="R434" i="1"/>
  <c r="M434" i="1"/>
  <c r="A434" i="1"/>
  <c r="U433" i="1"/>
  <c r="R433" i="1"/>
  <c r="M433" i="1"/>
  <c r="A433" i="1"/>
  <c r="U432" i="1"/>
  <c r="R432" i="1"/>
  <c r="M432" i="1"/>
  <c r="A432" i="1"/>
  <c r="U431" i="1"/>
  <c r="R431" i="1"/>
  <c r="M431" i="1"/>
  <c r="I431" i="1"/>
  <c r="A431" i="1"/>
  <c r="U430" i="1"/>
  <c r="R430" i="1"/>
  <c r="M430" i="1"/>
  <c r="A430" i="1"/>
  <c r="U429" i="1"/>
  <c r="R429" i="1"/>
  <c r="M429" i="1"/>
  <c r="A429" i="1"/>
  <c r="U428" i="1"/>
  <c r="R428" i="1"/>
  <c r="M428" i="1"/>
  <c r="A428" i="1"/>
  <c r="U427" i="1"/>
  <c r="R427" i="1"/>
  <c r="M427" i="1"/>
  <c r="A427" i="1"/>
  <c r="U426" i="1"/>
  <c r="R426" i="1"/>
  <c r="M426" i="1"/>
  <c r="A426" i="1"/>
  <c r="U425" i="1"/>
  <c r="R425" i="1"/>
  <c r="M425" i="1"/>
  <c r="A425" i="1"/>
  <c r="U424" i="1"/>
  <c r="R424" i="1"/>
  <c r="M424" i="1"/>
  <c r="A424" i="1"/>
  <c r="U423" i="1"/>
  <c r="R423" i="1"/>
  <c r="M423" i="1"/>
  <c r="A423" i="1"/>
  <c r="U422" i="1"/>
  <c r="R422" i="1"/>
  <c r="M422" i="1"/>
  <c r="A422" i="1"/>
  <c r="U421" i="1"/>
  <c r="R421" i="1"/>
  <c r="M421" i="1"/>
  <c r="A421" i="1"/>
  <c r="U420" i="1"/>
  <c r="R420" i="1"/>
  <c r="M420" i="1"/>
  <c r="A420" i="1"/>
  <c r="U419" i="1"/>
  <c r="R419" i="1"/>
  <c r="M419" i="1"/>
  <c r="A419" i="1"/>
  <c r="U418" i="1"/>
  <c r="R418" i="1"/>
  <c r="M418" i="1"/>
  <c r="A418" i="1"/>
  <c r="U417" i="1"/>
  <c r="R417" i="1"/>
  <c r="M417" i="1"/>
  <c r="A417" i="1"/>
  <c r="U416" i="1"/>
  <c r="R416" i="1"/>
  <c r="M416" i="1"/>
  <c r="A416" i="1"/>
  <c r="U415" i="1"/>
  <c r="R415" i="1"/>
  <c r="M415" i="1"/>
  <c r="A415" i="1"/>
  <c r="U414" i="1"/>
  <c r="R414" i="1"/>
  <c r="Q414" i="1"/>
  <c r="Q415" i="1" s="1"/>
  <c r="N414" i="1"/>
  <c r="M414" i="1"/>
  <c r="A414" i="1"/>
  <c r="U413" i="1"/>
  <c r="M413" i="1"/>
  <c r="L413" i="1"/>
  <c r="P413" i="1" s="1"/>
  <c r="L414" i="1" s="1"/>
  <c r="P414" i="1" s="1"/>
  <c r="L415" i="1" s="1"/>
  <c r="P415" i="1" s="1"/>
  <c r="L416" i="1" s="1"/>
  <c r="P416" i="1" s="1"/>
  <c r="L417" i="1" s="1"/>
  <c r="P417" i="1" s="1"/>
  <c r="L418" i="1" s="1"/>
  <c r="P418" i="1" s="1"/>
  <c r="L419" i="1" s="1"/>
  <c r="P419" i="1" s="1"/>
  <c r="L420" i="1" s="1"/>
  <c r="P420" i="1" s="1"/>
  <c r="L421" i="1" s="1"/>
  <c r="P421" i="1" s="1"/>
  <c r="L422" i="1" s="1"/>
  <c r="P422" i="1" s="1"/>
  <c r="L423" i="1" s="1"/>
  <c r="P423" i="1" s="1"/>
  <c r="L424" i="1" s="1"/>
  <c r="P424" i="1" s="1"/>
  <c r="L425" i="1" s="1"/>
  <c r="P425" i="1" s="1"/>
  <c r="L426" i="1" s="1"/>
  <c r="P426" i="1" s="1"/>
  <c r="L427" i="1" s="1"/>
  <c r="P427" i="1" s="1"/>
  <c r="L428" i="1" s="1"/>
  <c r="P428" i="1" s="1"/>
  <c r="L429" i="1" s="1"/>
  <c r="P429" i="1" s="1"/>
  <c r="L430" i="1" s="1"/>
  <c r="P430" i="1" s="1"/>
  <c r="L431" i="1" s="1"/>
  <c r="A413" i="1"/>
  <c r="U412" i="1"/>
  <c r="R412" i="1"/>
  <c r="M412" i="1"/>
  <c r="L412" i="1"/>
  <c r="P412" i="1" s="1"/>
  <c r="A412" i="1"/>
  <c r="U411" i="1"/>
  <c r="R411" i="1"/>
  <c r="M15" i="2" s="1" a="1"/>
  <c r="M15" i="2" s="1"/>
  <c r="M411" i="1"/>
  <c r="L411" i="1"/>
  <c r="P411" i="1" s="1"/>
  <c r="A411" i="1"/>
  <c r="U410" i="1"/>
  <c r="R410" i="1"/>
  <c r="M410" i="1"/>
  <c r="A410" i="1"/>
  <c r="U409" i="1"/>
  <c r="R409" i="1"/>
  <c r="M409" i="1"/>
  <c r="A409" i="1"/>
  <c r="U408" i="1"/>
  <c r="R408" i="1"/>
  <c r="M408" i="1"/>
  <c r="A408" i="1"/>
  <c r="U407" i="1"/>
  <c r="R407" i="1"/>
  <c r="M407" i="1"/>
  <c r="A407" i="1"/>
  <c r="U406" i="1"/>
  <c r="R406" i="1"/>
  <c r="M406" i="1"/>
  <c r="A406" i="1"/>
  <c r="U405" i="1"/>
  <c r="R405" i="1"/>
  <c r="M405" i="1"/>
  <c r="A405" i="1"/>
  <c r="U404" i="1"/>
  <c r="R404" i="1"/>
  <c r="M404" i="1"/>
  <c r="A404" i="1"/>
  <c r="S403" i="1"/>
  <c r="R403" i="1"/>
  <c r="M403" i="1"/>
  <c r="A403" i="1"/>
  <c r="U402" i="1"/>
  <c r="R402" i="1"/>
  <c r="M402" i="1"/>
  <c r="A402" i="1"/>
  <c r="U401" i="1"/>
  <c r="R401" i="1"/>
  <c r="M401" i="1"/>
  <c r="A401" i="1"/>
  <c r="S400" i="1"/>
  <c r="R400" i="1"/>
  <c r="M400" i="1"/>
  <c r="A400" i="1"/>
  <c r="U399" i="1"/>
  <c r="R399" i="1"/>
  <c r="M399" i="1"/>
  <c r="A399" i="1"/>
  <c r="U398" i="1"/>
  <c r="R398" i="1"/>
  <c r="M398" i="1"/>
  <c r="A398" i="1"/>
  <c r="U397" i="1"/>
  <c r="R397" i="1"/>
  <c r="M397" i="1"/>
  <c r="A397" i="1"/>
  <c r="U396" i="1"/>
  <c r="R396" i="1"/>
  <c r="M396" i="1"/>
  <c r="A396" i="1"/>
  <c r="U395" i="1"/>
  <c r="R395" i="1"/>
  <c r="M395" i="1"/>
  <c r="A395" i="1"/>
  <c r="U394" i="1"/>
  <c r="R394" i="1"/>
  <c r="M394" i="1"/>
  <c r="A394" i="1"/>
  <c r="U393" i="1"/>
  <c r="R393" i="1"/>
  <c r="M393" i="1"/>
  <c r="A393" i="1"/>
  <c r="U392" i="1"/>
  <c r="R392" i="1"/>
  <c r="M392" i="1"/>
  <c r="A392" i="1"/>
  <c r="U391" i="1"/>
  <c r="R391" i="1"/>
  <c r="M391" i="1"/>
  <c r="A391" i="1"/>
  <c r="U390" i="1"/>
  <c r="R390" i="1"/>
  <c r="M390" i="1"/>
  <c r="A390" i="1"/>
  <c r="U389" i="1"/>
  <c r="R389" i="1"/>
  <c r="M389" i="1"/>
  <c r="A389" i="1"/>
  <c r="U388" i="1"/>
  <c r="R388" i="1"/>
  <c r="M388" i="1"/>
  <c r="A388" i="1"/>
  <c r="U387" i="1"/>
  <c r="R387" i="1"/>
  <c r="M387" i="1"/>
  <c r="A387" i="1"/>
  <c r="U386" i="1"/>
  <c r="R386" i="1"/>
  <c r="M386" i="1"/>
  <c r="A386" i="1"/>
  <c r="U385" i="1"/>
  <c r="R385" i="1"/>
  <c r="M385" i="1"/>
  <c r="A385" i="1"/>
  <c r="U384" i="1"/>
  <c r="R384" i="1"/>
  <c r="M384" i="1"/>
  <c r="A384" i="1"/>
  <c r="U383" i="1"/>
  <c r="R383" i="1"/>
  <c r="M383" i="1"/>
  <c r="A383" i="1"/>
  <c r="U382" i="1"/>
  <c r="R382" i="1"/>
  <c r="M382" i="1"/>
  <c r="A382" i="1"/>
  <c r="U381" i="1"/>
  <c r="R381" i="1"/>
  <c r="M381" i="1"/>
  <c r="A381" i="1"/>
  <c r="U380" i="1"/>
  <c r="R380" i="1"/>
  <c r="M380" i="1"/>
  <c r="A380" i="1"/>
  <c r="U379" i="1"/>
  <c r="R379" i="1"/>
  <c r="M379" i="1"/>
  <c r="A379" i="1"/>
  <c r="U378" i="1"/>
  <c r="R378" i="1"/>
  <c r="M378" i="1"/>
  <c r="A378" i="1"/>
  <c r="U377" i="1"/>
  <c r="R377" i="1"/>
  <c r="Q377" i="1"/>
  <c r="N377" i="1"/>
  <c r="O377" i="1" s="1"/>
  <c r="M377" i="1"/>
  <c r="A377" i="1"/>
  <c r="U376" i="1"/>
  <c r="O376" i="1"/>
  <c r="M376" i="1"/>
  <c r="L376" i="1"/>
  <c r="P376" i="1" s="1"/>
  <c r="L377" i="1" s="1"/>
  <c r="P377" i="1" s="1"/>
  <c r="L378" i="1" s="1"/>
  <c r="P378" i="1" s="1"/>
  <c r="L379" i="1" s="1"/>
  <c r="P379" i="1" s="1"/>
  <c r="L380" i="1" s="1"/>
  <c r="P380" i="1" s="1"/>
  <c r="L381" i="1" s="1"/>
  <c r="P381" i="1" s="1"/>
  <c r="L382" i="1" s="1"/>
  <c r="P382" i="1" s="1"/>
  <c r="L383" i="1" s="1"/>
  <c r="P383" i="1" s="1"/>
  <c r="L384" i="1" s="1"/>
  <c r="P384" i="1" s="1"/>
  <c r="L385" i="1" s="1"/>
  <c r="P385" i="1" s="1"/>
  <c r="L386" i="1" s="1"/>
  <c r="P386" i="1" s="1"/>
  <c r="L387" i="1" s="1"/>
  <c r="P387" i="1" s="1"/>
  <c r="L388" i="1" s="1"/>
  <c r="P388" i="1" s="1"/>
  <c r="L389" i="1" s="1"/>
  <c r="P389" i="1" s="1"/>
  <c r="L390" i="1" s="1"/>
  <c r="P390" i="1" s="1"/>
  <c r="L391" i="1" s="1"/>
  <c r="P391" i="1" s="1"/>
  <c r="L392" i="1" s="1"/>
  <c r="P392" i="1" s="1"/>
  <c r="L393" i="1" s="1"/>
  <c r="P393" i="1" s="1"/>
  <c r="L394" i="1" s="1"/>
  <c r="P394" i="1" s="1"/>
  <c r="L395" i="1" s="1"/>
  <c r="P395" i="1" s="1"/>
  <c r="L396" i="1" s="1"/>
  <c r="P396" i="1" s="1"/>
  <c r="L397" i="1" s="1"/>
  <c r="P397" i="1" s="1"/>
  <c r="L398" i="1" s="1"/>
  <c r="P398" i="1" s="1"/>
  <c r="L399" i="1" s="1"/>
  <c r="P399" i="1" s="1"/>
  <c r="L400" i="1" s="1"/>
  <c r="P400" i="1" s="1"/>
  <c r="A376" i="1"/>
  <c r="U375" i="1"/>
  <c r="R375" i="1"/>
  <c r="M2" i="2" s="1" a="1"/>
  <c r="M2" i="2" s="1"/>
  <c r="M375" i="1"/>
  <c r="O375" i="1" s="1"/>
  <c r="A375" i="1"/>
  <c r="S374" i="1"/>
  <c r="U374" i="1" s="1"/>
  <c r="R374" i="1"/>
  <c r="M374" i="1"/>
  <c r="A374" i="1"/>
  <c r="U373" i="1"/>
  <c r="R373" i="1"/>
  <c r="M373" i="1"/>
  <c r="A373" i="1"/>
  <c r="U372" i="1"/>
  <c r="R372" i="1"/>
  <c r="M372" i="1"/>
  <c r="A372" i="1"/>
  <c r="U371" i="1"/>
  <c r="R371" i="1"/>
  <c r="M371" i="1"/>
  <c r="A371" i="1"/>
  <c r="U370" i="1"/>
  <c r="R370" i="1"/>
  <c r="M370" i="1"/>
  <c r="A370" i="1"/>
  <c r="U369" i="1"/>
  <c r="R369" i="1"/>
  <c r="M369" i="1"/>
  <c r="A369" i="1"/>
  <c r="U368" i="1"/>
  <c r="R368" i="1"/>
  <c r="M368" i="1"/>
  <c r="A368" i="1"/>
  <c r="U367" i="1"/>
  <c r="R367" i="1"/>
  <c r="M367" i="1"/>
  <c r="A367" i="1"/>
  <c r="U366" i="1"/>
  <c r="R366" i="1"/>
  <c r="M366" i="1"/>
  <c r="A366" i="1"/>
  <c r="U365" i="1"/>
  <c r="R365" i="1"/>
  <c r="M365" i="1"/>
  <c r="A365" i="1"/>
  <c r="U364" i="1"/>
  <c r="R364" i="1"/>
  <c r="P364" i="1"/>
  <c r="L365" i="1" s="1"/>
  <c r="P365" i="1" s="1"/>
  <c r="L366" i="1" s="1"/>
  <c r="P366" i="1" s="1"/>
  <c r="L367" i="1" s="1"/>
  <c r="P367" i="1" s="1"/>
  <c r="L368" i="1" s="1"/>
  <c r="P368" i="1" s="1"/>
  <c r="L369" i="1" s="1"/>
  <c r="P369" i="1" s="1"/>
  <c r="L370" i="1" s="1"/>
  <c r="P370" i="1" s="1"/>
  <c r="L371" i="1" s="1"/>
  <c r="P371" i="1" s="1"/>
  <c r="L372" i="1" s="1"/>
  <c r="P372" i="1" s="1"/>
  <c r="L373" i="1" s="1"/>
  <c r="P373" i="1" s="1"/>
  <c r="L374" i="1" s="1"/>
  <c r="P374" i="1" s="1"/>
  <c r="M364" i="1"/>
  <c r="K364" i="1"/>
  <c r="A364" i="1"/>
  <c r="U363" i="1"/>
  <c r="R363" i="1"/>
  <c r="M363" i="1"/>
  <c r="A363" i="1"/>
  <c r="U362" i="1"/>
  <c r="R362" i="1"/>
  <c r="M362" i="1"/>
  <c r="A362" i="1"/>
  <c r="U361" i="1"/>
  <c r="R361" i="1"/>
  <c r="M361" i="1"/>
  <c r="A361" i="1"/>
  <c r="U360" i="1"/>
  <c r="R360" i="1"/>
  <c r="M360" i="1"/>
  <c r="A360" i="1"/>
  <c r="U359" i="1"/>
  <c r="R359" i="1"/>
  <c r="M359" i="1"/>
  <c r="A359" i="1"/>
  <c r="U358" i="1"/>
  <c r="R358" i="1"/>
  <c r="M358" i="1"/>
  <c r="A358" i="1"/>
  <c r="U357" i="1"/>
  <c r="R357" i="1"/>
  <c r="M357" i="1"/>
  <c r="A357" i="1"/>
  <c r="U356" i="1"/>
  <c r="R356" i="1"/>
  <c r="M356" i="1"/>
  <c r="A356" i="1"/>
  <c r="U355" i="1"/>
  <c r="R355" i="1"/>
  <c r="M355" i="1"/>
  <c r="A355" i="1"/>
  <c r="U354" i="1"/>
  <c r="R354" i="1"/>
  <c r="M354" i="1"/>
  <c r="A354" i="1"/>
  <c r="U353" i="1"/>
  <c r="R353" i="1"/>
  <c r="M353" i="1"/>
  <c r="A353" i="1"/>
  <c r="U352" i="1"/>
  <c r="R352" i="1"/>
  <c r="M352" i="1"/>
  <c r="A352" i="1"/>
  <c r="U351" i="1"/>
  <c r="R351" i="1"/>
  <c r="M351" i="1"/>
  <c r="A351" i="1"/>
  <c r="U350" i="1"/>
  <c r="R350" i="1"/>
  <c r="M350" i="1"/>
  <c r="A350" i="1"/>
  <c r="U349" i="1"/>
  <c r="R349" i="1"/>
  <c r="M349" i="1"/>
  <c r="A349" i="1"/>
  <c r="U348" i="1"/>
  <c r="R348" i="1"/>
  <c r="M348" i="1"/>
  <c r="A348" i="1"/>
  <c r="U347" i="1"/>
  <c r="R347" i="1"/>
  <c r="M347" i="1"/>
  <c r="A347" i="1"/>
  <c r="S346" i="1"/>
  <c r="R346" i="1"/>
  <c r="M346" i="1"/>
  <c r="A346" i="1"/>
  <c r="U345" i="1"/>
  <c r="R345" i="1"/>
  <c r="M345" i="1"/>
  <c r="A345" i="1"/>
  <c r="U344" i="1"/>
  <c r="R344" i="1"/>
  <c r="M344" i="1"/>
  <c r="A344" i="1"/>
  <c r="U343" i="1"/>
  <c r="R343" i="1"/>
  <c r="M343" i="1"/>
  <c r="A343" i="1"/>
  <c r="U342" i="1"/>
  <c r="R342" i="1"/>
  <c r="M342" i="1"/>
  <c r="A342" i="1"/>
  <c r="U341" i="1"/>
  <c r="R341" i="1"/>
  <c r="M341" i="1"/>
  <c r="G341" i="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F341" i="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A341" i="1"/>
  <c r="S340" i="1"/>
  <c r="U340" i="1" s="1"/>
  <c r="R340" i="1"/>
  <c r="Q340" i="1"/>
  <c r="N341" i="1" s="1"/>
  <c r="O341" i="1" s="1"/>
  <c r="P340" i="1"/>
  <c r="N340" i="1"/>
  <c r="M340" i="1"/>
  <c r="A340" i="1"/>
  <c r="U339" i="1"/>
  <c r="M339" i="1"/>
  <c r="L339" i="1"/>
  <c r="P339" i="1" s="1"/>
  <c r="A339" i="1"/>
  <c r="U338" i="1"/>
  <c r="R338" i="1"/>
  <c r="M338" i="1"/>
  <c r="L338" i="1"/>
  <c r="P338" i="1" s="1"/>
  <c r="A338" i="1"/>
  <c r="U337" i="1"/>
  <c r="R337" i="1"/>
  <c r="M337" i="1"/>
  <c r="L337" i="1"/>
  <c r="P337" i="1" s="1"/>
  <c r="A337" i="1"/>
  <c r="U336" i="1"/>
  <c r="R336" i="1"/>
  <c r="M336" i="1"/>
  <c r="L336" i="1"/>
  <c r="P336" i="1" s="1"/>
  <c r="A336" i="1"/>
  <c r="U335" i="1"/>
  <c r="R335" i="1"/>
  <c r="M335" i="1"/>
  <c r="L335" i="1"/>
  <c r="P335" i="1" s="1"/>
  <c r="A335" i="1"/>
  <c r="U334" i="1"/>
  <c r="R334" i="1"/>
  <c r="M334" i="1"/>
  <c r="L334" i="1"/>
  <c r="P334" i="1" s="1"/>
  <c r="A334" i="1"/>
  <c r="U333" i="1"/>
  <c r="R333" i="1"/>
  <c r="M333" i="1"/>
  <c r="L333" i="1"/>
  <c r="P333" i="1" s="1"/>
  <c r="A333" i="1"/>
  <c r="U332" i="1"/>
  <c r="R332" i="1"/>
  <c r="M332" i="1"/>
  <c r="L332" i="1"/>
  <c r="P332" i="1" s="1"/>
  <c r="A332" i="1"/>
  <c r="U331" i="1"/>
  <c r="R331" i="1"/>
  <c r="M331" i="1"/>
  <c r="L331" i="1"/>
  <c r="P331" i="1" s="1"/>
  <c r="A331" i="1"/>
  <c r="U330" i="1"/>
  <c r="R330" i="1"/>
  <c r="M330" i="1"/>
  <c r="L330" i="1"/>
  <c r="P330" i="1" s="1"/>
  <c r="A330" i="1"/>
  <c r="U329" i="1"/>
  <c r="R329" i="1"/>
  <c r="M329" i="1"/>
  <c r="L329" i="1"/>
  <c r="P329" i="1" s="1"/>
  <c r="A329" i="1"/>
  <c r="U328" i="1"/>
  <c r="R328" i="1"/>
  <c r="M328" i="1"/>
  <c r="L328" i="1"/>
  <c r="P328" i="1" s="1"/>
  <c r="A328" i="1"/>
  <c r="U327" i="1"/>
  <c r="R327" i="1"/>
  <c r="M327" i="1"/>
  <c r="L327" i="1"/>
  <c r="P327" i="1" s="1"/>
  <c r="A327" i="1"/>
  <c r="U326" i="1"/>
  <c r="R326" i="1"/>
  <c r="M326" i="1"/>
  <c r="L326" i="1"/>
  <c r="P326" i="1" s="1"/>
  <c r="A326" i="1"/>
  <c r="U325" i="1"/>
  <c r="R325" i="1"/>
  <c r="M325" i="1"/>
  <c r="L325" i="1"/>
  <c r="P325" i="1" s="1"/>
  <c r="A325" i="1"/>
  <c r="U324" i="1"/>
  <c r="R324" i="1"/>
  <c r="M8" i="2" s="1" a="1"/>
  <c r="M8" i="2" s="1"/>
  <c r="M324" i="1"/>
  <c r="A324" i="1"/>
  <c r="U323" i="1"/>
  <c r="R323" i="1"/>
  <c r="M323" i="1"/>
  <c r="A323" i="1"/>
  <c r="U322" i="1"/>
  <c r="R322" i="1"/>
  <c r="M322" i="1"/>
  <c r="A322" i="1"/>
  <c r="U321" i="1"/>
  <c r="R321" i="1"/>
  <c r="M321" i="1"/>
  <c r="A321" i="1"/>
  <c r="U320" i="1"/>
  <c r="R320" i="1"/>
  <c r="M320" i="1"/>
  <c r="A320" i="1"/>
  <c r="U319" i="1"/>
  <c r="R319" i="1"/>
  <c r="M319" i="1"/>
  <c r="A319" i="1"/>
  <c r="U318" i="1"/>
  <c r="R318" i="1"/>
  <c r="M318" i="1"/>
  <c r="A318" i="1"/>
  <c r="U317" i="1"/>
  <c r="R317" i="1"/>
  <c r="M317" i="1"/>
  <c r="A317" i="1"/>
  <c r="U316" i="1"/>
  <c r="R316" i="1"/>
  <c r="M316" i="1"/>
  <c r="A316" i="1"/>
  <c r="U315" i="1"/>
  <c r="R315" i="1"/>
  <c r="M315" i="1"/>
  <c r="A315" i="1"/>
  <c r="U314" i="1"/>
  <c r="R314" i="1"/>
  <c r="P314" i="1"/>
  <c r="L315" i="1" s="1"/>
  <c r="P315" i="1" s="1"/>
  <c r="L316" i="1" s="1"/>
  <c r="P316" i="1" s="1"/>
  <c r="L317" i="1" s="1"/>
  <c r="P317" i="1" s="1"/>
  <c r="L318" i="1" s="1"/>
  <c r="P318" i="1" s="1"/>
  <c r="L319" i="1" s="1"/>
  <c r="P319" i="1" s="1"/>
  <c r="L320" i="1" s="1"/>
  <c r="P320" i="1" s="1"/>
  <c r="L321" i="1" s="1"/>
  <c r="P321" i="1" s="1"/>
  <c r="L322" i="1" s="1"/>
  <c r="P322" i="1" s="1"/>
  <c r="L323" i="1" s="1"/>
  <c r="P323" i="1" s="1"/>
  <c r="L324" i="1" s="1"/>
  <c r="P324" i="1" s="1"/>
  <c r="M314" i="1"/>
  <c r="A314" i="1"/>
  <c r="U313" i="1"/>
  <c r="R313" i="1"/>
  <c r="M313" i="1"/>
  <c r="I313" i="1"/>
  <c r="P313" i="1" s="1"/>
  <c r="A313" i="1"/>
  <c r="U312" i="1"/>
  <c r="R312" i="1"/>
  <c r="M312" i="1"/>
  <c r="A312" i="1"/>
  <c r="S311" i="1"/>
  <c r="R311" i="1"/>
  <c r="M311" i="1"/>
  <c r="A311" i="1"/>
  <c r="S310" i="1"/>
  <c r="R310" i="1"/>
  <c r="M310" i="1"/>
  <c r="A310" i="1"/>
  <c r="U309" i="1"/>
  <c r="R309" i="1"/>
  <c r="M309" i="1"/>
  <c r="I309" i="1"/>
  <c r="A309" i="1"/>
  <c r="U308" i="1"/>
  <c r="R308" i="1"/>
  <c r="M308" i="1"/>
  <c r="A308" i="1"/>
  <c r="U307" i="1"/>
  <c r="R307" i="1"/>
  <c r="M307" i="1"/>
  <c r="A307" i="1"/>
  <c r="U306" i="1"/>
  <c r="R306" i="1"/>
  <c r="M306" i="1"/>
  <c r="A306" i="1"/>
  <c r="U305" i="1"/>
  <c r="R305" i="1"/>
  <c r="M305" i="1"/>
  <c r="A305" i="1"/>
  <c r="U304" i="1"/>
  <c r="R304" i="1"/>
  <c r="M304" i="1"/>
  <c r="A304" i="1"/>
  <c r="U303" i="1"/>
  <c r="R303" i="1"/>
  <c r="Q303" i="1"/>
  <c r="Q304" i="1" s="1"/>
  <c r="N305" i="1" s="1"/>
  <c r="N303" i="1"/>
  <c r="M303" i="1"/>
  <c r="A303" i="1"/>
  <c r="U302" i="1"/>
  <c r="M302" i="1"/>
  <c r="O302" i="1" s="1"/>
  <c r="L302" i="1"/>
  <c r="P302" i="1" s="1"/>
  <c r="L303" i="1" s="1"/>
  <c r="P303" i="1" s="1"/>
  <c r="L304" i="1" s="1"/>
  <c r="P304" i="1" s="1"/>
  <c r="L305" i="1" s="1"/>
  <c r="P305" i="1" s="1"/>
  <c r="L306" i="1" s="1"/>
  <c r="P306" i="1" s="1"/>
  <c r="L307" i="1" s="1"/>
  <c r="P307" i="1" s="1"/>
  <c r="L308" i="1" s="1"/>
  <c r="P308" i="1" s="1"/>
  <c r="L309" i="1" s="1"/>
  <c r="A302" i="1"/>
  <c r="U301" i="1"/>
  <c r="R301" i="1"/>
  <c r="M301" i="1"/>
  <c r="L301" i="1"/>
  <c r="P301" i="1" s="1"/>
  <c r="A301" i="1"/>
  <c r="U300" i="1"/>
  <c r="R300" i="1"/>
  <c r="M300" i="1"/>
  <c r="L300" i="1"/>
  <c r="P300" i="1" s="1"/>
  <c r="A300" i="1"/>
  <c r="U299" i="1"/>
  <c r="R299" i="1"/>
  <c r="M299" i="1"/>
  <c r="L299" i="1"/>
  <c r="P299" i="1" s="1"/>
  <c r="A299" i="1"/>
  <c r="U298" i="1"/>
  <c r="R298" i="1"/>
  <c r="M298" i="1"/>
  <c r="L298" i="1"/>
  <c r="P298" i="1" s="1"/>
  <c r="A298" i="1"/>
  <c r="U297" i="1"/>
  <c r="R297" i="1"/>
  <c r="M297" i="1"/>
  <c r="L297" i="1"/>
  <c r="P297" i="1" s="1"/>
  <c r="A297" i="1"/>
  <c r="U296" i="1"/>
  <c r="R296" i="1"/>
  <c r="M296" i="1"/>
  <c r="L296" i="1"/>
  <c r="P296" i="1" s="1"/>
  <c r="A296" i="1"/>
  <c r="U295" i="1"/>
  <c r="R295" i="1"/>
  <c r="M295" i="1"/>
  <c r="L295" i="1"/>
  <c r="P295" i="1" s="1"/>
  <c r="A295" i="1"/>
  <c r="U294" i="1"/>
  <c r="R294" i="1"/>
  <c r="M294" i="1"/>
  <c r="L294" i="1"/>
  <c r="P294" i="1" s="1"/>
  <c r="A294" i="1"/>
  <c r="U293" i="1"/>
  <c r="R293" i="1"/>
  <c r="M293" i="1"/>
  <c r="L293" i="1"/>
  <c r="P293" i="1" s="1"/>
  <c r="A293" i="1"/>
  <c r="U292" i="1"/>
  <c r="R292" i="1"/>
  <c r="M292" i="1"/>
  <c r="L292" i="1"/>
  <c r="P292" i="1" s="1"/>
  <c r="A292" i="1"/>
  <c r="U291" i="1"/>
  <c r="R291" i="1"/>
  <c r="M291" i="1"/>
  <c r="L291" i="1"/>
  <c r="P291" i="1" s="1"/>
  <c r="A291" i="1"/>
  <c r="U290" i="1"/>
  <c r="R290" i="1"/>
  <c r="M290" i="1"/>
  <c r="L290" i="1"/>
  <c r="P290" i="1" s="1"/>
  <c r="A290" i="1"/>
  <c r="U289" i="1"/>
  <c r="R289" i="1"/>
  <c r="M21" i="2" s="1" a="1"/>
  <c r="M21" i="2" s="1"/>
  <c r="P289" i="1"/>
  <c r="M289" i="1"/>
  <c r="L289" i="1"/>
  <c r="A289" i="1"/>
  <c r="U288" i="1"/>
  <c r="R288" i="1"/>
  <c r="P288" i="1"/>
  <c r="M288" i="1"/>
  <c r="A288" i="1"/>
  <c r="U287" i="1"/>
  <c r="R287" i="1"/>
  <c r="M287" i="1"/>
  <c r="A287" i="1"/>
  <c r="S286" i="1"/>
  <c r="R286" i="1"/>
  <c r="M286" i="1"/>
  <c r="A286" i="1"/>
  <c r="U285" i="1"/>
  <c r="R285" i="1"/>
  <c r="M285" i="1"/>
  <c r="A285" i="1"/>
  <c r="U284" i="1"/>
  <c r="R284" i="1"/>
  <c r="M284" i="1"/>
  <c r="A284" i="1"/>
  <c r="U283" i="1"/>
  <c r="R283" i="1"/>
  <c r="M283" i="1"/>
  <c r="A283" i="1"/>
  <c r="U282" i="1"/>
  <c r="R282" i="1"/>
  <c r="M282" i="1"/>
  <c r="A282" i="1"/>
  <c r="U281" i="1"/>
  <c r="R281" i="1"/>
  <c r="M281" i="1"/>
  <c r="A281" i="1"/>
  <c r="U280" i="1"/>
  <c r="R280" i="1"/>
  <c r="M280" i="1"/>
  <c r="A280" i="1"/>
  <c r="S279" i="1"/>
  <c r="R279" i="1"/>
  <c r="M279" i="1"/>
  <c r="A279" i="1"/>
  <c r="U278" i="1"/>
  <c r="R278" i="1"/>
  <c r="M278" i="1"/>
  <c r="A278" i="1"/>
  <c r="U277" i="1"/>
  <c r="R277" i="1"/>
  <c r="M277" i="1"/>
  <c r="A277" i="1"/>
  <c r="S276" i="1"/>
  <c r="U276" i="1" s="1"/>
  <c r="R276" i="1"/>
  <c r="M276" i="1"/>
  <c r="A276" i="1"/>
  <c r="U275" i="1"/>
  <c r="R275" i="1"/>
  <c r="M275" i="1"/>
  <c r="A275" i="1"/>
  <c r="U274" i="1"/>
  <c r="S274" i="1"/>
  <c r="R274" i="1"/>
  <c r="M274" i="1"/>
  <c r="A274" i="1"/>
  <c r="U273" i="1"/>
  <c r="R273" i="1"/>
  <c r="M273" i="1"/>
  <c r="A273" i="1"/>
  <c r="U272" i="1"/>
  <c r="R272" i="1"/>
  <c r="M272" i="1"/>
  <c r="A272" i="1"/>
  <c r="U271" i="1"/>
  <c r="R271" i="1"/>
  <c r="M271" i="1"/>
  <c r="A271" i="1"/>
  <c r="U270" i="1"/>
  <c r="R270" i="1"/>
  <c r="M270" i="1"/>
  <c r="A270" i="1"/>
  <c r="U269" i="1"/>
  <c r="R269" i="1"/>
  <c r="M269" i="1"/>
  <c r="A269" i="1"/>
  <c r="U268" i="1"/>
  <c r="R268" i="1"/>
  <c r="M268" i="1"/>
  <c r="A268" i="1"/>
  <c r="U267" i="1"/>
  <c r="R267" i="1"/>
  <c r="M267" i="1"/>
  <c r="A267" i="1"/>
  <c r="U266" i="1"/>
  <c r="Q266" i="1"/>
  <c r="N267" i="1" s="1"/>
  <c r="O267" i="1" s="1"/>
  <c r="N266" i="1"/>
  <c r="M266" i="1"/>
  <c r="L266" i="1"/>
  <c r="P266" i="1" s="1"/>
  <c r="L267" i="1" s="1"/>
  <c r="P267" i="1" s="1"/>
  <c r="L268" i="1" s="1"/>
  <c r="P268" i="1" s="1"/>
  <c r="L269" i="1" s="1"/>
  <c r="P269" i="1" s="1"/>
  <c r="L270" i="1" s="1"/>
  <c r="P270" i="1" s="1"/>
  <c r="L271" i="1" s="1"/>
  <c r="P271" i="1" s="1"/>
  <c r="L272" i="1" s="1"/>
  <c r="P272" i="1" s="1"/>
  <c r="L273" i="1" s="1"/>
  <c r="P273" i="1" s="1"/>
  <c r="L274" i="1" s="1"/>
  <c r="P274" i="1" s="1"/>
  <c r="A266" i="1"/>
  <c r="U265" i="1"/>
  <c r="R265" i="1"/>
  <c r="M265" i="1"/>
  <c r="O265" i="1" s="1"/>
  <c r="L265" i="1"/>
  <c r="P265" i="1" s="1"/>
  <c r="A265" i="1"/>
  <c r="U264" i="1"/>
  <c r="R264" i="1"/>
  <c r="M264" i="1"/>
  <c r="L264" i="1"/>
  <c r="P264" i="1" s="1"/>
  <c r="A264" i="1"/>
  <c r="U263" i="1"/>
  <c r="R263" i="1"/>
  <c r="M263" i="1"/>
  <c r="L263" i="1"/>
  <c r="I263" i="1"/>
  <c r="A263" i="1"/>
  <c r="U262" i="1"/>
  <c r="R262" i="1"/>
  <c r="M262" i="1"/>
  <c r="L262" i="1"/>
  <c r="P262" i="1" s="1"/>
  <c r="I262" i="1"/>
  <c r="A262" i="1"/>
  <c r="U261" i="1"/>
  <c r="R261" i="1"/>
  <c r="M261" i="1"/>
  <c r="L261" i="1"/>
  <c r="I261" i="1"/>
  <c r="A261" i="1"/>
  <c r="U260" i="1"/>
  <c r="R260" i="1"/>
  <c r="M260" i="1"/>
  <c r="L260" i="1"/>
  <c r="P260" i="1" s="1"/>
  <c r="I260" i="1"/>
  <c r="A260" i="1"/>
  <c r="U259" i="1"/>
  <c r="R259" i="1"/>
  <c r="M259" i="1"/>
  <c r="L259" i="1"/>
  <c r="I259" i="1"/>
  <c r="A259" i="1"/>
  <c r="U258" i="1"/>
  <c r="R258" i="1"/>
  <c r="M258" i="1"/>
  <c r="L258" i="1"/>
  <c r="I258" i="1"/>
  <c r="A258" i="1"/>
  <c r="U257" i="1"/>
  <c r="R257" i="1"/>
  <c r="M257" i="1"/>
  <c r="L257" i="1"/>
  <c r="I257" i="1"/>
  <c r="A257" i="1"/>
  <c r="U256" i="1"/>
  <c r="R256" i="1"/>
  <c r="M256" i="1"/>
  <c r="L256" i="1"/>
  <c r="I256" i="1"/>
  <c r="A256" i="1"/>
  <c r="U255" i="1"/>
  <c r="R255" i="1"/>
  <c r="M255" i="1"/>
  <c r="L255" i="1"/>
  <c r="I255" i="1"/>
  <c r="A255" i="1"/>
  <c r="U254" i="1"/>
  <c r="R254" i="1"/>
  <c r="M254" i="1"/>
  <c r="L254" i="1"/>
  <c r="P254" i="1" s="1"/>
  <c r="I254" i="1"/>
  <c r="A254" i="1"/>
  <c r="U253" i="1"/>
  <c r="R253" i="1"/>
  <c r="M253" i="1"/>
  <c r="L253" i="1"/>
  <c r="I253" i="1"/>
  <c r="A253" i="1"/>
  <c r="U252" i="1"/>
  <c r="R252" i="1"/>
  <c r="M252" i="1"/>
  <c r="L252" i="1"/>
  <c r="I252" i="1"/>
  <c r="P252" i="1" s="1"/>
  <c r="A252" i="1"/>
  <c r="U251" i="1"/>
  <c r="R251" i="1"/>
  <c r="M251" i="1"/>
  <c r="L251" i="1"/>
  <c r="I251" i="1"/>
  <c r="A251" i="1"/>
  <c r="U250" i="1"/>
  <c r="R250" i="1"/>
  <c r="M250" i="1"/>
  <c r="L250" i="1"/>
  <c r="I250" i="1"/>
  <c r="A250" i="1"/>
  <c r="U249" i="1"/>
  <c r="R249" i="1"/>
  <c r="M249" i="1"/>
  <c r="L249" i="1"/>
  <c r="I249" i="1"/>
  <c r="A249" i="1"/>
  <c r="U248" i="1"/>
  <c r="R248" i="1"/>
  <c r="M248" i="1"/>
  <c r="L248" i="1"/>
  <c r="I248" i="1"/>
  <c r="P248" i="1" s="1"/>
  <c r="A248" i="1"/>
  <c r="U247" i="1"/>
  <c r="R247" i="1"/>
  <c r="M247" i="1"/>
  <c r="L247" i="1"/>
  <c r="I247" i="1"/>
  <c r="A247" i="1"/>
  <c r="U246" i="1"/>
  <c r="R246" i="1"/>
  <c r="M246" i="1"/>
  <c r="L246" i="1"/>
  <c r="I246" i="1"/>
  <c r="A246" i="1"/>
  <c r="U245" i="1"/>
  <c r="R245" i="1"/>
  <c r="M245" i="1"/>
  <c r="L245" i="1"/>
  <c r="I245" i="1"/>
  <c r="A245" i="1"/>
  <c r="U244" i="1"/>
  <c r="R244" i="1"/>
  <c r="M244" i="1"/>
  <c r="L244" i="1"/>
  <c r="I244" i="1"/>
  <c r="P244" i="1" s="1"/>
  <c r="A244" i="1"/>
  <c r="U243" i="1"/>
  <c r="R243" i="1"/>
  <c r="M243" i="1"/>
  <c r="L243" i="1"/>
  <c r="I243" i="1"/>
  <c r="P243" i="1" s="1"/>
  <c r="A243" i="1"/>
  <c r="U242" i="1"/>
  <c r="R242" i="1"/>
  <c r="M242" i="1"/>
  <c r="L242" i="1"/>
  <c r="I242" i="1"/>
  <c r="A242" i="1"/>
  <c r="U241" i="1"/>
  <c r="R241" i="1"/>
  <c r="M241" i="1"/>
  <c r="L241" i="1"/>
  <c r="I241" i="1"/>
  <c r="A241" i="1"/>
  <c r="U240" i="1"/>
  <c r="R240" i="1"/>
  <c r="M240" i="1"/>
  <c r="L240" i="1"/>
  <c r="I240" i="1"/>
  <c r="A240" i="1"/>
  <c r="U239" i="1"/>
  <c r="R239" i="1"/>
  <c r="M239" i="1"/>
  <c r="L239" i="1"/>
  <c r="I239" i="1"/>
  <c r="A239" i="1"/>
  <c r="U238" i="1"/>
  <c r="R238" i="1"/>
  <c r="M238" i="1"/>
  <c r="L238" i="1"/>
  <c r="I238" i="1"/>
  <c r="A238" i="1"/>
  <c r="U237" i="1"/>
  <c r="R237" i="1"/>
  <c r="M237" i="1"/>
  <c r="L237" i="1"/>
  <c r="I237" i="1"/>
  <c r="A237" i="1"/>
  <c r="U236" i="1"/>
  <c r="R236" i="1"/>
  <c r="M236" i="1"/>
  <c r="L236" i="1"/>
  <c r="I236" i="1"/>
  <c r="A236" i="1"/>
  <c r="U235" i="1"/>
  <c r="R235" i="1"/>
  <c r="M235" i="1"/>
  <c r="L235" i="1"/>
  <c r="I235" i="1"/>
  <c r="A235" i="1"/>
  <c r="U234" i="1"/>
  <c r="R234" i="1"/>
  <c r="M234" i="1"/>
  <c r="L234" i="1"/>
  <c r="I234" i="1"/>
  <c r="A234" i="1"/>
  <c r="U233" i="1"/>
  <c r="R233" i="1"/>
  <c r="M233" i="1"/>
  <c r="L233" i="1"/>
  <c r="I233" i="1"/>
  <c r="A233" i="1"/>
  <c r="U232" i="1"/>
  <c r="R232" i="1"/>
  <c r="M232" i="1"/>
  <c r="L232" i="1"/>
  <c r="I232" i="1"/>
  <c r="A232" i="1"/>
  <c r="U231" i="1"/>
  <c r="R231" i="1"/>
  <c r="M231" i="1"/>
  <c r="L231" i="1"/>
  <c r="I231" i="1"/>
  <c r="A231" i="1"/>
  <c r="U230" i="1"/>
  <c r="R230" i="1"/>
  <c r="M230" i="1"/>
  <c r="L230" i="1"/>
  <c r="I230" i="1"/>
  <c r="A230" i="1"/>
  <c r="U229" i="1"/>
  <c r="R229" i="1"/>
  <c r="M229" i="1"/>
  <c r="L229" i="1"/>
  <c r="I229" i="1"/>
  <c r="A229" i="1"/>
  <c r="U228" i="1"/>
  <c r="R228" i="1"/>
  <c r="M228" i="1"/>
  <c r="L228" i="1"/>
  <c r="I228" i="1"/>
  <c r="A228" i="1"/>
  <c r="U227" i="1"/>
  <c r="R227" i="1"/>
  <c r="M227" i="1"/>
  <c r="L227" i="1"/>
  <c r="I227" i="1"/>
  <c r="P227" i="1" s="1"/>
  <c r="A227" i="1"/>
  <c r="U226" i="1"/>
  <c r="R226" i="1"/>
  <c r="M226" i="1"/>
  <c r="L226" i="1"/>
  <c r="I226" i="1"/>
  <c r="P226" i="1" s="1"/>
  <c r="A226" i="1"/>
  <c r="U225" i="1"/>
  <c r="R225" i="1"/>
  <c r="M225" i="1"/>
  <c r="L225" i="1"/>
  <c r="I225" i="1"/>
  <c r="A225" i="1"/>
  <c r="U224" i="1"/>
  <c r="R224" i="1"/>
  <c r="M224" i="1"/>
  <c r="L224" i="1"/>
  <c r="I224" i="1"/>
  <c r="A224" i="1"/>
  <c r="U223" i="1"/>
  <c r="R223" i="1"/>
  <c r="M223" i="1"/>
  <c r="L223" i="1"/>
  <c r="I223" i="1"/>
  <c r="A223" i="1"/>
  <c r="U222" i="1"/>
  <c r="R222" i="1"/>
  <c r="M222" i="1"/>
  <c r="L222" i="1"/>
  <c r="I222" i="1"/>
  <c r="A222" i="1"/>
  <c r="U221" i="1"/>
  <c r="R221" i="1"/>
  <c r="M26" i="2" s="1" a="1"/>
  <c r="M26" i="2" s="1"/>
  <c r="M221" i="1"/>
  <c r="L221" i="1"/>
  <c r="I221" i="1"/>
  <c r="A221" i="1"/>
  <c r="U220" i="1"/>
  <c r="R220" i="1"/>
  <c r="M220" i="1"/>
  <c r="I220" i="1"/>
  <c r="A220" i="1"/>
  <c r="U219" i="1"/>
  <c r="R219" i="1"/>
  <c r="M219" i="1"/>
  <c r="I219" i="1"/>
  <c r="A219" i="1"/>
  <c r="U218" i="1"/>
  <c r="R218" i="1"/>
  <c r="M218" i="1"/>
  <c r="I218" i="1"/>
  <c r="A218" i="1"/>
  <c r="U217" i="1"/>
  <c r="R217" i="1"/>
  <c r="M217" i="1"/>
  <c r="I217" i="1"/>
  <c r="A217" i="1"/>
  <c r="U216" i="1"/>
  <c r="R216" i="1"/>
  <c r="M216" i="1"/>
  <c r="I216" i="1"/>
  <c r="A216" i="1"/>
  <c r="U215" i="1"/>
  <c r="R215" i="1"/>
  <c r="M215" i="1"/>
  <c r="I215" i="1"/>
  <c r="A215" i="1"/>
  <c r="U214" i="1"/>
  <c r="R214" i="1"/>
  <c r="M214" i="1"/>
  <c r="I214" i="1"/>
  <c r="A214" i="1"/>
  <c r="U213" i="1"/>
  <c r="R213" i="1"/>
  <c r="M213" i="1"/>
  <c r="I213" i="1"/>
  <c r="A213" i="1"/>
  <c r="U212" i="1"/>
  <c r="R212" i="1"/>
  <c r="M212" i="1"/>
  <c r="I212" i="1"/>
  <c r="P212" i="1" s="1"/>
  <c r="L213" i="1" s="1"/>
  <c r="A212" i="1"/>
  <c r="U211" i="1"/>
  <c r="R211" i="1"/>
  <c r="M211" i="1"/>
  <c r="I211" i="1"/>
  <c r="A211" i="1"/>
  <c r="U210" i="1"/>
  <c r="R210" i="1"/>
  <c r="M210" i="1"/>
  <c r="H210" i="1"/>
  <c r="P210" i="1" s="1"/>
  <c r="L211" i="1" s="1"/>
  <c r="A210" i="1"/>
  <c r="U209" i="1"/>
  <c r="R209" i="1"/>
  <c r="M209" i="1"/>
  <c r="I209" i="1"/>
  <c r="A209" i="1"/>
  <c r="U208" i="1"/>
  <c r="R208" i="1"/>
  <c r="M208" i="1"/>
  <c r="I208" i="1"/>
  <c r="A208" i="1"/>
  <c r="U207" i="1"/>
  <c r="R207" i="1"/>
  <c r="M207" i="1"/>
  <c r="A207" i="1"/>
  <c r="U206" i="1"/>
  <c r="R206" i="1"/>
  <c r="M206" i="1"/>
  <c r="A206" i="1"/>
  <c r="U205" i="1"/>
  <c r="R205" i="1"/>
  <c r="Q205" i="1"/>
  <c r="N206" i="1" s="1"/>
  <c r="M205" i="1"/>
  <c r="I205" i="1"/>
  <c r="N205" i="1" s="1"/>
  <c r="A205" i="1"/>
  <c r="U204" i="1"/>
  <c r="P204" i="1"/>
  <c r="L205" i="1" s="1"/>
  <c r="N204" i="1"/>
  <c r="M204" i="1"/>
  <c r="A204" i="1"/>
  <c r="U203" i="1"/>
  <c r="R203" i="1"/>
  <c r="M203" i="1"/>
  <c r="L203" i="1"/>
  <c r="P203" i="1" s="1"/>
  <c r="A203" i="1"/>
  <c r="U202" i="1"/>
  <c r="R202" i="1"/>
  <c r="M202" i="1"/>
  <c r="L202" i="1"/>
  <c r="P202" i="1" s="1"/>
  <c r="A202" i="1"/>
  <c r="U201" i="1"/>
  <c r="R201" i="1"/>
  <c r="M201" i="1"/>
  <c r="L201" i="1"/>
  <c r="P201" i="1" s="1"/>
  <c r="A201" i="1"/>
  <c r="U200" i="1"/>
  <c r="R200" i="1"/>
  <c r="M200" i="1"/>
  <c r="L200" i="1"/>
  <c r="P200" i="1" s="1"/>
  <c r="A200" i="1"/>
  <c r="U199" i="1"/>
  <c r="R199" i="1"/>
  <c r="M199" i="1"/>
  <c r="L199" i="1"/>
  <c r="P199" i="1" s="1"/>
  <c r="A199" i="1"/>
  <c r="U198" i="1"/>
  <c r="R198" i="1"/>
  <c r="M198" i="1"/>
  <c r="L198" i="1"/>
  <c r="P198" i="1" s="1"/>
  <c r="A198" i="1"/>
  <c r="U197" i="1"/>
  <c r="R197" i="1"/>
  <c r="M197" i="1"/>
  <c r="L197" i="1"/>
  <c r="P197" i="1" s="1"/>
  <c r="A197" i="1"/>
  <c r="U196" i="1"/>
  <c r="R196" i="1"/>
  <c r="M196" i="1"/>
  <c r="L196" i="1"/>
  <c r="P196" i="1" s="1"/>
  <c r="A196" i="1"/>
  <c r="U195" i="1"/>
  <c r="R195" i="1"/>
  <c r="M195" i="1"/>
  <c r="L195" i="1"/>
  <c r="P195" i="1" s="1"/>
  <c r="A195" i="1"/>
  <c r="U194" i="1"/>
  <c r="R194" i="1"/>
  <c r="M194" i="1"/>
  <c r="L194" i="1"/>
  <c r="P194" i="1" s="1"/>
  <c r="A194" i="1"/>
  <c r="U193" i="1"/>
  <c r="R193" i="1"/>
  <c r="M193" i="1"/>
  <c r="L193" i="1"/>
  <c r="P193" i="1" s="1"/>
  <c r="A193" i="1"/>
  <c r="U192" i="1"/>
  <c r="R192" i="1"/>
  <c r="M192" i="1"/>
  <c r="L192" i="1"/>
  <c r="P192" i="1" s="1"/>
  <c r="A192" i="1"/>
  <c r="U191" i="1"/>
  <c r="R191" i="1"/>
  <c r="M191" i="1"/>
  <c r="L191" i="1"/>
  <c r="P191" i="1" s="1"/>
  <c r="A191" i="1"/>
  <c r="U190" i="1"/>
  <c r="R190" i="1"/>
  <c r="M16" i="2" s="1" a="1"/>
  <c r="M16" i="2" s="1"/>
  <c r="M190" i="1"/>
  <c r="L190" i="1"/>
  <c r="P190" i="1" s="1"/>
  <c r="A190" i="1"/>
  <c r="U189" i="1"/>
  <c r="R189" i="1"/>
  <c r="M189" i="1"/>
  <c r="A189" i="1"/>
  <c r="U188" i="1"/>
  <c r="R188" i="1"/>
  <c r="M188" i="1"/>
  <c r="A188" i="1"/>
  <c r="U187" i="1"/>
  <c r="R187" i="1"/>
  <c r="M187" i="1"/>
  <c r="A187" i="1"/>
  <c r="U186" i="1"/>
  <c r="R186" i="1"/>
  <c r="M186" i="1"/>
  <c r="A186" i="1"/>
  <c r="U185" i="1"/>
  <c r="R185" i="1"/>
  <c r="M185" i="1"/>
  <c r="A185" i="1"/>
  <c r="U184" i="1"/>
  <c r="R184" i="1"/>
  <c r="M184" i="1"/>
  <c r="A184" i="1"/>
  <c r="U183" i="1"/>
  <c r="R183" i="1"/>
  <c r="M183" i="1"/>
  <c r="A183" i="1"/>
  <c r="U182" i="1"/>
  <c r="R182" i="1"/>
  <c r="M182" i="1"/>
  <c r="A182" i="1"/>
  <c r="U181" i="1"/>
  <c r="S181" i="1"/>
  <c r="R181" i="1"/>
  <c r="M181" i="1"/>
  <c r="A181" i="1"/>
  <c r="U180" i="1"/>
  <c r="R180" i="1"/>
  <c r="M180" i="1"/>
  <c r="A180" i="1"/>
  <c r="U179" i="1"/>
  <c r="R179" i="1"/>
  <c r="M179" i="1"/>
  <c r="A179" i="1"/>
  <c r="U178" i="1"/>
  <c r="R178" i="1"/>
  <c r="M178" i="1"/>
  <c r="A178" i="1"/>
  <c r="U177" i="1"/>
  <c r="R177" i="1"/>
  <c r="M177" i="1"/>
  <c r="A177" i="1"/>
  <c r="U176" i="1"/>
  <c r="R176" i="1"/>
  <c r="M176" i="1"/>
  <c r="A176" i="1"/>
  <c r="U175" i="1"/>
  <c r="R175" i="1"/>
  <c r="M175" i="1"/>
  <c r="A175" i="1"/>
  <c r="U174" i="1"/>
  <c r="R174" i="1"/>
  <c r="M174" i="1"/>
  <c r="A174" i="1"/>
  <c r="U173" i="1"/>
  <c r="R173" i="1"/>
  <c r="M173" i="1"/>
  <c r="A173" i="1"/>
  <c r="U172" i="1"/>
  <c r="R172" i="1"/>
  <c r="M172" i="1"/>
  <c r="A172" i="1"/>
  <c r="U171" i="1"/>
  <c r="R171" i="1"/>
  <c r="M171" i="1"/>
  <c r="A171" i="1"/>
  <c r="U170" i="1"/>
  <c r="R170" i="1"/>
  <c r="M170" i="1"/>
  <c r="A170" i="1"/>
  <c r="U169" i="1"/>
  <c r="R169" i="1"/>
  <c r="Q169" i="1"/>
  <c r="Q170" i="1" s="1"/>
  <c r="N169" i="1"/>
  <c r="M169" i="1"/>
  <c r="G169" i="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F169" i="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A169" i="1"/>
  <c r="U168" i="1"/>
  <c r="N168" i="1"/>
  <c r="M168" i="1"/>
  <c r="L168" i="1"/>
  <c r="P168" i="1" s="1"/>
  <c r="L169" i="1" s="1"/>
  <c r="P169" i="1" s="1"/>
  <c r="L170" i="1" s="1"/>
  <c r="P170" i="1" s="1"/>
  <c r="L171" i="1" s="1"/>
  <c r="P171" i="1" s="1"/>
  <c r="L172" i="1" s="1"/>
  <c r="P172" i="1" s="1"/>
  <c r="L173" i="1" s="1"/>
  <c r="P173" i="1" s="1"/>
  <c r="L174" i="1" s="1"/>
  <c r="P174" i="1" s="1"/>
  <c r="L175" i="1" s="1"/>
  <c r="P175" i="1" s="1"/>
  <c r="L176" i="1" s="1"/>
  <c r="P176" i="1" s="1"/>
  <c r="L177" i="1" s="1"/>
  <c r="P177" i="1" s="1"/>
  <c r="L178" i="1" s="1"/>
  <c r="P178" i="1" s="1"/>
  <c r="L179" i="1" s="1"/>
  <c r="P179" i="1" s="1"/>
  <c r="L180" i="1" s="1"/>
  <c r="P180" i="1" s="1"/>
  <c r="L181" i="1" s="1"/>
  <c r="P181" i="1" s="1"/>
  <c r="A168" i="1"/>
  <c r="U167" i="1"/>
  <c r="R167" i="1"/>
  <c r="N167" i="1"/>
  <c r="M167" i="1"/>
  <c r="L167" i="1"/>
  <c r="P167" i="1" s="1"/>
  <c r="A167" i="1"/>
  <c r="U166" i="1"/>
  <c r="R166" i="1"/>
  <c r="N166" i="1"/>
  <c r="M166" i="1"/>
  <c r="L166" i="1"/>
  <c r="P166" i="1" s="1"/>
  <c r="A166" i="1"/>
  <c r="U165" i="1"/>
  <c r="R165" i="1"/>
  <c r="N165" i="1"/>
  <c r="M165" i="1"/>
  <c r="L165" i="1"/>
  <c r="P165" i="1" s="1"/>
  <c r="A165" i="1"/>
  <c r="U164" i="1"/>
  <c r="R164" i="1"/>
  <c r="N164" i="1"/>
  <c r="M164" i="1"/>
  <c r="L164" i="1"/>
  <c r="P164" i="1" s="1"/>
  <c r="A164" i="1"/>
  <c r="U163" i="1"/>
  <c r="R163" i="1"/>
  <c r="N163" i="1"/>
  <c r="M163" i="1"/>
  <c r="L163" i="1"/>
  <c r="P163" i="1" s="1"/>
  <c r="A163" i="1"/>
  <c r="U162" i="1"/>
  <c r="R162" i="1"/>
  <c r="N162" i="1"/>
  <c r="M162" i="1"/>
  <c r="L162" i="1"/>
  <c r="P162" i="1" s="1"/>
  <c r="A162" i="1"/>
  <c r="U161" i="1"/>
  <c r="R161" i="1"/>
  <c r="N161" i="1"/>
  <c r="M161" i="1"/>
  <c r="L161" i="1"/>
  <c r="P161" i="1" s="1"/>
  <c r="A161" i="1"/>
  <c r="U160" i="1"/>
  <c r="R160" i="1"/>
  <c r="N160" i="1"/>
  <c r="M160" i="1"/>
  <c r="L160" i="1"/>
  <c r="P160" i="1" s="1"/>
  <c r="A160" i="1"/>
  <c r="U159" i="1"/>
  <c r="R159" i="1"/>
  <c r="N159" i="1"/>
  <c r="M159" i="1"/>
  <c r="L159" i="1"/>
  <c r="P159" i="1" s="1"/>
  <c r="A159" i="1"/>
  <c r="U158" i="1"/>
  <c r="R158" i="1"/>
  <c r="N158" i="1"/>
  <c r="M158" i="1"/>
  <c r="L158" i="1"/>
  <c r="P158" i="1" s="1"/>
  <c r="A158" i="1"/>
  <c r="U157" i="1"/>
  <c r="R157" i="1"/>
  <c r="N157" i="1"/>
  <c r="M157" i="1"/>
  <c r="L157" i="1"/>
  <c r="P157" i="1" s="1"/>
  <c r="A157" i="1"/>
  <c r="U156" i="1"/>
  <c r="R156" i="1"/>
  <c r="N156" i="1"/>
  <c r="M156" i="1"/>
  <c r="L156" i="1"/>
  <c r="P156" i="1" s="1"/>
  <c r="A156" i="1"/>
  <c r="U155" i="1"/>
  <c r="R155" i="1"/>
  <c r="N155" i="1"/>
  <c r="M155" i="1"/>
  <c r="L155" i="1"/>
  <c r="P155" i="1" s="1"/>
  <c r="A155" i="1"/>
  <c r="U154" i="1"/>
  <c r="R154" i="1"/>
  <c r="M5" i="2" s="1" a="1"/>
  <c r="M5" i="2" s="1"/>
  <c r="N154" i="1"/>
  <c r="M154" i="1"/>
  <c r="L154" i="1"/>
  <c r="P154" i="1" s="1"/>
  <c r="A154" i="1"/>
  <c r="U153" i="1"/>
  <c r="R153" i="1"/>
  <c r="N153" i="1"/>
  <c r="M153" i="1"/>
  <c r="A153" i="1"/>
  <c r="U152" i="1"/>
  <c r="R152" i="1"/>
  <c r="N152" i="1"/>
  <c r="O152" i="1" s="1"/>
  <c r="M152" i="1"/>
  <c r="A152" i="1"/>
  <c r="U151" i="1"/>
  <c r="R151" i="1"/>
  <c r="N151" i="1"/>
  <c r="M151" i="1"/>
  <c r="A151" i="1"/>
  <c r="U150" i="1"/>
  <c r="R150" i="1"/>
  <c r="N150" i="1"/>
  <c r="O150" i="1" s="1"/>
  <c r="M150" i="1"/>
  <c r="A150" i="1"/>
  <c r="U149" i="1"/>
  <c r="R149" i="1"/>
  <c r="N149" i="1"/>
  <c r="M149" i="1"/>
  <c r="A149" i="1"/>
  <c r="U148" i="1"/>
  <c r="R148" i="1"/>
  <c r="N148" i="1"/>
  <c r="O148" i="1" s="1"/>
  <c r="M148" i="1"/>
  <c r="A148" i="1"/>
  <c r="U147" i="1"/>
  <c r="R147" i="1"/>
  <c r="N147" i="1"/>
  <c r="M147" i="1"/>
  <c r="A147" i="1"/>
  <c r="U146" i="1"/>
  <c r="R146" i="1"/>
  <c r="N146" i="1"/>
  <c r="O146" i="1" s="1"/>
  <c r="M146" i="1"/>
  <c r="A146" i="1"/>
  <c r="U145" i="1"/>
  <c r="R145" i="1"/>
  <c r="N145" i="1"/>
  <c r="M145" i="1"/>
  <c r="A145" i="1"/>
  <c r="U144" i="1"/>
  <c r="R144" i="1"/>
  <c r="N144" i="1"/>
  <c r="O144" i="1" s="1"/>
  <c r="M144" i="1"/>
  <c r="A144" i="1"/>
  <c r="U143" i="1"/>
  <c r="R143" i="1"/>
  <c r="N143" i="1"/>
  <c r="M143" i="1"/>
  <c r="A143" i="1"/>
  <c r="U142" i="1"/>
  <c r="R142" i="1"/>
  <c r="N142" i="1"/>
  <c r="O142" i="1" s="1"/>
  <c r="M142" i="1"/>
  <c r="A142" i="1"/>
  <c r="U141" i="1"/>
  <c r="R141" i="1"/>
  <c r="N141" i="1"/>
  <c r="M141" i="1"/>
  <c r="A141" i="1"/>
  <c r="U140" i="1"/>
  <c r="R140" i="1"/>
  <c r="N140" i="1"/>
  <c r="O140" i="1" s="1"/>
  <c r="M140" i="1"/>
  <c r="A140" i="1"/>
  <c r="U139" i="1"/>
  <c r="R139" i="1"/>
  <c r="N139" i="1"/>
  <c r="M139" i="1"/>
  <c r="A139" i="1"/>
  <c r="U138" i="1"/>
  <c r="R138" i="1"/>
  <c r="N138" i="1"/>
  <c r="O138" i="1" s="1"/>
  <c r="M138" i="1"/>
  <c r="A138" i="1"/>
  <c r="U137" i="1"/>
  <c r="R137" i="1"/>
  <c r="N137" i="1"/>
  <c r="M137" i="1"/>
  <c r="A137" i="1"/>
  <c r="U136" i="1"/>
  <c r="R136" i="1"/>
  <c r="N136" i="1"/>
  <c r="O136" i="1" s="1"/>
  <c r="M136" i="1"/>
  <c r="A136" i="1"/>
  <c r="U135" i="1"/>
  <c r="R135" i="1"/>
  <c r="N135" i="1"/>
  <c r="M135" i="1"/>
  <c r="A135" i="1"/>
  <c r="U134" i="1"/>
  <c r="R134" i="1"/>
  <c r="N134" i="1"/>
  <c r="O134" i="1" s="1"/>
  <c r="M134" i="1"/>
  <c r="A134" i="1"/>
  <c r="U133" i="1"/>
  <c r="R133" i="1"/>
  <c r="N133" i="1"/>
  <c r="M133" i="1"/>
  <c r="A133" i="1"/>
  <c r="U132" i="1"/>
  <c r="N132" i="1"/>
  <c r="O132" i="1" s="1"/>
  <c r="M132" i="1"/>
  <c r="L132" i="1"/>
  <c r="P132" i="1" s="1"/>
  <c r="L133" i="1" s="1"/>
  <c r="P133" i="1" s="1"/>
  <c r="L134" i="1" s="1"/>
  <c r="P134" i="1" s="1"/>
  <c r="L135" i="1" s="1"/>
  <c r="P135" i="1" s="1"/>
  <c r="L136" i="1" s="1"/>
  <c r="P136" i="1" s="1"/>
  <c r="L137" i="1" s="1"/>
  <c r="P137" i="1" s="1"/>
  <c r="L138" i="1" s="1"/>
  <c r="P138" i="1" s="1"/>
  <c r="L139" i="1" s="1"/>
  <c r="P139" i="1" s="1"/>
  <c r="L140" i="1" s="1"/>
  <c r="P140" i="1" s="1"/>
  <c r="L141" i="1" s="1"/>
  <c r="P141" i="1" s="1"/>
  <c r="L142" i="1" s="1"/>
  <c r="P142" i="1" s="1"/>
  <c r="L143" i="1" s="1"/>
  <c r="P143" i="1" s="1"/>
  <c r="L144" i="1" s="1"/>
  <c r="P144" i="1" s="1"/>
  <c r="L145" i="1" s="1"/>
  <c r="P145" i="1" s="1"/>
  <c r="L146" i="1" s="1"/>
  <c r="P146" i="1" s="1"/>
  <c r="L147" i="1" s="1"/>
  <c r="P147" i="1" s="1"/>
  <c r="L148" i="1" s="1"/>
  <c r="P148" i="1" s="1"/>
  <c r="L149" i="1" s="1"/>
  <c r="P149" i="1" s="1"/>
  <c r="L150" i="1" s="1"/>
  <c r="P150" i="1" s="1"/>
  <c r="L151" i="1" s="1"/>
  <c r="P151" i="1" s="1"/>
  <c r="L152" i="1" s="1"/>
  <c r="P152" i="1" s="1"/>
  <c r="L153" i="1" s="1"/>
  <c r="P153" i="1" s="1"/>
  <c r="A132" i="1"/>
  <c r="U131" i="1"/>
  <c r="R131" i="1"/>
  <c r="M131" i="1"/>
  <c r="L131" i="1"/>
  <c r="P131" i="1" s="1"/>
  <c r="A131" i="1"/>
  <c r="U130" i="1"/>
  <c r="R130" i="1"/>
  <c r="M130" i="1"/>
  <c r="L130" i="1"/>
  <c r="P130" i="1" s="1"/>
  <c r="A130" i="1"/>
  <c r="U129" i="1"/>
  <c r="R129" i="1"/>
  <c r="M129" i="1"/>
  <c r="L129" i="1"/>
  <c r="P129" i="1" s="1"/>
  <c r="A129" i="1"/>
  <c r="U128" i="1"/>
  <c r="R128" i="1"/>
  <c r="M128" i="1"/>
  <c r="L128" i="1"/>
  <c r="P128" i="1" s="1"/>
  <c r="A128" i="1"/>
  <c r="U127" i="1"/>
  <c r="R127" i="1"/>
  <c r="M127" i="1"/>
  <c r="L127" i="1"/>
  <c r="P127" i="1" s="1"/>
  <c r="A127" i="1"/>
  <c r="U126" i="1"/>
  <c r="R126" i="1"/>
  <c r="M126" i="1"/>
  <c r="L126" i="1"/>
  <c r="P126" i="1" s="1"/>
  <c r="A126" i="1"/>
  <c r="U125" i="1"/>
  <c r="R125" i="1"/>
  <c r="M125" i="1"/>
  <c r="L125" i="1"/>
  <c r="P125" i="1" s="1"/>
  <c r="A125" i="1"/>
  <c r="U124" i="1"/>
  <c r="R124" i="1"/>
  <c r="M124" i="1"/>
  <c r="L124" i="1"/>
  <c r="P124" i="1" s="1"/>
  <c r="A124" i="1"/>
  <c r="U123" i="1"/>
  <c r="R123" i="1"/>
  <c r="M3" i="2" s="1" a="1"/>
  <c r="M3" i="2" s="1"/>
  <c r="M123" i="1"/>
  <c r="L123" i="1"/>
  <c r="P123" i="1" s="1"/>
  <c r="A123" i="1"/>
  <c r="U122" i="1"/>
  <c r="R122" i="1"/>
  <c r="M122" i="1"/>
  <c r="A122" i="1"/>
  <c r="U121" i="1"/>
  <c r="R121" i="1"/>
  <c r="M121" i="1"/>
  <c r="A121" i="1"/>
  <c r="U120" i="1"/>
  <c r="R120" i="1"/>
  <c r="M120" i="1"/>
  <c r="A120" i="1"/>
  <c r="U119" i="1"/>
  <c r="R119" i="1"/>
  <c r="M119" i="1"/>
  <c r="A119" i="1"/>
  <c r="U118" i="1"/>
  <c r="R118" i="1"/>
  <c r="M118" i="1"/>
  <c r="A118" i="1"/>
  <c r="U117" i="1"/>
  <c r="R117" i="1"/>
  <c r="M117" i="1"/>
  <c r="A117" i="1"/>
  <c r="U116" i="1"/>
  <c r="R116" i="1"/>
  <c r="M116" i="1"/>
  <c r="A116" i="1"/>
  <c r="U115" i="1"/>
  <c r="R115" i="1"/>
  <c r="M115" i="1"/>
  <c r="A115" i="1"/>
  <c r="U114" i="1"/>
  <c r="R114" i="1"/>
  <c r="M114" i="1"/>
  <c r="A114" i="1"/>
  <c r="U113" i="1"/>
  <c r="R113" i="1"/>
  <c r="M113" i="1"/>
  <c r="A113" i="1"/>
  <c r="U112" i="1"/>
  <c r="R112" i="1"/>
  <c r="M112" i="1"/>
  <c r="A112" i="1"/>
  <c r="U111" i="1"/>
  <c r="R111" i="1"/>
  <c r="M111" i="1"/>
  <c r="A111" i="1"/>
  <c r="U110" i="1"/>
  <c r="R110" i="1"/>
  <c r="M110" i="1"/>
  <c r="A110" i="1"/>
  <c r="U109" i="1"/>
  <c r="R109" i="1"/>
  <c r="M109" i="1"/>
  <c r="A109" i="1"/>
  <c r="U108" i="1"/>
  <c r="R108" i="1"/>
  <c r="M108" i="1"/>
  <c r="A108" i="1"/>
  <c r="U107" i="1"/>
  <c r="R107" i="1"/>
  <c r="M107" i="1"/>
  <c r="A107" i="1"/>
  <c r="U106" i="1"/>
  <c r="R106" i="1"/>
  <c r="M106" i="1"/>
  <c r="A106" i="1"/>
  <c r="U105" i="1"/>
  <c r="R105" i="1"/>
  <c r="M105" i="1"/>
  <c r="A105" i="1"/>
  <c r="U104" i="1"/>
  <c r="R104" i="1"/>
  <c r="M104" i="1"/>
  <c r="A104" i="1"/>
  <c r="U103" i="1"/>
  <c r="R103" i="1"/>
  <c r="M103" i="1"/>
  <c r="A103" i="1"/>
  <c r="U102" i="1"/>
  <c r="R102" i="1"/>
  <c r="M102" i="1"/>
  <c r="A102" i="1"/>
  <c r="U101" i="1"/>
  <c r="R101" i="1"/>
  <c r="M101" i="1"/>
  <c r="A101" i="1"/>
  <c r="U100" i="1"/>
  <c r="R100" i="1"/>
  <c r="M100" i="1"/>
  <c r="A100" i="1"/>
  <c r="U99" i="1"/>
  <c r="R99" i="1"/>
  <c r="M99" i="1"/>
  <c r="A99" i="1"/>
  <c r="U98" i="1"/>
  <c r="R98" i="1"/>
  <c r="M98" i="1"/>
  <c r="A98" i="1"/>
  <c r="U97" i="1"/>
  <c r="R97" i="1"/>
  <c r="Q97" i="1"/>
  <c r="N98" i="1" s="1"/>
  <c r="O98" i="1" s="1"/>
  <c r="N97" i="1"/>
  <c r="O97" i="1" s="1"/>
  <c r="M97" i="1"/>
  <c r="A97" i="1"/>
  <c r="U96" i="1"/>
  <c r="N96" i="1"/>
  <c r="M96" i="1"/>
  <c r="L96" i="1"/>
  <c r="P96" i="1" s="1"/>
  <c r="L97" i="1" s="1"/>
  <c r="P97" i="1" s="1"/>
  <c r="L98" i="1" s="1"/>
  <c r="P98" i="1" s="1"/>
  <c r="L99" i="1" s="1"/>
  <c r="P99" i="1" s="1"/>
  <c r="L100" i="1" s="1"/>
  <c r="P100" i="1" s="1"/>
  <c r="L101" i="1" s="1"/>
  <c r="P101" i="1" s="1"/>
  <c r="L102" i="1" s="1"/>
  <c r="P102" i="1" s="1"/>
  <c r="L103" i="1" s="1"/>
  <c r="P103" i="1" s="1"/>
  <c r="L104" i="1" s="1"/>
  <c r="P104" i="1" s="1"/>
  <c r="L105" i="1" s="1"/>
  <c r="P105" i="1" s="1"/>
  <c r="L106" i="1" s="1"/>
  <c r="P106" i="1" s="1"/>
  <c r="L107" i="1" s="1"/>
  <c r="P107" i="1" s="1"/>
  <c r="L108" i="1" s="1"/>
  <c r="P108" i="1" s="1"/>
  <c r="L109" i="1" s="1"/>
  <c r="P109" i="1" s="1"/>
  <c r="L110" i="1" s="1"/>
  <c r="P110" i="1" s="1"/>
  <c r="L111" i="1" s="1"/>
  <c r="P111" i="1" s="1"/>
  <c r="L112" i="1" s="1"/>
  <c r="P112" i="1" s="1"/>
  <c r="L113" i="1" s="1"/>
  <c r="P113" i="1" s="1"/>
  <c r="L114" i="1" s="1"/>
  <c r="P114" i="1" s="1"/>
  <c r="L115" i="1" s="1"/>
  <c r="P115" i="1" s="1"/>
  <c r="L116" i="1" s="1"/>
  <c r="P116" i="1" s="1"/>
  <c r="L117" i="1" s="1"/>
  <c r="P117" i="1" s="1"/>
  <c r="L118" i="1" s="1"/>
  <c r="P118" i="1" s="1"/>
  <c r="L119" i="1" s="1"/>
  <c r="P119" i="1" s="1"/>
  <c r="L120" i="1" s="1"/>
  <c r="P120" i="1" s="1"/>
  <c r="L121" i="1" s="1"/>
  <c r="P121" i="1" s="1"/>
  <c r="L122" i="1" s="1"/>
  <c r="P122" i="1" s="1"/>
  <c r="A96" i="1"/>
  <c r="U95" i="1"/>
  <c r="R95" i="1"/>
  <c r="M95" i="1"/>
  <c r="L95" i="1"/>
  <c r="A95" i="1"/>
  <c r="U94" i="1"/>
  <c r="R94" i="1"/>
  <c r="M94" i="1"/>
  <c r="L94" i="1"/>
  <c r="A94" i="1"/>
  <c r="U93" i="1"/>
  <c r="R93" i="1"/>
  <c r="M93" i="1"/>
  <c r="L93" i="1"/>
  <c r="A93" i="1"/>
  <c r="U92" i="1"/>
  <c r="R92" i="1"/>
  <c r="M92" i="1"/>
  <c r="L92" i="1"/>
  <c r="A92" i="1"/>
  <c r="U91" i="1"/>
  <c r="R91" i="1"/>
  <c r="M91" i="1"/>
  <c r="L91" i="1"/>
  <c r="A91" i="1"/>
  <c r="U90" i="1"/>
  <c r="R90" i="1"/>
  <c r="M90" i="1"/>
  <c r="L90" i="1"/>
  <c r="A90" i="1"/>
  <c r="U89" i="1"/>
  <c r="R89" i="1"/>
  <c r="M89" i="1"/>
  <c r="L89" i="1"/>
  <c r="A89" i="1"/>
  <c r="U88" i="1"/>
  <c r="R88" i="1"/>
  <c r="M88" i="1"/>
  <c r="L88" i="1"/>
  <c r="A88" i="1"/>
  <c r="U87" i="1"/>
  <c r="R87" i="1"/>
  <c r="M9" i="2" s="1" a="1"/>
  <c r="M9" i="2" s="1"/>
  <c r="M87" i="1"/>
  <c r="L87" i="1"/>
  <c r="A87" i="1"/>
  <c r="U86" i="1"/>
  <c r="R86" i="1"/>
  <c r="M86" i="1"/>
  <c r="A86" i="1"/>
  <c r="U85" i="1"/>
  <c r="R85" i="1"/>
  <c r="M85" i="1"/>
  <c r="A85" i="1"/>
  <c r="U84" i="1"/>
  <c r="R84" i="1"/>
  <c r="M84" i="1"/>
  <c r="A84" i="1"/>
  <c r="U83" i="1"/>
  <c r="R83" i="1"/>
  <c r="M83" i="1"/>
  <c r="A83" i="1"/>
  <c r="U82" i="1"/>
  <c r="R82" i="1"/>
  <c r="M82" i="1"/>
  <c r="A82" i="1"/>
  <c r="U81" i="1"/>
  <c r="R81" i="1"/>
  <c r="M81" i="1"/>
  <c r="A81" i="1"/>
  <c r="U80" i="1"/>
  <c r="R80" i="1"/>
  <c r="M80" i="1"/>
  <c r="A80" i="1"/>
  <c r="U79" i="1"/>
  <c r="R79" i="1"/>
  <c r="N79" i="1"/>
  <c r="M79" i="1"/>
  <c r="A79" i="1"/>
  <c r="U78" i="1"/>
  <c r="R78" i="1"/>
  <c r="N78" i="1"/>
  <c r="O78" i="1" s="1"/>
  <c r="M78" i="1"/>
  <c r="A78" i="1"/>
  <c r="U77" i="1"/>
  <c r="R77" i="1"/>
  <c r="N77" i="1"/>
  <c r="M77" i="1"/>
  <c r="A77" i="1"/>
  <c r="U76" i="1"/>
  <c r="R76" i="1"/>
  <c r="N76" i="1"/>
  <c r="O76" i="1" s="1"/>
  <c r="M76" i="1"/>
  <c r="A76" i="1"/>
  <c r="U75" i="1"/>
  <c r="R75" i="1"/>
  <c r="N75" i="1"/>
  <c r="M75" i="1"/>
  <c r="A75" i="1"/>
  <c r="U74" i="1"/>
  <c r="R74" i="1"/>
  <c r="N74" i="1"/>
  <c r="O74" i="1" s="1"/>
  <c r="M74" i="1"/>
  <c r="A74" i="1"/>
  <c r="U73" i="1"/>
  <c r="R73" i="1"/>
  <c r="N73" i="1"/>
  <c r="M73" i="1"/>
  <c r="A73" i="1"/>
  <c r="S72" i="1"/>
  <c r="R72" i="1"/>
  <c r="N72" i="1"/>
  <c r="M72" i="1"/>
  <c r="A72" i="1"/>
  <c r="U71" i="1"/>
  <c r="R71" i="1"/>
  <c r="N71" i="1"/>
  <c r="M71" i="1"/>
  <c r="O71" i="1" s="1"/>
  <c r="A71" i="1"/>
  <c r="U70" i="1"/>
  <c r="R70" i="1"/>
  <c r="N70" i="1"/>
  <c r="M70" i="1"/>
  <c r="A70" i="1"/>
  <c r="U69" i="1"/>
  <c r="R69" i="1"/>
  <c r="N69" i="1"/>
  <c r="M69" i="1"/>
  <c r="O69" i="1" s="1"/>
  <c r="A69" i="1"/>
  <c r="U68" i="1"/>
  <c r="R68" i="1"/>
  <c r="N68" i="1"/>
  <c r="M68" i="1"/>
  <c r="A68" i="1"/>
  <c r="U67" i="1"/>
  <c r="R67" i="1"/>
  <c r="N67" i="1"/>
  <c r="M67" i="1"/>
  <c r="O67" i="1" s="1"/>
  <c r="A67" i="1"/>
  <c r="U66" i="1"/>
  <c r="R66" i="1"/>
  <c r="N66" i="1"/>
  <c r="M66" i="1"/>
  <c r="A66" i="1"/>
  <c r="U65" i="1"/>
  <c r="R65" i="1"/>
  <c r="N65" i="1"/>
  <c r="M65" i="1"/>
  <c r="O65" i="1" s="1"/>
  <c r="A65" i="1"/>
  <c r="U64" i="1"/>
  <c r="R64" i="1"/>
  <c r="N64" i="1"/>
  <c r="M64" i="1"/>
  <c r="A64" i="1"/>
  <c r="U63" i="1"/>
  <c r="R63" i="1"/>
  <c r="N63" i="1"/>
  <c r="M63" i="1"/>
  <c r="O63" i="1" s="1"/>
  <c r="A63" i="1"/>
  <c r="U62" i="1"/>
  <c r="R62" i="1"/>
  <c r="N62" i="1"/>
  <c r="M62" i="1"/>
  <c r="A62" i="1"/>
  <c r="U61" i="1"/>
  <c r="R61" i="1"/>
  <c r="N61" i="1"/>
  <c r="M61" i="1"/>
  <c r="O61" i="1" s="1"/>
  <c r="A61" i="1"/>
  <c r="U60" i="1"/>
  <c r="N60" i="1"/>
  <c r="M60" i="1"/>
  <c r="L60" i="1"/>
  <c r="P60" i="1" s="1"/>
  <c r="L61" i="1" s="1"/>
  <c r="P61" i="1" s="1"/>
  <c r="L62" i="1" s="1"/>
  <c r="P62" i="1" s="1"/>
  <c r="L63" i="1" s="1"/>
  <c r="P63" i="1" s="1"/>
  <c r="L64" i="1" s="1"/>
  <c r="P64" i="1" s="1"/>
  <c r="L65" i="1" s="1"/>
  <c r="P65" i="1" s="1"/>
  <c r="L66" i="1" s="1"/>
  <c r="P66" i="1" s="1"/>
  <c r="L67" i="1" s="1"/>
  <c r="P67" i="1" s="1"/>
  <c r="L68" i="1" s="1"/>
  <c r="P68" i="1" s="1"/>
  <c r="L69" i="1" s="1"/>
  <c r="P69" i="1" s="1"/>
  <c r="L70" i="1" s="1"/>
  <c r="P70" i="1" s="1"/>
  <c r="L71" i="1" s="1"/>
  <c r="P71" i="1" s="1"/>
  <c r="L72" i="1" s="1"/>
  <c r="P72" i="1" s="1"/>
  <c r="A60" i="1"/>
  <c r="U59" i="1"/>
  <c r="R59" i="1"/>
  <c r="M59" i="1"/>
  <c r="L59" i="1"/>
  <c r="P59" i="1" s="1"/>
  <c r="A59" i="1"/>
  <c r="U58" i="1"/>
  <c r="R58" i="1"/>
  <c r="M10" i="2" s="1" a="1"/>
  <c r="M10" i="2" s="1"/>
  <c r="M58" i="1"/>
  <c r="L58" i="1"/>
  <c r="P58" i="1" s="1"/>
  <c r="A58" i="1"/>
  <c r="U57" i="1"/>
  <c r="R57" i="1"/>
  <c r="M57" i="1"/>
  <c r="A57" i="1"/>
  <c r="U56" i="1"/>
  <c r="R56" i="1"/>
  <c r="M56" i="1"/>
  <c r="A56" i="1"/>
  <c r="U55" i="1"/>
  <c r="R55" i="1"/>
  <c r="M55" i="1"/>
  <c r="A55" i="1"/>
  <c r="U54" i="1"/>
  <c r="R54" i="1"/>
  <c r="M54" i="1"/>
  <c r="A54" i="1"/>
  <c r="U53" i="1"/>
  <c r="R53" i="1"/>
  <c r="M53" i="1"/>
  <c r="A53" i="1"/>
  <c r="U52" i="1"/>
  <c r="R52" i="1"/>
  <c r="M52" i="1"/>
  <c r="A52" i="1"/>
  <c r="U51" i="1"/>
  <c r="R51" i="1"/>
  <c r="M51" i="1"/>
  <c r="A51" i="1"/>
  <c r="U50" i="1"/>
  <c r="R50" i="1"/>
  <c r="M50" i="1"/>
  <c r="A50" i="1"/>
  <c r="U49" i="1"/>
  <c r="R49" i="1"/>
  <c r="M49" i="1"/>
  <c r="A49" i="1"/>
  <c r="U48" i="1"/>
  <c r="R48" i="1"/>
  <c r="M48" i="1"/>
  <c r="A48" i="1"/>
  <c r="S47" i="1"/>
  <c r="R47" i="1"/>
  <c r="M47" i="1"/>
  <c r="A47" i="1"/>
  <c r="U46" i="1"/>
  <c r="R46" i="1"/>
  <c r="M46" i="1"/>
  <c r="A46" i="1"/>
  <c r="U45" i="1"/>
  <c r="R45" i="1"/>
  <c r="M45" i="1"/>
  <c r="A45" i="1"/>
  <c r="U44" i="1"/>
  <c r="R44" i="1"/>
  <c r="M44" i="1"/>
  <c r="A44" i="1"/>
  <c r="S43" i="1"/>
  <c r="U43" i="1" s="1"/>
  <c r="R43" i="1"/>
  <c r="M43" i="1"/>
  <c r="A43" i="1"/>
  <c r="U42" i="1"/>
  <c r="R42" i="1"/>
  <c r="M42" i="1"/>
  <c r="A42" i="1"/>
  <c r="U41" i="1"/>
  <c r="R41" i="1"/>
  <c r="M41" i="1"/>
  <c r="A41" i="1"/>
  <c r="U40" i="1"/>
  <c r="R40" i="1"/>
  <c r="N40" i="1"/>
  <c r="M40" i="1"/>
  <c r="A40" i="1"/>
  <c r="U39" i="1"/>
  <c r="R39" i="1"/>
  <c r="N39" i="1"/>
  <c r="M39" i="1"/>
  <c r="A39" i="1"/>
  <c r="U38" i="1"/>
  <c r="R38" i="1"/>
  <c r="N38" i="1"/>
  <c r="M38" i="1"/>
  <c r="A38" i="1"/>
  <c r="U37" i="1"/>
  <c r="R37" i="1"/>
  <c r="N37" i="1"/>
  <c r="M37" i="1"/>
  <c r="A37" i="1"/>
  <c r="U36" i="1"/>
  <c r="R36" i="1"/>
  <c r="N36" i="1"/>
  <c r="M36" i="1"/>
  <c r="A36" i="1"/>
  <c r="U35" i="1"/>
  <c r="R35" i="1"/>
  <c r="N35" i="1"/>
  <c r="O35" i="1" s="1"/>
  <c r="M35" i="1"/>
  <c r="A35" i="1"/>
  <c r="U34" i="1"/>
  <c r="R34" i="1"/>
  <c r="P34" i="1"/>
  <c r="L35" i="1" s="1"/>
  <c r="P35" i="1" s="1"/>
  <c r="L36" i="1" s="1"/>
  <c r="P36" i="1" s="1"/>
  <c r="L37" i="1" s="1"/>
  <c r="P37" i="1" s="1"/>
  <c r="L38" i="1" s="1"/>
  <c r="P38" i="1" s="1"/>
  <c r="L39" i="1" s="1"/>
  <c r="P39" i="1" s="1"/>
  <c r="L40" i="1" s="1"/>
  <c r="P40" i="1" s="1"/>
  <c r="L41" i="1" s="1"/>
  <c r="N34" i="1"/>
  <c r="M34" i="1"/>
  <c r="A34" i="1"/>
  <c r="U33" i="1"/>
  <c r="R33" i="1"/>
  <c r="N33" i="1"/>
  <c r="O33" i="1" s="1"/>
  <c r="M33" i="1"/>
  <c r="A33" i="1"/>
  <c r="U32" i="1"/>
  <c r="R32" i="1"/>
  <c r="N32" i="1"/>
  <c r="M32" i="1"/>
  <c r="A32" i="1"/>
  <c r="U31" i="1"/>
  <c r="R31" i="1"/>
  <c r="N31" i="1"/>
  <c r="O31" i="1" s="1"/>
  <c r="M31" i="1"/>
  <c r="A31" i="1"/>
  <c r="U30" i="1"/>
  <c r="R30" i="1"/>
  <c r="N30" i="1"/>
  <c r="M30" i="1"/>
  <c r="A30" i="1"/>
  <c r="U29" i="1"/>
  <c r="R29" i="1"/>
  <c r="N29" i="1"/>
  <c r="O29" i="1" s="1"/>
  <c r="M29" i="1"/>
  <c r="A29" i="1"/>
  <c r="U28" i="1"/>
  <c r="R28" i="1"/>
  <c r="N28" i="1"/>
  <c r="M28" i="1"/>
  <c r="A28" i="1"/>
  <c r="U27" i="1"/>
  <c r="R27" i="1"/>
  <c r="N27" i="1"/>
  <c r="O27" i="1" s="1"/>
  <c r="M27" i="1"/>
  <c r="A27" i="1"/>
  <c r="U26" i="1"/>
  <c r="R26" i="1"/>
  <c r="N26" i="1"/>
  <c r="M26" i="1"/>
  <c r="A26" i="1"/>
  <c r="U25" i="1"/>
  <c r="R25" i="1"/>
  <c r="N25" i="1"/>
  <c r="O25" i="1" s="1"/>
  <c r="M25" i="1"/>
  <c r="A25" i="1"/>
  <c r="U24" i="1"/>
  <c r="N24" i="1"/>
  <c r="M24" i="1"/>
  <c r="L24" i="1"/>
  <c r="P24" i="1" s="1"/>
  <c r="L25" i="1" s="1"/>
  <c r="P25" i="1" s="1"/>
  <c r="L26" i="1" s="1"/>
  <c r="P26" i="1" s="1"/>
  <c r="L27" i="1" s="1"/>
  <c r="P27" i="1" s="1"/>
  <c r="L28" i="1" s="1"/>
  <c r="P28" i="1" s="1"/>
  <c r="L29" i="1" s="1"/>
  <c r="P29" i="1" s="1"/>
  <c r="L30" i="1" s="1"/>
  <c r="P30" i="1" s="1"/>
  <c r="L31" i="1" s="1"/>
  <c r="P31" i="1" s="1"/>
  <c r="L32" i="1" s="1"/>
  <c r="P32" i="1" s="1"/>
  <c r="L33" i="1" s="1"/>
  <c r="P33" i="1" s="1"/>
  <c r="A24" i="1"/>
  <c r="U23" i="1"/>
  <c r="R23" i="1"/>
  <c r="M23" i="1"/>
  <c r="L23" i="1"/>
  <c r="P23" i="1" s="1"/>
  <c r="A23" i="1"/>
  <c r="U22" i="1"/>
  <c r="R22" i="1"/>
  <c r="M22" i="1"/>
  <c r="L22" i="1"/>
  <c r="P22" i="1" s="1"/>
  <c r="A22" i="1"/>
  <c r="U21" i="1"/>
  <c r="R21" i="1"/>
  <c r="M21" i="1"/>
  <c r="L21" i="1"/>
  <c r="P21" i="1" s="1"/>
  <c r="A21" i="1"/>
  <c r="U20" i="1"/>
  <c r="R20" i="1"/>
  <c r="M20" i="1"/>
  <c r="L20" i="1"/>
  <c r="P20" i="1" s="1"/>
  <c r="A20" i="1"/>
  <c r="U19" i="1"/>
  <c r="R19" i="1"/>
  <c r="M19" i="1"/>
  <c r="L19" i="1"/>
  <c r="P19" i="1" s="1"/>
  <c r="A19" i="1"/>
  <c r="U18" i="1"/>
  <c r="R18" i="1"/>
  <c r="M18" i="1"/>
  <c r="A18" i="1"/>
  <c r="U17" i="1"/>
  <c r="R17" i="1"/>
  <c r="M17" i="1"/>
  <c r="A17" i="1"/>
  <c r="U16" i="1"/>
  <c r="R16" i="1"/>
  <c r="Q16" i="1"/>
  <c r="N17" i="1" s="1"/>
  <c r="O17" i="1" s="1"/>
  <c r="N16" i="1"/>
  <c r="M16" i="1"/>
  <c r="O16" i="1" s="1"/>
  <c r="A16" i="1"/>
  <c r="U15" i="1"/>
  <c r="R15" i="1"/>
  <c r="O15" i="1"/>
  <c r="L15" i="1"/>
  <c r="P15" i="1" s="1"/>
  <c r="L16" i="1" s="1"/>
  <c r="P16" i="1" s="1"/>
  <c r="L17" i="1" s="1"/>
  <c r="P17" i="1" s="1"/>
  <c r="L18" i="1" s="1"/>
  <c r="P18" i="1" s="1"/>
  <c r="A15" i="1"/>
  <c r="U14" i="1"/>
  <c r="R14" i="1"/>
  <c r="L14" i="1"/>
  <c r="H14" i="1"/>
  <c r="A14" i="1"/>
  <c r="U13" i="1"/>
  <c r="R13" i="1"/>
  <c r="L13" i="1"/>
  <c r="H13" i="1"/>
  <c r="A13" i="1"/>
  <c r="U12" i="1"/>
  <c r="R12" i="1"/>
  <c r="L12" i="1"/>
  <c r="H12" i="1"/>
  <c r="A12" i="1"/>
  <c r="U11" i="1"/>
  <c r="R11" i="1"/>
  <c r="L11" i="1"/>
  <c r="H11" i="1"/>
  <c r="A11" i="1"/>
  <c r="U10" i="1"/>
  <c r="R10" i="1"/>
  <c r="L10" i="1"/>
  <c r="H10" i="1"/>
  <c r="A10" i="1"/>
  <c r="U9" i="1"/>
  <c r="R9" i="1"/>
  <c r="M6" i="2" s="1" a="1"/>
  <c r="M6" i="2" s="1"/>
  <c r="H9" i="1"/>
  <c r="A9" i="1"/>
  <c r="U8" i="1"/>
  <c r="R8" i="1"/>
  <c r="H8" i="1"/>
  <c r="A8" i="1"/>
  <c r="U7" i="1"/>
  <c r="R7" i="1"/>
  <c r="H7" i="1"/>
  <c r="A7" i="1"/>
  <c r="U6" i="1"/>
  <c r="R6" i="1"/>
  <c r="H6" i="1"/>
  <c r="A6" i="1"/>
  <c r="U5" i="1"/>
  <c r="R5" i="1"/>
  <c r="H5" i="1"/>
  <c r="A5" i="1"/>
  <c r="U4" i="1"/>
  <c r="R4" i="1"/>
  <c r="H4" i="1"/>
  <c r="A4" i="1"/>
  <c r="U3" i="1"/>
  <c r="R3" i="1"/>
  <c r="A3" i="1"/>
  <c r="U2" i="1"/>
  <c r="R2" i="1"/>
  <c r="P2" i="1"/>
  <c r="L3" i="1" s="1"/>
  <c r="N2" i="1"/>
  <c r="O2" i="1" s="1"/>
  <c r="A2" i="1"/>
  <c r="O303" i="1" l="1"/>
  <c r="P808" i="1"/>
  <c r="P811" i="1"/>
  <c r="P815" i="1"/>
  <c r="P827" i="1"/>
  <c r="P251" i="1"/>
  <c r="P253" i="1"/>
  <c r="P255" i="1"/>
  <c r="P741" i="1"/>
  <c r="P745" i="1"/>
  <c r="P233" i="1"/>
  <c r="P237" i="1"/>
  <c r="N727" i="1"/>
  <c r="O727" i="1" s="1"/>
  <c r="P229" i="1"/>
  <c r="P246" i="1"/>
  <c r="P221" i="1"/>
  <c r="P228" i="1"/>
  <c r="P245" i="1"/>
  <c r="P247" i="1"/>
  <c r="P742" i="1"/>
  <c r="P773" i="1"/>
  <c r="P777" i="1"/>
  <c r="P832" i="1"/>
  <c r="P836" i="1"/>
  <c r="P822" i="1"/>
  <c r="P830" i="1"/>
  <c r="P833" i="1"/>
  <c r="P837" i="1"/>
  <c r="P242" i="1"/>
  <c r="N304" i="1"/>
  <c r="O304" i="1" s="1"/>
  <c r="L375" i="1"/>
  <c r="P375" i="1" s="1"/>
  <c r="P751" i="1"/>
  <c r="P755" i="1"/>
  <c r="P759" i="1"/>
  <c r="P763" i="1"/>
  <c r="P767" i="1"/>
  <c r="P771" i="1"/>
  <c r="P774" i="1"/>
  <c r="P817" i="1"/>
  <c r="P821" i="1"/>
  <c r="P824" i="1"/>
  <c r="O862" i="1"/>
  <c r="I988" i="1"/>
  <c r="N988" i="1" s="1"/>
  <c r="O988" i="1" s="1"/>
  <c r="O779" i="1"/>
  <c r="P205" i="1"/>
  <c r="L206" i="1" s="1"/>
  <c r="P206" i="1" s="1"/>
  <c r="L207" i="1" s="1"/>
  <c r="P207" i="1" s="1"/>
  <c r="L208" i="1" s="1"/>
  <c r="P208" i="1" s="1"/>
  <c r="L209" i="1" s="1"/>
  <c r="P209" i="1" s="1"/>
  <c r="P223" i="1"/>
  <c r="P225" i="1"/>
  <c r="P250" i="1"/>
  <c r="P257" i="1"/>
  <c r="P259" i="1"/>
  <c r="P213" i="1"/>
  <c r="L214" i="1" s="1"/>
  <c r="P214" i="1" s="1"/>
  <c r="L215" i="1" s="1"/>
  <c r="P241" i="1"/>
  <c r="P249" i="1"/>
  <c r="P309" i="1"/>
  <c r="L310" i="1" s="1"/>
  <c r="P310" i="1" s="1"/>
  <c r="L311" i="1" s="1"/>
  <c r="P311" i="1" s="1"/>
  <c r="L312" i="1" s="1"/>
  <c r="P312" i="1" s="1"/>
  <c r="O726" i="1"/>
  <c r="P733" i="1"/>
  <c r="L734" i="1" s="1"/>
  <c r="P734" i="1" s="1"/>
  <c r="L735" i="1" s="1"/>
  <c r="P735" i="1" s="1"/>
  <c r="L736" i="1" s="1"/>
  <c r="P736" i="1" s="1"/>
  <c r="L737" i="1" s="1"/>
  <c r="P737" i="1" s="1"/>
  <c r="L738" i="1" s="1"/>
  <c r="P738" i="1" s="1"/>
  <c r="Q17" i="1"/>
  <c r="O26" i="1"/>
  <c r="O30" i="1"/>
  <c r="O34" i="1"/>
  <c r="O36" i="1"/>
  <c r="O64" i="1"/>
  <c r="O68" i="1"/>
  <c r="O72" i="1"/>
  <c r="O75" i="1"/>
  <c r="O79" i="1"/>
  <c r="O133" i="1"/>
  <c r="O137" i="1"/>
  <c r="O141" i="1"/>
  <c r="O145" i="1"/>
  <c r="O149" i="1"/>
  <c r="O153" i="1"/>
  <c r="O155" i="1"/>
  <c r="O157" i="1"/>
  <c r="O159" i="1"/>
  <c r="O161" i="1"/>
  <c r="O163" i="1"/>
  <c r="O165" i="1"/>
  <c r="O266" i="1"/>
  <c r="Q598" i="1"/>
  <c r="Q599" i="1" s="1"/>
  <c r="N598" i="1"/>
  <c r="O598" i="1"/>
  <c r="P826" i="1"/>
  <c r="N378" i="1"/>
  <c r="O378" i="1" s="1"/>
  <c r="Q378" i="1"/>
  <c r="N902" i="1"/>
  <c r="O902" i="1" s="1"/>
  <c r="M902" i="1"/>
  <c r="L727" i="1"/>
  <c r="P727" i="1" s="1"/>
  <c r="L728" i="1" s="1"/>
  <c r="P728" i="1" s="1"/>
  <c r="L729" i="1" s="1"/>
  <c r="P729" i="1" s="1"/>
  <c r="L730" i="1" s="1"/>
  <c r="P730" i="1" s="1"/>
  <c r="U726" i="1"/>
  <c r="N41" i="1"/>
  <c r="I41" i="1" s="1"/>
  <c r="P41" i="1" s="1"/>
  <c r="L42" i="1" s="1"/>
  <c r="P42" i="1" s="1"/>
  <c r="L43" i="1" s="1"/>
  <c r="P43" i="1" s="1"/>
  <c r="L44" i="1" s="1"/>
  <c r="P44" i="1" s="1"/>
  <c r="L45" i="1" s="1"/>
  <c r="P45" i="1" s="1"/>
  <c r="L46" i="1" s="1"/>
  <c r="P46" i="1" s="1"/>
  <c r="L47" i="1" s="1"/>
  <c r="P47" i="1" s="1"/>
  <c r="L48" i="1" s="1"/>
  <c r="P48" i="1" s="1"/>
  <c r="L49" i="1" s="1"/>
  <c r="P49" i="1" s="1"/>
  <c r="L50" i="1" s="1"/>
  <c r="P50" i="1" s="1"/>
  <c r="L51" i="1" s="1"/>
  <c r="P51" i="1" s="1"/>
  <c r="L52" i="1" s="1"/>
  <c r="P52" i="1" s="1"/>
  <c r="L53" i="1" s="1"/>
  <c r="P53" i="1" s="1"/>
  <c r="L54" i="1" s="1"/>
  <c r="P54" i="1" s="1"/>
  <c r="L55" i="1" s="1"/>
  <c r="P55" i="1" s="1"/>
  <c r="L56" i="1" s="1"/>
  <c r="P56" i="1" s="1"/>
  <c r="L57" i="1" s="1"/>
  <c r="P57" i="1" s="1"/>
  <c r="Q3" i="1"/>
  <c r="Q4" i="1" s="1"/>
  <c r="O24" i="1"/>
  <c r="O28" i="1"/>
  <c r="O32" i="1"/>
  <c r="O60" i="1"/>
  <c r="O62" i="1"/>
  <c r="O66" i="1"/>
  <c r="O70" i="1"/>
  <c r="O73" i="1"/>
  <c r="O96" i="1"/>
  <c r="O135" i="1"/>
  <c r="O139" i="1"/>
  <c r="O143" i="1"/>
  <c r="O147" i="1"/>
  <c r="O151" i="1"/>
  <c r="O154" i="1"/>
  <c r="O156" i="1"/>
  <c r="O158" i="1"/>
  <c r="O160" i="1"/>
  <c r="O162" i="1"/>
  <c r="O164" i="1"/>
  <c r="O166" i="1"/>
  <c r="O168" i="1"/>
  <c r="P239" i="1"/>
  <c r="P256" i="1"/>
  <c r="Q267" i="1"/>
  <c r="Q268" i="1" s="1"/>
  <c r="N269" i="1" s="1"/>
  <c r="O269" i="1" s="1"/>
  <c r="Q902" i="1"/>
  <c r="Q953" i="1"/>
  <c r="I954" i="1" s="1"/>
  <c r="N953" i="1"/>
  <c r="O953" i="1" s="1"/>
  <c r="I989" i="1"/>
  <c r="N989" i="1" s="1"/>
  <c r="O989" i="1" s="1"/>
  <c r="O206" i="1"/>
  <c r="P222" i="1"/>
  <c r="P224" i="1"/>
  <c r="P230" i="1"/>
  <c r="P232" i="1"/>
  <c r="P234" i="1"/>
  <c r="P236" i="1"/>
  <c r="P261" i="1"/>
  <c r="P263" i="1"/>
  <c r="O340" i="1"/>
  <c r="Q341" i="1"/>
  <c r="O676" i="1"/>
  <c r="L781" i="1"/>
  <c r="P781" i="1" s="1"/>
  <c r="L782" i="1" s="1"/>
  <c r="P782" i="1" s="1"/>
  <c r="L783" i="1" s="1"/>
  <c r="P783" i="1" s="1"/>
  <c r="L787" i="1"/>
  <c r="P787" i="1" s="1"/>
  <c r="L788" i="1" s="1"/>
  <c r="P788" i="1" s="1"/>
  <c r="L789" i="1" s="1"/>
  <c r="P789" i="1" s="1"/>
  <c r="L790" i="1" s="1"/>
  <c r="P790" i="1" s="1"/>
  <c r="L791" i="1" s="1"/>
  <c r="P791" i="1" s="1"/>
  <c r="O839" i="1"/>
  <c r="N951" i="1"/>
  <c r="O951" i="1" s="1"/>
  <c r="Q1025" i="1"/>
  <c r="O167" i="1"/>
  <c r="O169" i="1"/>
  <c r="O204" i="1"/>
  <c r="O205" i="1"/>
  <c r="Q206" i="1"/>
  <c r="P231" i="1"/>
  <c r="P238" i="1"/>
  <c r="P240" i="1"/>
  <c r="P258" i="1"/>
  <c r="L341" i="1"/>
  <c r="P341" i="1" s="1"/>
  <c r="L342" i="1" s="1"/>
  <c r="P342" i="1" s="1"/>
  <c r="L343" i="1" s="1"/>
  <c r="P343" i="1" s="1"/>
  <c r="L344" i="1" s="1"/>
  <c r="P344" i="1" s="1"/>
  <c r="L345" i="1" s="1"/>
  <c r="P345" i="1" s="1"/>
  <c r="L346" i="1" s="1"/>
  <c r="P346" i="1" s="1"/>
  <c r="O414" i="1"/>
  <c r="N561" i="1"/>
  <c r="O561" i="1" s="1"/>
  <c r="P615" i="1"/>
  <c r="L616" i="1" s="1"/>
  <c r="P616" i="1" s="1"/>
  <c r="L617" i="1" s="1"/>
  <c r="P617" i="1" s="1"/>
  <c r="L618" i="1" s="1"/>
  <c r="P618" i="1" s="1"/>
  <c r="L619" i="1" s="1"/>
  <c r="P619" i="1" s="1"/>
  <c r="L620" i="1" s="1"/>
  <c r="P620" i="1" s="1"/>
  <c r="L621" i="1" s="1"/>
  <c r="O610" i="1"/>
  <c r="Q678" i="1"/>
  <c r="N679" i="1" s="1"/>
  <c r="O679" i="1" s="1"/>
  <c r="P743" i="1"/>
  <c r="P749" i="1"/>
  <c r="P761" i="1"/>
  <c r="P764" i="1"/>
  <c r="P769" i="1"/>
  <c r="P775" i="1"/>
  <c r="P794" i="1"/>
  <c r="P795" i="1"/>
  <c r="P798" i="1"/>
  <c r="P799" i="1"/>
  <c r="P802" i="1"/>
  <c r="P803" i="1"/>
  <c r="P807" i="1"/>
  <c r="P818" i="1"/>
  <c r="P819" i="1"/>
  <c r="P825" i="1"/>
  <c r="P828" i="1"/>
  <c r="I840" i="1"/>
  <c r="M840" i="1" s="1"/>
  <c r="O305" i="1"/>
  <c r="Q524" i="1"/>
  <c r="N525" i="1" s="1"/>
  <c r="O525" i="1" s="1"/>
  <c r="O560" i="1"/>
  <c r="N677" i="1"/>
  <c r="O677" i="1" s="1"/>
  <c r="P740" i="1"/>
  <c r="P744" i="1"/>
  <c r="P750" i="1"/>
  <c r="P754" i="1"/>
  <c r="P758" i="1"/>
  <c r="P762" i="1"/>
  <c r="P766" i="1"/>
  <c r="P770" i="1"/>
  <c r="P776" i="1"/>
  <c r="P814" i="1"/>
  <c r="P820" i="1"/>
  <c r="P829" i="1"/>
  <c r="P835" i="1"/>
  <c r="P1025" i="1"/>
  <c r="L1026" i="1" s="1"/>
  <c r="F29" i="2"/>
  <c r="I29" i="2"/>
  <c r="E29" i="2"/>
  <c r="G29" i="2"/>
  <c r="H29" i="2"/>
  <c r="K29" i="2"/>
  <c r="J29" i="2"/>
  <c r="L29" i="2"/>
  <c r="N29" i="2"/>
  <c r="D29" i="2"/>
  <c r="P12" i="1"/>
  <c r="P14" i="1"/>
  <c r="P13" i="1"/>
  <c r="P10" i="1"/>
  <c r="U47" i="1"/>
  <c r="N3" i="1"/>
  <c r="O3" i="1" s="1"/>
  <c r="N18" i="1"/>
  <c r="O18" i="1" s="1"/>
  <c r="Q18" i="1"/>
  <c r="N171" i="1"/>
  <c r="O171" i="1" s="1"/>
  <c r="Q171" i="1"/>
  <c r="L73" i="1"/>
  <c r="P73" i="1" s="1"/>
  <c r="L74" i="1" s="1"/>
  <c r="P74" i="1" s="1"/>
  <c r="L75" i="1" s="1"/>
  <c r="P75" i="1" s="1"/>
  <c r="L76" i="1" s="1"/>
  <c r="P76" i="1" s="1"/>
  <c r="L77" i="1" s="1"/>
  <c r="P77" i="1" s="1"/>
  <c r="L78" i="1" s="1"/>
  <c r="P78" i="1" s="1"/>
  <c r="L79" i="1" s="1"/>
  <c r="P79" i="1" s="1"/>
  <c r="L80" i="1" s="1"/>
  <c r="P80" i="1" s="1"/>
  <c r="L81" i="1" s="1"/>
  <c r="U72" i="1"/>
  <c r="P215" i="1"/>
  <c r="L216" i="1" s="1"/>
  <c r="P216" i="1" s="1"/>
  <c r="L217" i="1" s="1"/>
  <c r="P217" i="1" s="1"/>
  <c r="L218" i="1" s="1"/>
  <c r="P218" i="1" s="1"/>
  <c r="L219" i="1" s="1"/>
  <c r="P219" i="1" s="1"/>
  <c r="L220" i="1" s="1"/>
  <c r="P220" i="1" s="1"/>
  <c r="N5" i="1"/>
  <c r="O5" i="1" s="1"/>
  <c r="N4" i="1"/>
  <c r="O4" i="1" s="1"/>
  <c r="Q5" i="1"/>
  <c r="P235" i="1"/>
  <c r="P11" i="1"/>
  <c r="L182" i="1"/>
  <c r="P182" i="1" s="1"/>
  <c r="L183" i="1" s="1"/>
  <c r="P183" i="1" s="1"/>
  <c r="L184" i="1" s="1"/>
  <c r="P184" i="1" s="1"/>
  <c r="L185" i="1" s="1"/>
  <c r="P185" i="1" s="1"/>
  <c r="L186" i="1" s="1"/>
  <c r="P186" i="1" s="1"/>
  <c r="L187" i="1" s="1"/>
  <c r="P187" i="1" s="1"/>
  <c r="L188" i="1" s="1"/>
  <c r="P188" i="1" s="1"/>
  <c r="L189" i="1" s="1"/>
  <c r="P189" i="1" s="1"/>
  <c r="Q98" i="1"/>
  <c r="N170" i="1"/>
  <c r="O170" i="1" s="1"/>
  <c r="N379" i="1"/>
  <c r="O379" i="1" s="1"/>
  <c r="Q379" i="1"/>
  <c r="L401" i="1"/>
  <c r="P401" i="1" s="1"/>
  <c r="L402" i="1" s="1"/>
  <c r="P402" i="1" s="1"/>
  <c r="L403" i="1" s="1"/>
  <c r="P403" i="1" s="1"/>
  <c r="L404" i="1" s="1"/>
  <c r="P404" i="1" s="1"/>
  <c r="L405" i="1" s="1"/>
  <c r="P405" i="1" s="1"/>
  <c r="L406" i="1" s="1"/>
  <c r="P406" i="1" s="1"/>
  <c r="L407" i="1" s="1"/>
  <c r="P407" i="1" s="1"/>
  <c r="L408" i="1" s="1"/>
  <c r="P408" i="1" s="1"/>
  <c r="L409" i="1" s="1"/>
  <c r="P409" i="1" s="1"/>
  <c r="L410" i="1" s="1"/>
  <c r="P410" i="1" s="1"/>
  <c r="U400" i="1"/>
  <c r="L347" i="1"/>
  <c r="P347" i="1" s="1"/>
  <c r="L348" i="1" s="1"/>
  <c r="P348" i="1" s="1"/>
  <c r="L349" i="1" s="1"/>
  <c r="P349" i="1" s="1"/>
  <c r="L350" i="1" s="1"/>
  <c r="P350" i="1" s="1"/>
  <c r="L351" i="1" s="1"/>
  <c r="P351" i="1" s="1"/>
  <c r="L352" i="1" s="1"/>
  <c r="P352" i="1" s="1"/>
  <c r="L353" i="1" s="1"/>
  <c r="P353" i="1" s="1"/>
  <c r="L354" i="1" s="1"/>
  <c r="P354" i="1" s="1"/>
  <c r="L355" i="1" s="1"/>
  <c r="P355" i="1" s="1"/>
  <c r="L356" i="1" s="1"/>
  <c r="P356" i="1" s="1"/>
  <c r="L357" i="1" s="1"/>
  <c r="P357" i="1" s="1"/>
  <c r="L358" i="1" s="1"/>
  <c r="P358" i="1" s="1"/>
  <c r="L359" i="1" s="1"/>
  <c r="P359" i="1" s="1"/>
  <c r="L360" i="1" s="1"/>
  <c r="P360" i="1" s="1"/>
  <c r="L361" i="1" s="1"/>
  <c r="P361" i="1" s="1"/>
  <c r="L362" i="1" s="1"/>
  <c r="P362" i="1" s="1"/>
  <c r="L363" i="1" s="1"/>
  <c r="P363" i="1" s="1"/>
  <c r="O37" i="1"/>
  <c r="O38" i="1"/>
  <c r="O40" i="1"/>
  <c r="Q305" i="1"/>
  <c r="Q416" i="1"/>
  <c r="N416" i="1"/>
  <c r="O416" i="1" s="1"/>
  <c r="O39" i="1"/>
  <c r="P3" i="1"/>
  <c r="L4" i="1" s="1"/>
  <c r="P4" i="1" s="1"/>
  <c r="L5" i="1" s="1"/>
  <c r="P5" i="1" s="1"/>
  <c r="L6" i="1" s="1"/>
  <c r="P6" i="1" s="1"/>
  <c r="L7" i="1" s="1"/>
  <c r="P7" i="1" s="1"/>
  <c r="L8" i="1" s="1"/>
  <c r="P8" i="1" s="1"/>
  <c r="L9" i="1" s="1"/>
  <c r="P9" i="1" s="1"/>
  <c r="L275" i="1"/>
  <c r="P275" i="1" s="1"/>
  <c r="L276" i="1" s="1"/>
  <c r="P276" i="1" s="1"/>
  <c r="L277" i="1" s="1"/>
  <c r="P277" i="1" s="1"/>
  <c r="L278" i="1" s="1"/>
  <c r="P278" i="1" s="1"/>
  <c r="L279" i="1" s="1"/>
  <c r="P279" i="1" s="1"/>
  <c r="L280" i="1" s="1"/>
  <c r="P280" i="1" s="1"/>
  <c r="L281" i="1" s="1"/>
  <c r="P281" i="1" s="1"/>
  <c r="L282" i="1" s="1"/>
  <c r="P282" i="1" s="1"/>
  <c r="L283" i="1" s="1"/>
  <c r="P283" i="1" s="1"/>
  <c r="L284" i="1" s="1"/>
  <c r="P284" i="1" s="1"/>
  <c r="L285" i="1" s="1"/>
  <c r="P285" i="1" s="1"/>
  <c r="L286" i="1" s="1"/>
  <c r="P286" i="1" s="1"/>
  <c r="L287" i="1" s="1"/>
  <c r="P287" i="1" s="1"/>
  <c r="N80" i="1"/>
  <c r="O77" i="1"/>
  <c r="P211" i="1"/>
  <c r="U310" i="1"/>
  <c r="N415" i="1"/>
  <c r="O415" i="1" s="1"/>
  <c r="U279" i="1"/>
  <c r="U286" i="1"/>
  <c r="U311" i="1"/>
  <c r="U346" i="1"/>
  <c r="U403" i="1"/>
  <c r="P431" i="1"/>
  <c r="L432" i="1" s="1"/>
  <c r="P432" i="1" s="1"/>
  <c r="L433" i="1" s="1"/>
  <c r="P433" i="1" s="1"/>
  <c r="L434" i="1" s="1"/>
  <c r="P434" i="1" s="1"/>
  <c r="L435" i="1" s="1"/>
  <c r="P435" i="1" s="1"/>
  <c r="L436" i="1" s="1"/>
  <c r="P436" i="1" s="1"/>
  <c r="L437" i="1" s="1"/>
  <c r="P437" i="1" s="1"/>
  <c r="L438" i="1" s="1"/>
  <c r="P438" i="1" s="1"/>
  <c r="L439" i="1" s="1"/>
  <c r="P439" i="1" s="1"/>
  <c r="L440" i="1" s="1"/>
  <c r="P440" i="1" s="1"/>
  <c r="L441" i="1" s="1"/>
  <c r="P441" i="1" s="1"/>
  <c r="L442" i="1" s="1"/>
  <c r="P442" i="1" s="1"/>
  <c r="L443" i="1" s="1"/>
  <c r="P443" i="1" s="1"/>
  <c r="L444" i="1" s="1"/>
  <c r="P444" i="1" s="1"/>
  <c r="L445" i="1" s="1"/>
  <c r="P445" i="1" s="1"/>
  <c r="L446" i="1" s="1"/>
  <c r="P446" i="1" s="1"/>
  <c r="Q562" i="1"/>
  <c r="N562" i="1"/>
  <c r="O562" i="1" s="1"/>
  <c r="H533" i="1"/>
  <c r="O597" i="1"/>
  <c r="Q612" i="1"/>
  <c r="N612" i="1"/>
  <c r="O612" i="1" s="1"/>
  <c r="Q625" i="1"/>
  <c r="N625" i="1"/>
  <c r="O625" i="1" s="1"/>
  <c r="Q679" i="1"/>
  <c r="H537" i="1"/>
  <c r="H690" i="1"/>
  <c r="H621" i="1"/>
  <c r="N624" i="1"/>
  <c r="O624" i="1" s="1"/>
  <c r="N611" i="1"/>
  <c r="O611" i="1" s="1"/>
  <c r="Q728" i="1"/>
  <c r="N728" i="1"/>
  <c r="O728" i="1" s="1"/>
  <c r="P752" i="1"/>
  <c r="P760" i="1"/>
  <c r="P678" i="1"/>
  <c r="L679" i="1" s="1"/>
  <c r="P679" i="1" s="1"/>
  <c r="L680" i="1" s="1"/>
  <c r="P680" i="1" s="1"/>
  <c r="L681" i="1" s="1"/>
  <c r="P681" i="1" s="1"/>
  <c r="L682" i="1" s="1"/>
  <c r="P682" i="1" s="1"/>
  <c r="L683" i="1" s="1"/>
  <c r="U734" i="1"/>
  <c r="P753" i="1"/>
  <c r="P757" i="1"/>
  <c r="P813" i="1"/>
  <c r="P746" i="1"/>
  <c r="Q780" i="1"/>
  <c r="N780" i="1"/>
  <c r="O780" i="1" s="1"/>
  <c r="P765" i="1"/>
  <c r="P806" i="1"/>
  <c r="Q841" i="1"/>
  <c r="N841" i="1"/>
  <c r="O841" i="1" s="1"/>
  <c r="P840" i="1"/>
  <c r="L841" i="1" s="1"/>
  <c r="P841" i="1" s="1"/>
  <c r="L842" i="1" s="1"/>
  <c r="P842" i="1" s="1"/>
  <c r="L843" i="1" s="1"/>
  <c r="U956" i="1"/>
  <c r="I863" i="1"/>
  <c r="N864" i="1"/>
  <c r="M864" i="1"/>
  <c r="Q864" i="1"/>
  <c r="U863" i="1"/>
  <c r="Q1026" i="1"/>
  <c r="I1026" i="1"/>
  <c r="L910" i="1"/>
  <c r="P910" i="1" s="1"/>
  <c r="L911" i="1" s="1"/>
  <c r="P911" i="1" s="1"/>
  <c r="L912" i="1" s="1"/>
  <c r="P912" i="1" s="1"/>
  <c r="P988" i="1"/>
  <c r="L989" i="1" s="1"/>
  <c r="P989" i="1" s="1"/>
  <c r="L990" i="1" s="1"/>
  <c r="O901" i="1"/>
  <c r="Q992" i="1"/>
  <c r="I992" i="1"/>
  <c r="N991" i="1"/>
  <c r="O991" i="1" s="1"/>
  <c r="N903" i="1"/>
  <c r="O950" i="1"/>
  <c r="I990" i="1"/>
  <c r="I952" i="1"/>
  <c r="U954" i="1"/>
  <c r="U960" i="1"/>
  <c r="Q269" i="1" l="1"/>
  <c r="O41" i="1"/>
  <c r="Q954" i="1"/>
  <c r="N840" i="1"/>
  <c r="O840" i="1" s="1"/>
  <c r="N599" i="1"/>
  <c r="O599" i="1" s="1"/>
  <c r="P1026" i="1"/>
  <c r="L1027" i="1" s="1"/>
  <c r="N268" i="1"/>
  <c r="O268" i="1" s="1"/>
  <c r="Q525" i="1"/>
  <c r="Q526" i="1" s="1"/>
  <c r="N342" i="1"/>
  <c r="O342" i="1" s="1"/>
  <c r="Q342" i="1"/>
  <c r="N600" i="1"/>
  <c r="O600" i="1" s="1"/>
  <c r="Q600" i="1"/>
  <c r="Q207" i="1"/>
  <c r="N207" i="1"/>
  <c r="O207" i="1" s="1"/>
  <c r="N42" i="1"/>
  <c r="O903" i="1"/>
  <c r="Q903" i="1"/>
  <c r="M903" i="1"/>
  <c r="L31" i="2"/>
  <c r="Q993" i="1"/>
  <c r="I993" i="1"/>
  <c r="H691" i="1"/>
  <c r="Q680" i="1"/>
  <c r="N680" i="1"/>
  <c r="O680" i="1" s="1"/>
  <c r="N992" i="1"/>
  <c r="O992" i="1" s="1"/>
  <c r="O864" i="1"/>
  <c r="P621" i="1"/>
  <c r="L622" i="1" s="1"/>
  <c r="P622" i="1" s="1"/>
  <c r="L623" i="1" s="1"/>
  <c r="P623" i="1" s="1"/>
  <c r="L624" i="1" s="1"/>
  <c r="P624" i="1" s="1"/>
  <c r="L625" i="1" s="1"/>
  <c r="P625" i="1" s="1"/>
  <c r="L626" i="1" s="1"/>
  <c r="P626" i="1" s="1"/>
  <c r="L627" i="1" s="1"/>
  <c r="P627" i="1" s="1"/>
  <c r="L628" i="1" s="1"/>
  <c r="P628" i="1" s="1"/>
  <c r="L629" i="1" s="1"/>
  <c r="P629" i="1" s="1"/>
  <c r="L630" i="1" s="1"/>
  <c r="P630" i="1" s="1"/>
  <c r="L631" i="1" s="1"/>
  <c r="P631" i="1" s="1"/>
  <c r="L632" i="1" s="1"/>
  <c r="P632" i="1" s="1"/>
  <c r="L633" i="1" s="1"/>
  <c r="P633" i="1" s="1"/>
  <c r="L634" i="1" s="1"/>
  <c r="Q626" i="1"/>
  <c r="N626" i="1"/>
  <c r="O626" i="1" s="1"/>
  <c r="Q270" i="1"/>
  <c r="N270" i="1"/>
  <c r="O270" i="1" s="1"/>
  <c r="N526" i="1"/>
  <c r="O526" i="1" s="1"/>
  <c r="Q19" i="1"/>
  <c r="N19" i="1"/>
  <c r="O19" i="1" s="1"/>
  <c r="N952" i="1"/>
  <c r="O952" i="1" s="1"/>
  <c r="P952" i="1"/>
  <c r="P863" i="1"/>
  <c r="L864" i="1" s="1"/>
  <c r="P864" i="1" s="1"/>
  <c r="L865" i="1" s="1"/>
  <c r="P865" i="1" s="1"/>
  <c r="L866" i="1" s="1"/>
  <c r="M863" i="1"/>
  <c r="N863" i="1"/>
  <c r="N842" i="1"/>
  <c r="Q842" i="1"/>
  <c r="M842" i="1"/>
  <c r="Q613" i="1"/>
  <c r="N613" i="1"/>
  <c r="O613" i="1" s="1"/>
  <c r="P990" i="1"/>
  <c r="L991" i="1" s="1"/>
  <c r="P991" i="1" s="1"/>
  <c r="L992" i="1" s="1"/>
  <c r="P992" i="1" s="1"/>
  <c r="L993" i="1" s="1"/>
  <c r="N990" i="1"/>
  <c r="O990" i="1" s="1"/>
  <c r="Q1027" i="1"/>
  <c r="I1027" i="1"/>
  <c r="P1027" i="1" s="1"/>
  <c r="L1028" i="1" s="1"/>
  <c r="Q955" i="1"/>
  <c r="I955" i="1"/>
  <c r="N729" i="1"/>
  <c r="O729" i="1" s="1"/>
  <c r="Q729" i="1"/>
  <c r="Q417" i="1"/>
  <c r="N417" i="1"/>
  <c r="O417" i="1" s="1"/>
  <c r="N6" i="1"/>
  <c r="O6" i="1" s="1"/>
  <c r="Q6" i="1"/>
  <c r="H538" i="1"/>
  <c r="P954" i="1"/>
  <c r="L955" i="1" s="1"/>
  <c r="N954" i="1"/>
  <c r="O954" i="1" s="1"/>
  <c r="M781" i="1"/>
  <c r="N781" i="1"/>
  <c r="Q781" i="1"/>
  <c r="O80" i="1"/>
  <c r="N306" i="1"/>
  <c r="O306" i="1" s="1"/>
  <c r="Q306" i="1"/>
  <c r="N99" i="1"/>
  <c r="O99" i="1" s="1"/>
  <c r="Q99" i="1"/>
  <c r="Q172" i="1"/>
  <c r="N172" i="1"/>
  <c r="O172" i="1" s="1"/>
  <c r="Q563" i="1"/>
  <c r="N563" i="1"/>
  <c r="O563" i="1" s="1"/>
  <c r="Q865" i="1"/>
  <c r="N865" i="1"/>
  <c r="M865" i="1"/>
  <c r="N380" i="1"/>
  <c r="O380" i="1" s="1"/>
  <c r="Q380" i="1"/>
  <c r="N81" i="1"/>
  <c r="O781" i="1" l="1"/>
  <c r="N601" i="1"/>
  <c r="O601" i="1" s="1"/>
  <c r="Q601" i="1"/>
  <c r="O42" i="1"/>
  <c r="N43" i="1"/>
  <c r="Q343" i="1"/>
  <c r="N343" i="1"/>
  <c r="O343" i="1" s="1"/>
  <c r="N904" i="1"/>
  <c r="O904" i="1" s="1"/>
  <c r="Q904" i="1"/>
  <c r="M904" i="1"/>
  <c r="Q208" i="1"/>
  <c r="N208" i="1"/>
  <c r="O208" i="1" s="1"/>
  <c r="P955" i="1"/>
  <c r="L956" i="1" s="1"/>
  <c r="N955" i="1"/>
  <c r="O955" i="1" s="1"/>
  <c r="I956" i="1"/>
  <c r="Q956" i="1"/>
  <c r="Q843" i="1"/>
  <c r="I843" i="1"/>
  <c r="O842" i="1"/>
  <c r="N7" i="1"/>
  <c r="O7" i="1" s="1"/>
  <c r="Q7" i="1"/>
  <c r="I81" i="1"/>
  <c r="P81" i="1" s="1"/>
  <c r="L82" i="1" s="1"/>
  <c r="O81" i="1"/>
  <c r="N564" i="1"/>
  <c r="O564" i="1" s="1"/>
  <c r="Q564" i="1"/>
  <c r="N418" i="1"/>
  <c r="O418" i="1" s="1"/>
  <c r="Q418" i="1"/>
  <c r="Q1028" i="1"/>
  <c r="I1028" i="1"/>
  <c r="P1028" i="1" s="1"/>
  <c r="L1029" i="1" s="1"/>
  <c r="O863" i="1"/>
  <c r="H539" i="1"/>
  <c r="Q381" i="1"/>
  <c r="N381" i="1"/>
  <c r="O381" i="1" s="1"/>
  <c r="O865" i="1"/>
  <c r="I866" i="1"/>
  <c r="Q866" i="1"/>
  <c r="N527" i="1"/>
  <c r="O527" i="1" s="1"/>
  <c r="Q527" i="1"/>
  <c r="N307" i="1"/>
  <c r="O307" i="1" s="1"/>
  <c r="Q307" i="1"/>
  <c r="Q20" i="1"/>
  <c r="N20" i="1"/>
  <c r="O20" i="1" s="1"/>
  <c r="Q271" i="1"/>
  <c r="N271" i="1"/>
  <c r="O271" i="1" s="1"/>
  <c r="Q681" i="1"/>
  <c r="N681" i="1"/>
  <c r="O681" i="1" s="1"/>
  <c r="Q173" i="1"/>
  <c r="N173" i="1"/>
  <c r="O173" i="1" s="1"/>
  <c r="N82" i="1"/>
  <c r="N83" i="1" s="1"/>
  <c r="N100" i="1"/>
  <c r="O100" i="1" s="1"/>
  <c r="Q100" i="1"/>
  <c r="Q730" i="1"/>
  <c r="N730" i="1"/>
  <c r="O730" i="1" s="1"/>
  <c r="Q627" i="1"/>
  <c r="N627" i="1"/>
  <c r="O627" i="1" s="1"/>
  <c r="H692" i="1"/>
  <c r="N614" i="1"/>
  <c r="O614" i="1" s="1"/>
  <c r="Q614" i="1"/>
  <c r="N993" i="1"/>
  <c r="O993" i="1" s="1"/>
  <c r="P993" i="1"/>
  <c r="L994" i="1" s="1"/>
  <c r="Q782" i="1"/>
  <c r="M782" i="1"/>
  <c r="N782" i="1"/>
  <c r="I994" i="1"/>
  <c r="Q994" i="1"/>
  <c r="M905" i="1" l="1"/>
  <c r="N905" i="1"/>
  <c r="O905" i="1" s="1"/>
  <c r="Q905" i="1"/>
  <c r="O43" i="1"/>
  <c r="N44" i="1"/>
  <c r="N209" i="1"/>
  <c r="O209" i="1" s="1"/>
  <c r="Q209" i="1"/>
  <c r="Q602" i="1"/>
  <c r="N602" i="1"/>
  <c r="O602" i="1" s="1"/>
  <c r="O782" i="1"/>
  <c r="N344" i="1"/>
  <c r="O344" i="1" s="1"/>
  <c r="Q344" i="1"/>
  <c r="I83" i="1"/>
  <c r="O83" i="1"/>
  <c r="N84" i="1"/>
  <c r="Q731" i="1"/>
  <c r="N731" i="1"/>
  <c r="O731" i="1" s="1"/>
  <c r="Q867" i="1"/>
  <c r="M867" i="1"/>
  <c r="N867" i="1"/>
  <c r="Q682" i="1"/>
  <c r="N682" i="1"/>
  <c r="O682" i="1" s="1"/>
  <c r="N419" i="1"/>
  <c r="O419" i="1" s="1"/>
  <c r="Q419" i="1"/>
  <c r="Q957" i="1"/>
  <c r="I957" i="1"/>
  <c r="Q844" i="1"/>
  <c r="N844" i="1"/>
  <c r="M844" i="1"/>
  <c r="Q101" i="1"/>
  <c r="N101" i="1"/>
  <c r="O101" i="1" s="1"/>
  <c r="N994" i="1"/>
  <c r="O994" i="1" s="1"/>
  <c r="P994" i="1"/>
  <c r="L995" i="1" s="1"/>
  <c r="H693" i="1"/>
  <c r="Q272" i="1"/>
  <c r="N272" i="1"/>
  <c r="O272" i="1" s="1"/>
  <c r="Q8" i="1"/>
  <c r="N8" i="1"/>
  <c r="O8" i="1" s="1"/>
  <c r="P956" i="1"/>
  <c r="L957" i="1" s="1"/>
  <c r="N956" i="1"/>
  <c r="O956" i="1" s="1"/>
  <c r="Q1029" i="1"/>
  <c r="I1029" i="1"/>
  <c r="P1029" i="1" s="1"/>
  <c r="L1030" i="1" s="1"/>
  <c r="I995" i="1"/>
  <c r="Q995" i="1"/>
  <c r="Q382" i="1"/>
  <c r="N382" i="1"/>
  <c r="O382" i="1" s="1"/>
  <c r="N21" i="1"/>
  <c r="O21" i="1" s="1"/>
  <c r="Q21" i="1"/>
  <c r="H540" i="1"/>
  <c r="I528" i="1"/>
  <c r="Q528" i="1"/>
  <c r="I82" i="1"/>
  <c r="P82" i="1" s="1"/>
  <c r="L83" i="1" s="1"/>
  <c r="O82" i="1"/>
  <c r="N783" i="1"/>
  <c r="M783" i="1"/>
  <c r="Q783" i="1"/>
  <c r="Q628" i="1"/>
  <c r="N628" i="1"/>
  <c r="O628" i="1" s="1"/>
  <c r="Q308" i="1"/>
  <c r="N308" i="1"/>
  <c r="O308" i="1" s="1"/>
  <c r="Q565" i="1"/>
  <c r="N565" i="1"/>
  <c r="O565" i="1" s="1"/>
  <c r="Q615" i="1"/>
  <c r="N615" i="1"/>
  <c r="O615" i="1" s="1"/>
  <c r="N866" i="1"/>
  <c r="M866" i="1"/>
  <c r="P866" i="1"/>
  <c r="L867" i="1" s="1"/>
  <c r="P867" i="1" s="1"/>
  <c r="L868" i="1" s="1"/>
  <c r="N174" i="1"/>
  <c r="O174" i="1" s="1"/>
  <c r="Q174" i="1"/>
  <c r="N843" i="1"/>
  <c r="P843" i="1"/>
  <c r="L844" i="1" s="1"/>
  <c r="P844" i="1" s="1"/>
  <c r="L845" i="1" s="1"/>
  <c r="M843" i="1"/>
  <c r="O844" i="1" l="1"/>
  <c r="O44" i="1"/>
  <c r="N45" i="1"/>
  <c r="Q345" i="1"/>
  <c r="N345" i="1"/>
  <c r="O345" i="1" s="1"/>
  <c r="Q603" i="1"/>
  <c r="N603" i="1"/>
  <c r="O603" i="1" s="1"/>
  <c r="N210" i="1"/>
  <c r="O210" i="1" s="1"/>
  <c r="Q210" i="1"/>
  <c r="Q906" i="1"/>
  <c r="M906" i="1"/>
  <c r="N906" i="1"/>
  <c r="O866" i="1"/>
  <c r="Q1030" i="1"/>
  <c r="I1030" i="1"/>
  <c r="P1030" i="1" s="1"/>
  <c r="L1031" i="1" s="1"/>
  <c r="Q102" i="1"/>
  <c r="N102" i="1"/>
  <c r="O102" i="1" s="1"/>
  <c r="Q9" i="1"/>
  <c r="N9" i="1"/>
  <c r="O9" i="1" s="1"/>
  <c r="O843" i="1"/>
  <c r="Q629" i="1"/>
  <c r="N629" i="1"/>
  <c r="O629" i="1" s="1"/>
  <c r="Q22" i="1"/>
  <c r="N22" i="1"/>
  <c r="O22" i="1" s="1"/>
  <c r="Q732" i="1"/>
  <c r="N732" i="1"/>
  <c r="O732" i="1" s="1"/>
  <c r="N529" i="1"/>
  <c r="O529" i="1" s="1"/>
  <c r="Q529" i="1"/>
  <c r="I84" i="1"/>
  <c r="O84" i="1"/>
  <c r="Q309" i="1"/>
  <c r="N309" i="1"/>
  <c r="O309" i="1" s="1"/>
  <c r="N528" i="1"/>
  <c r="O528" i="1" s="1"/>
  <c r="P528" i="1"/>
  <c r="L529" i="1" s="1"/>
  <c r="P529" i="1" s="1"/>
  <c r="L530" i="1" s="1"/>
  <c r="P530" i="1" s="1"/>
  <c r="L531" i="1" s="1"/>
  <c r="Q845" i="1"/>
  <c r="I845" i="1"/>
  <c r="N85" i="1"/>
  <c r="Q616" i="1"/>
  <c r="N616" i="1"/>
  <c r="O616" i="1" s="1"/>
  <c r="M784" i="1"/>
  <c r="N784" i="1"/>
  <c r="Q784" i="1"/>
  <c r="N273" i="1"/>
  <c r="O273" i="1" s="1"/>
  <c r="Q273" i="1"/>
  <c r="Q175" i="1"/>
  <c r="N175" i="1"/>
  <c r="O175" i="1" s="1"/>
  <c r="O783" i="1"/>
  <c r="Q383" i="1"/>
  <c r="N383" i="1"/>
  <c r="O383" i="1" s="1"/>
  <c r="H694" i="1"/>
  <c r="P957" i="1"/>
  <c r="L958" i="1" s="1"/>
  <c r="N957" i="1"/>
  <c r="O957" i="1" s="1"/>
  <c r="I683" i="1"/>
  <c r="Q683" i="1"/>
  <c r="I868" i="1"/>
  <c r="Q868" i="1"/>
  <c r="Q566" i="1"/>
  <c r="N566" i="1"/>
  <c r="O566" i="1" s="1"/>
  <c r="I996" i="1"/>
  <c r="Q996" i="1"/>
  <c r="Q958" i="1"/>
  <c r="I958" i="1"/>
  <c r="O867" i="1"/>
  <c r="H541" i="1"/>
  <c r="P995" i="1"/>
  <c r="L996" i="1" s="1"/>
  <c r="N995" i="1"/>
  <c r="O995" i="1" s="1"/>
  <c r="N420" i="1"/>
  <c r="O420" i="1" s="1"/>
  <c r="Q420" i="1"/>
  <c r="P83" i="1"/>
  <c r="L84" i="1" s="1"/>
  <c r="O906" i="1" l="1"/>
  <c r="N346" i="1"/>
  <c r="O346" i="1" s="1"/>
  <c r="Q346" i="1"/>
  <c r="O45" i="1"/>
  <c r="N46" i="1"/>
  <c r="N907" i="1"/>
  <c r="M907" i="1"/>
  <c r="Q907" i="1"/>
  <c r="N604" i="1"/>
  <c r="O604" i="1" s="1"/>
  <c r="Q604" i="1"/>
  <c r="Q211" i="1"/>
  <c r="N211" i="1"/>
  <c r="O211" i="1" s="1"/>
  <c r="P958" i="1"/>
  <c r="L959" i="1" s="1"/>
  <c r="N958" i="1"/>
  <c r="O958" i="1" s="1"/>
  <c r="Q869" i="1"/>
  <c r="I869" i="1"/>
  <c r="O784" i="1"/>
  <c r="N567" i="1"/>
  <c r="O567" i="1" s="1"/>
  <c r="Q567" i="1"/>
  <c r="Q310" i="1"/>
  <c r="N310" i="1"/>
  <c r="O310" i="1" s="1"/>
  <c r="Q959" i="1"/>
  <c r="I959" i="1"/>
  <c r="N868" i="1"/>
  <c r="M868" i="1"/>
  <c r="P868" i="1"/>
  <c r="L869" i="1" s="1"/>
  <c r="Q384" i="1"/>
  <c r="N384" i="1"/>
  <c r="O384" i="1" s="1"/>
  <c r="Q23" i="1"/>
  <c r="N23" i="1"/>
  <c r="O23" i="1" s="1"/>
  <c r="Q103" i="1"/>
  <c r="N103" i="1"/>
  <c r="O103" i="1" s="1"/>
  <c r="Q785" i="1"/>
  <c r="N785" i="1"/>
  <c r="M785" i="1"/>
  <c r="N684" i="1"/>
  <c r="O684" i="1" s="1"/>
  <c r="Q684" i="1"/>
  <c r="P84" i="1"/>
  <c r="L85" i="1" s="1"/>
  <c r="P996" i="1"/>
  <c r="L997" i="1" s="1"/>
  <c r="N996" i="1"/>
  <c r="O996" i="1" s="1"/>
  <c r="P683" i="1"/>
  <c r="L684" i="1" s="1"/>
  <c r="P684" i="1" s="1"/>
  <c r="L685" i="1" s="1"/>
  <c r="P685" i="1" s="1"/>
  <c r="L686" i="1" s="1"/>
  <c r="N683" i="1"/>
  <c r="O683" i="1" s="1"/>
  <c r="Q617" i="1"/>
  <c r="N617" i="1"/>
  <c r="O617" i="1" s="1"/>
  <c r="Q630" i="1"/>
  <c r="N630" i="1"/>
  <c r="O630" i="1" s="1"/>
  <c r="Q421" i="1"/>
  <c r="N421" i="1"/>
  <c r="O421" i="1" s="1"/>
  <c r="H542" i="1"/>
  <c r="I997" i="1"/>
  <c r="Q997" i="1"/>
  <c r="Q176" i="1"/>
  <c r="N176" i="1"/>
  <c r="O176" i="1" s="1"/>
  <c r="O85" i="1"/>
  <c r="I85" i="1"/>
  <c r="N86" i="1"/>
  <c r="N530" i="1"/>
  <c r="O530" i="1" s="1"/>
  <c r="Q530" i="1"/>
  <c r="N733" i="1"/>
  <c r="O733" i="1" s="1"/>
  <c r="Q733" i="1"/>
  <c r="N274" i="1"/>
  <c r="O274" i="1" s="1"/>
  <c r="Q274" i="1"/>
  <c r="P845" i="1"/>
  <c r="L846" i="1" s="1"/>
  <c r="N845" i="1"/>
  <c r="M845" i="1"/>
  <c r="Q1031" i="1"/>
  <c r="I1031" i="1"/>
  <c r="P1031" i="1" s="1"/>
  <c r="L1032" i="1" s="1"/>
  <c r="H695" i="1"/>
  <c r="I846" i="1"/>
  <c r="Q846" i="1"/>
  <c r="Q10" i="1"/>
  <c r="N10" i="1"/>
  <c r="O10" i="1" s="1"/>
  <c r="P85" i="1" l="1"/>
  <c r="L86" i="1" s="1"/>
  <c r="O785" i="1"/>
  <c r="Q908" i="1"/>
  <c r="M908" i="1"/>
  <c r="N908" i="1"/>
  <c r="Q212" i="1"/>
  <c r="N212" i="1"/>
  <c r="O212" i="1" s="1"/>
  <c r="Q347" i="1"/>
  <c r="N347" i="1"/>
  <c r="O347" i="1" s="1"/>
  <c r="O868" i="1"/>
  <c r="Q605" i="1"/>
  <c r="N605" i="1"/>
  <c r="O605" i="1" s="1"/>
  <c r="O907" i="1"/>
  <c r="N47" i="1"/>
  <c r="O46" i="1"/>
  <c r="O86" i="1"/>
  <c r="I86" i="1"/>
  <c r="P86" i="1" s="1"/>
  <c r="N87" i="1"/>
  <c r="N88" i="1" s="1"/>
  <c r="Q104" i="1"/>
  <c r="N104" i="1"/>
  <c r="O104" i="1" s="1"/>
  <c r="P959" i="1"/>
  <c r="L960" i="1" s="1"/>
  <c r="N959" i="1"/>
  <c r="O959" i="1" s="1"/>
  <c r="N870" i="1"/>
  <c r="M870" i="1"/>
  <c r="Q870" i="1"/>
  <c r="H543" i="1"/>
  <c r="Q631" i="1"/>
  <c r="N631" i="1"/>
  <c r="O631" i="1" s="1"/>
  <c r="I960" i="1"/>
  <c r="Q960" i="1"/>
  <c r="Q11" i="1"/>
  <c r="N11" i="1"/>
  <c r="O11" i="1" s="1"/>
  <c r="N685" i="1"/>
  <c r="O685" i="1" s="1"/>
  <c r="Q685" i="1"/>
  <c r="N311" i="1"/>
  <c r="O311" i="1" s="1"/>
  <c r="Q311" i="1"/>
  <c r="P869" i="1"/>
  <c r="L870" i="1" s="1"/>
  <c r="P870" i="1" s="1"/>
  <c r="L871" i="1" s="1"/>
  <c r="P871" i="1" s="1"/>
  <c r="L872" i="1" s="1"/>
  <c r="P872" i="1" s="1"/>
  <c r="L873" i="1" s="1"/>
  <c r="M869" i="1"/>
  <c r="N869" i="1"/>
  <c r="Q1032" i="1"/>
  <c r="I1032" i="1"/>
  <c r="P1032" i="1" s="1"/>
  <c r="L1033" i="1" s="1"/>
  <c r="I847" i="1"/>
  <c r="Q847" i="1"/>
  <c r="N846" i="1"/>
  <c r="M846" i="1"/>
  <c r="P846" i="1"/>
  <c r="L847" i="1" s="1"/>
  <c r="O845" i="1"/>
  <c r="Q734" i="1"/>
  <c r="N734" i="1"/>
  <c r="O734" i="1" s="1"/>
  <c r="Q618" i="1"/>
  <c r="N618" i="1"/>
  <c r="O618" i="1" s="1"/>
  <c r="Q385" i="1"/>
  <c r="N385" i="1"/>
  <c r="O385" i="1" s="1"/>
  <c r="Q568" i="1"/>
  <c r="N568" i="1"/>
  <c r="O568" i="1" s="1"/>
  <c r="N997" i="1"/>
  <c r="O997" i="1" s="1"/>
  <c r="P997" i="1"/>
  <c r="L998" i="1" s="1"/>
  <c r="N177" i="1"/>
  <c r="O177" i="1" s="1"/>
  <c r="Q177" i="1"/>
  <c r="H696" i="1"/>
  <c r="Q275" i="1"/>
  <c r="N275" i="1"/>
  <c r="O275" i="1" s="1"/>
  <c r="I531" i="1"/>
  <c r="Q531" i="1"/>
  <c r="Q998" i="1"/>
  <c r="I998" i="1"/>
  <c r="Q422" i="1"/>
  <c r="N422" i="1"/>
  <c r="O422" i="1" s="1"/>
  <c r="M786" i="1"/>
  <c r="Q786" i="1"/>
  <c r="N786" i="1"/>
  <c r="O908" i="1" l="1"/>
  <c r="O846" i="1"/>
  <c r="O786" i="1"/>
  <c r="O869" i="1"/>
  <c r="O47" i="1"/>
  <c r="N48" i="1"/>
  <c r="N49" i="1"/>
  <c r="O49" i="1" s="1"/>
  <c r="Q213" i="1"/>
  <c r="N213" i="1"/>
  <c r="O213" i="1" s="1"/>
  <c r="Q348" i="1"/>
  <c r="N348" i="1"/>
  <c r="O348" i="1" s="1"/>
  <c r="O870" i="1"/>
  <c r="Q606" i="1"/>
  <c r="N606" i="1"/>
  <c r="O606" i="1" s="1"/>
  <c r="Q909" i="1"/>
  <c r="N909" i="1"/>
  <c r="M909" i="1"/>
  <c r="N998" i="1"/>
  <c r="O998" i="1" s="1"/>
  <c r="P998" i="1"/>
  <c r="N386" i="1"/>
  <c r="O386" i="1" s="1"/>
  <c r="Q386" i="1"/>
  <c r="O88" i="1"/>
  <c r="I88" i="1"/>
  <c r="P88" i="1" s="1"/>
  <c r="Q532" i="1"/>
  <c r="I532" i="1"/>
  <c r="N619" i="1"/>
  <c r="O619" i="1" s="1"/>
  <c r="Q619" i="1"/>
  <c r="N312" i="1"/>
  <c r="Q312" i="1"/>
  <c r="Q12" i="1"/>
  <c r="N12" i="1"/>
  <c r="O12" i="1" s="1"/>
  <c r="Q423" i="1"/>
  <c r="N423" i="1"/>
  <c r="O423" i="1" s="1"/>
  <c r="Q178" i="1"/>
  <c r="N178" i="1"/>
  <c r="O178" i="1" s="1"/>
  <c r="Q961" i="1"/>
  <c r="N961" i="1"/>
  <c r="O961" i="1" s="1"/>
  <c r="Q105" i="1"/>
  <c r="N105" i="1"/>
  <c r="O105" i="1" s="1"/>
  <c r="I999" i="1"/>
  <c r="Q999" i="1"/>
  <c r="P531" i="1"/>
  <c r="L532" i="1" s="1"/>
  <c r="N531" i="1"/>
  <c r="O531" i="1" s="1"/>
  <c r="N787" i="1"/>
  <c r="M787" i="1"/>
  <c r="Q787" i="1"/>
  <c r="Q1033" i="1"/>
  <c r="I1033" i="1"/>
  <c r="P1033" i="1" s="1"/>
  <c r="N89" i="1"/>
  <c r="N90" i="1" s="1"/>
  <c r="P960" i="1"/>
  <c r="L961" i="1" s="1"/>
  <c r="P961" i="1" s="1"/>
  <c r="L962" i="1" s="1"/>
  <c r="N960" i="1"/>
  <c r="O960" i="1" s="1"/>
  <c r="O87" i="1"/>
  <c r="I87" i="1"/>
  <c r="P87" i="1" s="1"/>
  <c r="Q686" i="1"/>
  <c r="I686" i="1"/>
  <c r="Q871" i="1"/>
  <c r="N871" i="1"/>
  <c r="M871" i="1"/>
  <c r="Q276" i="1"/>
  <c r="N276" i="1"/>
  <c r="O276" i="1" s="1"/>
  <c r="I848" i="1"/>
  <c r="Q848" i="1"/>
  <c r="Q569" i="1"/>
  <c r="N569" i="1"/>
  <c r="O569" i="1" s="1"/>
  <c r="P847" i="1"/>
  <c r="L848" i="1" s="1"/>
  <c r="N847" i="1"/>
  <c r="M847" i="1"/>
  <c r="Q632" i="1"/>
  <c r="N632" i="1"/>
  <c r="O632" i="1" s="1"/>
  <c r="H697" i="1"/>
  <c r="N735" i="1"/>
  <c r="O735" i="1" s="1"/>
  <c r="Q735" i="1"/>
  <c r="H544" i="1"/>
  <c r="N50" i="1" l="1"/>
  <c r="O50" i="1" s="1"/>
  <c r="Q910" i="1"/>
  <c r="N910" i="1"/>
  <c r="M910" i="1"/>
  <c r="Q349" i="1"/>
  <c r="N349" i="1"/>
  <c r="O349" i="1" s="1"/>
  <c r="Q607" i="1"/>
  <c r="N608" i="1" s="1"/>
  <c r="O608" i="1" s="1"/>
  <c r="N607" i="1"/>
  <c r="O607" i="1" s="1"/>
  <c r="O48" i="1"/>
  <c r="O909" i="1"/>
  <c r="Q214" i="1"/>
  <c r="N214" i="1"/>
  <c r="O214" i="1" s="1"/>
  <c r="I90" i="1"/>
  <c r="P90" i="1" s="1"/>
  <c r="O90" i="1"/>
  <c r="Q1000" i="1"/>
  <c r="I1000" i="1"/>
  <c r="Q1034" i="1"/>
  <c r="I1034" i="1"/>
  <c r="P1034" i="1" s="1"/>
  <c r="Q736" i="1"/>
  <c r="N736" i="1"/>
  <c r="O736" i="1" s="1"/>
  <c r="O847" i="1"/>
  <c r="N91" i="1"/>
  <c r="N92" i="1" s="1"/>
  <c r="N93" i="1" s="1"/>
  <c r="Q424" i="1"/>
  <c r="N424" i="1"/>
  <c r="O424" i="1" s="1"/>
  <c r="Q687" i="1"/>
  <c r="I687" i="1"/>
  <c r="N999" i="1"/>
  <c r="O999" i="1" s="1"/>
  <c r="P999" i="1"/>
  <c r="Q620" i="1"/>
  <c r="N620" i="1"/>
  <c r="O620" i="1" s="1"/>
  <c r="Q788" i="1"/>
  <c r="N788" i="1"/>
  <c r="M788" i="1"/>
  <c r="N106" i="1"/>
  <c r="O106" i="1" s="1"/>
  <c r="Q106" i="1"/>
  <c r="N532" i="1"/>
  <c r="O532" i="1" s="1"/>
  <c r="P532" i="1"/>
  <c r="L533" i="1" s="1"/>
  <c r="N387" i="1"/>
  <c r="O387" i="1" s="1"/>
  <c r="Q387" i="1"/>
  <c r="Q277" i="1"/>
  <c r="N277" i="1"/>
  <c r="O277" i="1" s="1"/>
  <c r="H698" i="1"/>
  <c r="Q533" i="1"/>
  <c r="I533" i="1"/>
  <c r="Q570" i="1"/>
  <c r="N570" i="1"/>
  <c r="O570" i="1" s="1"/>
  <c r="O787" i="1"/>
  <c r="P686" i="1"/>
  <c r="L687" i="1" s="1"/>
  <c r="N686" i="1"/>
  <c r="O686" i="1" s="1"/>
  <c r="Q849" i="1"/>
  <c r="I849" i="1"/>
  <c r="O871" i="1"/>
  <c r="I962" i="1"/>
  <c r="Q962" i="1"/>
  <c r="N13" i="1"/>
  <c r="O13" i="1" s="1"/>
  <c r="Q13" i="1"/>
  <c r="Q633" i="1"/>
  <c r="N633" i="1"/>
  <c r="O633" i="1" s="1"/>
  <c r="N179" i="1"/>
  <c r="O179" i="1" s="1"/>
  <c r="Q179" i="1"/>
  <c r="H545" i="1"/>
  <c r="P848" i="1"/>
  <c r="L849" i="1" s="1"/>
  <c r="N848" i="1"/>
  <c r="M848" i="1"/>
  <c r="N872" i="1"/>
  <c r="M872" i="1"/>
  <c r="Q872" i="1"/>
  <c r="I89" i="1"/>
  <c r="P89" i="1" s="1"/>
  <c r="O89" i="1"/>
  <c r="N313" i="1"/>
  <c r="Q313" i="1"/>
  <c r="O910" i="1" l="1"/>
  <c r="N51" i="1"/>
  <c r="O51" i="1" s="1"/>
  <c r="Q911" i="1"/>
  <c r="N911" i="1"/>
  <c r="M911" i="1"/>
  <c r="Q350" i="1"/>
  <c r="N350" i="1"/>
  <c r="O350" i="1" s="1"/>
  <c r="N52" i="1"/>
  <c r="O788" i="1"/>
  <c r="Q215" i="1"/>
  <c r="N215" i="1"/>
  <c r="O215" i="1" s="1"/>
  <c r="O93" i="1"/>
  <c r="I93" i="1"/>
  <c r="P93" i="1" s="1"/>
  <c r="Q425" i="1"/>
  <c r="N425" i="1"/>
  <c r="O425" i="1" s="1"/>
  <c r="O848" i="1"/>
  <c r="N14" i="1"/>
  <c r="O14" i="1" s="1"/>
  <c r="Q14" i="1"/>
  <c r="N571" i="1"/>
  <c r="O571" i="1" s="1"/>
  <c r="Q571" i="1"/>
  <c r="I91" i="1"/>
  <c r="P91" i="1" s="1"/>
  <c r="O91" i="1"/>
  <c r="Q1035" i="1"/>
  <c r="I1035" i="1"/>
  <c r="P1035" i="1" s="1"/>
  <c r="Q621" i="1"/>
  <c r="N621" i="1"/>
  <c r="O621" i="1" s="1"/>
  <c r="P1000" i="1"/>
  <c r="N1000" i="1"/>
  <c r="O1000" i="1" s="1"/>
  <c r="N388" i="1"/>
  <c r="O388" i="1" s="1"/>
  <c r="Q388" i="1"/>
  <c r="H546" i="1"/>
  <c r="Q963" i="1"/>
  <c r="I963" i="1"/>
  <c r="Q534" i="1"/>
  <c r="N534" i="1"/>
  <c r="O534" i="1" s="1"/>
  <c r="Q1001" i="1"/>
  <c r="I1001" i="1"/>
  <c r="N314" i="1"/>
  <c r="Q314" i="1"/>
  <c r="N789" i="1"/>
  <c r="M789" i="1"/>
  <c r="Q789" i="1"/>
  <c r="H699" i="1"/>
  <c r="N107" i="1"/>
  <c r="O107" i="1" s="1"/>
  <c r="Q107" i="1"/>
  <c r="Q634" i="1"/>
  <c r="I634" i="1"/>
  <c r="N533" i="1"/>
  <c r="O533" i="1" s="1"/>
  <c r="P533" i="1"/>
  <c r="N962" i="1"/>
  <c r="O962" i="1" s="1"/>
  <c r="P962" i="1"/>
  <c r="I873" i="1"/>
  <c r="Q873" i="1"/>
  <c r="Q180" i="1"/>
  <c r="N180" i="1"/>
  <c r="O180" i="1" s="1"/>
  <c r="N687" i="1"/>
  <c r="O687" i="1" s="1"/>
  <c r="P687" i="1"/>
  <c r="L688" i="1" s="1"/>
  <c r="Q737" i="1"/>
  <c r="N737" i="1"/>
  <c r="O737" i="1" s="1"/>
  <c r="N94" i="1"/>
  <c r="N95" i="1" s="1"/>
  <c r="P849" i="1"/>
  <c r="L850" i="1" s="1"/>
  <c r="N849" i="1"/>
  <c r="M849" i="1"/>
  <c r="I92" i="1"/>
  <c r="P92" i="1" s="1"/>
  <c r="O92" i="1"/>
  <c r="I688" i="1"/>
  <c r="Q688" i="1"/>
  <c r="O872" i="1"/>
  <c r="I850" i="1"/>
  <c r="Q850" i="1"/>
  <c r="Q278" i="1"/>
  <c r="N278" i="1"/>
  <c r="O278" i="1" s="1"/>
  <c r="Q216" i="1" l="1"/>
  <c r="N216" i="1"/>
  <c r="O216" i="1" s="1"/>
  <c r="Q351" i="1"/>
  <c r="N351" i="1"/>
  <c r="O351" i="1" s="1"/>
  <c r="N53" i="1"/>
  <c r="O52" i="1"/>
  <c r="O911" i="1"/>
  <c r="N912" i="1"/>
  <c r="O912" i="1" s="1"/>
  <c r="M912" i="1"/>
  <c r="Q912" i="1"/>
  <c r="O95" i="1"/>
  <c r="I95" i="1"/>
  <c r="P95" i="1" s="1"/>
  <c r="N738" i="1"/>
  <c r="O738" i="1" s="1"/>
  <c r="Q738" i="1"/>
  <c r="P1001" i="1"/>
  <c r="N1001" i="1"/>
  <c r="O1001" i="1" s="1"/>
  <c r="I851" i="1"/>
  <c r="Q851" i="1"/>
  <c r="H700" i="1"/>
  <c r="I1002" i="1"/>
  <c r="Q1002" i="1"/>
  <c r="N688" i="1"/>
  <c r="O688" i="1" s="1"/>
  <c r="P688" i="1"/>
  <c r="L689" i="1" s="1"/>
  <c r="P850" i="1"/>
  <c r="N850" i="1"/>
  <c r="M850" i="1"/>
  <c r="Q389" i="1"/>
  <c r="N389" i="1"/>
  <c r="O389" i="1" s="1"/>
  <c r="Q790" i="1"/>
  <c r="N790" i="1"/>
  <c r="M790" i="1"/>
  <c r="Q535" i="1"/>
  <c r="N535" i="1"/>
  <c r="O535" i="1" s="1"/>
  <c r="O849" i="1"/>
  <c r="P634" i="1"/>
  <c r="L635" i="1" s="1"/>
  <c r="N634" i="1"/>
  <c r="O634" i="1" s="1"/>
  <c r="N963" i="1"/>
  <c r="O963" i="1" s="1"/>
  <c r="P963" i="1"/>
  <c r="Q181" i="1"/>
  <c r="N181" i="1"/>
  <c r="O181" i="1" s="1"/>
  <c r="Q635" i="1"/>
  <c r="I635" i="1"/>
  <c r="O789" i="1"/>
  <c r="I964" i="1"/>
  <c r="Q964" i="1"/>
  <c r="Q572" i="1"/>
  <c r="N572" i="1"/>
  <c r="O572" i="1" s="1"/>
  <c r="Q426" i="1"/>
  <c r="N426" i="1"/>
  <c r="O426" i="1" s="1"/>
  <c r="N279" i="1"/>
  <c r="O279" i="1" s="1"/>
  <c r="Q279" i="1"/>
  <c r="O94" i="1"/>
  <c r="I94" i="1"/>
  <c r="P94" i="1" s="1"/>
  <c r="I874" i="1"/>
  <c r="Q874" i="1"/>
  <c r="N108" i="1"/>
  <c r="O108" i="1" s="1"/>
  <c r="Q108" i="1"/>
  <c r="N315" i="1"/>
  <c r="Q315" i="1"/>
  <c r="I689" i="1"/>
  <c r="Q689" i="1"/>
  <c r="M873" i="1"/>
  <c r="P873" i="1"/>
  <c r="N873" i="1"/>
  <c r="H547" i="1"/>
  <c r="O790" i="1" l="1"/>
  <c r="Q352" i="1"/>
  <c r="N352" i="1"/>
  <c r="O352" i="1" s="1"/>
  <c r="Q913" i="1"/>
  <c r="M913" i="1"/>
  <c r="N913" i="1"/>
  <c r="O913" i="1" s="1"/>
  <c r="N55" i="1"/>
  <c r="O55" i="1" s="1"/>
  <c r="O53" i="1"/>
  <c r="N54" i="1"/>
  <c r="Q217" i="1"/>
  <c r="N217" i="1"/>
  <c r="O217" i="1" s="1"/>
  <c r="N316" i="1"/>
  <c r="Q316" i="1"/>
  <c r="Q965" i="1"/>
  <c r="I965" i="1"/>
  <c r="P1002" i="1"/>
  <c r="N1002" i="1"/>
  <c r="O1002" i="1" s="1"/>
  <c r="Q390" i="1"/>
  <c r="N390" i="1"/>
  <c r="O390" i="1" s="1"/>
  <c r="H701" i="1"/>
  <c r="Q739" i="1"/>
  <c r="N739" i="1"/>
  <c r="O739" i="1" s="1"/>
  <c r="H548" i="1"/>
  <c r="N573" i="1"/>
  <c r="O573" i="1" s="1"/>
  <c r="Q573" i="1"/>
  <c r="P635" i="1"/>
  <c r="L636" i="1" s="1"/>
  <c r="N635" i="1"/>
  <c r="O635" i="1" s="1"/>
  <c r="O850" i="1"/>
  <c r="I852" i="1"/>
  <c r="Q852" i="1"/>
  <c r="N791" i="1"/>
  <c r="M791" i="1"/>
  <c r="Q791" i="1"/>
  <c r="N964" i="1"/>
  <c r="O964" i="1" s="1"/>
  <c r="P964" i="1"/>
  <c r="Q109" i="1"/>
  <c r="N109" i="1"/>
  <c r="O109" i="1" s="1"/>
  <c r="O873" i="1"/>
  <c r="I875" i="1"/>
  <c r="Q875" i="1"/>
  <c r="Q636" i="1"/>
  <c r="I636" i="1"/>
  <c r="I536" i="1"/>
  <c r="Q536" i="1"/>
  <c r="P851" i="1"/>
  <c r="N851" i="1"/>
  <c r="M851" i="1"/>
  <c r="N689" i="1"/>
  <c r="O689" i="1" s="1"/>
  <c r="P689" i="1"/>
  <c r="L690" i="1" s="1"/>
  <c r="Q1003" i="1"/>
  <c r="I1003" i="1"/>
  <c r="N280" i="1"/>
  <c r="O280" i="1" s="1"/>
  <c r="Q280" i="1"/>
  <c r="P874" i="1"/>
  <c r="N874" i="1"/>
  <c r="M874" i="1"/>
  <c r="Q427" i="1"/>
  <c r="N427" i="1"/>
  <c r="O427" i="1" s="1"/>
  <c r="I690" i="1"/>
  <c r="Q690" i="1"/>
  <c r="N182" i="1"/>
  <c r="O182" i="1" s="1"/>
  <c r="Q182" i="1"/>
  <c r="Q353" i="1" l="1"/>
  <c r="N353" i="1"/>
  <c r="O353" i="1" s="1"/>
  <c r="N56" i="1"/>
  <c r="N57" i="1"/>
  <c r="O57" i="1" s="1"/>
  <c r="O54" i="1"/>
  <c r="Q218" i="1"/>
  <c r="N218" i="1"/>
  <c r="O218" i="1" s="1"/>
  <c r="N914" i="1"/>
  <c r="M914" i="1"/>
  <c r="Q914" i="1"/>
  <c r="P1003" i="1"/>
  <c r="N1003" i="1"/>
  <c r="O1003" i="1" s="1"/>
  <c r="I1004" i="1"/>
  <c r="Q1004" i="1"/>
  <c r="P636" i="1"/>
  <c r="L637" i="1" s="1"/>
  <c r="N636" i="1"/>
  <c r="O636" i="1" s="1"/>
  <c r="H702" i="1"/>
  <c r="N428" i="1"/>
  <c r="O428" i="1" s="1"/>
  <c r="Q428" i="1"/>
  <c r="I637" i="1"/>
  <c r="Q637" i="1"/>
  <c r="Q792" i="1"/>
  <c r="N792" i="1"/>
  <c r="M792" i="1"/>
  <c r="Q574" i="1"/>
  <c r="N574" i="1"/>
  <c r="O574" i="1" s="1"/>
  <c r="P965" i="1"/>
  <c r="N965" i="1"/>
  <c r="O965" i="1" s="1"/>
  <c r="N690" i="1"/>
  <c r="O690" i="1" s="1"/>
  <c r="P690" i="1"/>
  <c r="L691" i="1" s="1"/>
  <c r="I876" i="1"/>
  <c r="Q876" i="1"/>
  <c r="Q391" i="1"/>
  <c r="N391" i="1"/>
  <c r="O391" i="1" s="1"/>
  <c r="I966" i="1"/>
  <c r="Q966" i="1"/>
  <c r="O874" i="1"/>
  <c r="P875" i="1"/>
  <c r="N875" i="1"/>
  <c r="M875" i="1"/>
  <c r="O791" i="1"/>
  <c r="H549" i="1"/>
  <c r="N536" i="1"/>
  <c r="O536" i="1" s="1"/>
  <c r="P536" i="1"/>
  <c r="L537" i="1" s="1"/>
  <c r="Q183" i="1"/>
  <c r="N183" i="1"/>
  <c r="O183" i="1" s="1"/>
  <c r="O851" i="1"/>
  <c r="Q853" i="1"/>
  <c r="I853" i="1"/>
  <c r="Q281" i="1"/>
  <c r="N281" i="1"/>
  <c r="O281" i="1" s="1"/>
  <c r="P852" i="1"/>
  <c r="N852" i="1"/>
  <c r="M852" i="1"/>
  <c r="N317" i="1"/>
  <c r="Q317" i="1"/>
  <c r="Q691" i="1"/>
  <c r="I691" i="1"/>
  <c r="I537" i="1"/>
  <c r="Q537" i="1"/>
  <c r="Q110" i="1"/>
  <c r="N110" i="1"/>
  <c r="O110" i="1" s="1"/>
  <c r="N740" i="1"/>
  <c r="O740" i="1" s="1"/>
  <c r="Q740" i="1"/>
  <c r="N58" i="1" l="1"/>
  <c r="O58" i="1" s="1"/>
  <c r="O914" i="1"/>
  <c r="N354" i="1"/>
  <c r="O354" i="1" s="1"/>
  <c r="Q354" i="1"/>
  <c r="O792" i="1"/>
  <c r="M915" i="1"/>
  <c r="Q915" i="1"/>
  <c r="N915" i="1"/>
  <c r="Q219" i="1"/>
  <c r="N219" i="1"/>
  <c r="O219" i="1" s="1"/>
  <c r="O56" i="1"/>
  <c r="H703" i="1"/>
  <c r="Q741" i="1"/>
  <c r="N741" i="1"/>
  <c r="O741" i="1" s="1"/>
  <c r="N318" i="1"/>
  <c r="Q318" i="1"/>
  <c r="H550" i="1"/>
  <c r="I638" i="1"/>
  <c r="Q638" i="1"/>
  <c r="P853" i="1"/>
  <c r="N853" i="1"/>
  <c r="M853" i="1"/>
  <c r="I967" i="1"/>
  <c r="Q967" i="1"/>
  <c r="P637" i="1"/>
  <c r="L638" i="1" s="1"/>
  <c r="N637" i="1"/>
  <c r="O637" i="1" s="1"/>
  <c r="Q282" i="1"/>
  <c r="N282" i="1"/>
  <c r="O282" i="1" s="1"/>
  <c r="P966" i="1"/>
  <c r="N966" i="1"/>
  <c r="O966" i="1" s="1"/>
  <c r="Q429" i="1"/>
  <c r="N429" i="1"/>
  <c r="O429" i="1" s="1"/>
  <c r="I854" i="1"/>
  <c r="Q854" i="1"/>
  <c r="O852" i="1"/>
  <c r="I1005" i="1"/>
  <c r="Q1005" i="1"/>
  <c r="N793" i="1"/>
  <c r="M793" i="1"/>
  <c r="Q793" i="1"/>
  <c r="Q111" i="1"/>
  <c r="N111" i="1"/>
  <c r="O111" i="1" s="1"/>
  <c r="I538" i="1"/>
  <c r="Q538" i="1"/>
  <c r="O875" i="1"/>
  <c r="Q392" i="1"/>
  <c r="N392" i="1"/>
  <c r="O392" i="1" s="1"/>
  <c r="N575" i="1"/>
  <c r="O575" i="1" s="1"/>
  <c r="Q575" i="1"/>
  <c r="N1004" i="1"/>
  <c r="O1004" i="1" s="1"/>
  <c r="P1004" i="1"/>
  <c r="N691" i="1"/>
  <c r="O691" i="1" s="1"/>
  <c r="P691" i="1"/>
  <c r="L692" i="1" s="1"/>
  <c r="I692" i="1"/>
  <c r="Q692" i="1"/>
  <c r="N537" i="1"/>
  <c r="O537" i="1" s="1"/>
  <c r="P537" i="1"/>
  <c r="L538" i="1" s="1"/>
  <c r="N184" i="1"/>
  <c r="O184" i="1" s="1"/>
  <c r="Q184" i="1"/>
  <c r="I877" i="1"/>
  <c r="Q877" i="1"/>
  <c r="P876" i="1"/>
  <c r="N876" i="1"/>
  <c r="M876" i="1"/>
  <c r="O853" i="1" l="1"/>
  <c r="O876" i="1"/>
  <c r="O793" i="1"/>
  <c r="N59" i="1"/>
  <c r="O59" i="1" s="1"/>
  <c r="O915" i="1"/>
  <c r="Q355" i="1"/>
  <c r="N355" i="1"/>
  <c r="O355" i="1" s="1"/>
  <c r="Q220" i="1"/>
  <c r="N220" i="1"/>
  <c r="O220" i="1" s="1"/>
  <c r="N916" i="1"/>
  <c r="Q916" i="1"/>
  <c r="M916" i="1"/>
  <c r="Q539" i="1"/>
  <c r="I539" i="1"/>
  <c r="N1005" i="1"/>
  <c r="O1005" i="1" s="1"/>
  <c r="P1005" i="1"/>
  <c r="N538" i="1"/>
  <c r="O538" i="1" s="1"/>
  <c r="P538" i="1"/>
  <c r="L539" i="1" s="1"/>
  <c r="Q283" i="1"/>
  <c r="N283" i="1"/>
  <c r="O283" i="1" s="1"/>
  <c r="I639" i="1"/>
  <c r="Q639" i="1"/>
  <c r="N319" i="1"/>
  <c r="Q319" i="1"/>
  <c r="I693" i="1"/>
  <c r="Q693" i="1"/>
  <c r="Q855" i="1"/>
  <c r="I855" i="1"/>
  <c r="N638" i="1"/>
  <c r="O638" i="1" s="1"/>
  <c r="P638" i="1"/>
  <c r="L639" i="1" s="1"/>
  <c r="Q1006" i="1"/>
  <c r="I1006" i="1"/>
  <c r="N692" i="1"/>
  <c r="O692" i="1" s="1"/>
  <c r="P692" i="1"/>
  <c r="L693" i="1" s="1"/>
  <c r="N576" i="1"/>
  <c r="O576" i="1" s="1"/>
  <c r="Q576" i="1"/>
  <c r="Q112" i="1"/>
  <c r="N112" i="1"/>
  <c r="O112" i="1" s="1"/>
  <c r="N854" i="1"/>
  <c r="M854" i="1"/>
  <c r="P854" i="1"/>
  <c r="I878" i="1"/>
  <c r="Q878" i="1"/>
  <c r="Q794" i="1"/>
  <c r="N794" i="1"/>
  <c r="M794" i="1"/>
  <c r="I968" i="1"/>
  <c r="Q968" i="1"/>
  <c r="Q742" i="1"/>
  <c r="N742" i="1"/>
  <c r="O742" i="1" s="1"/>
  <c r="P877" i="1"/>
  <c r="N877" i="1"/>
  <c r="M877" i="1"/>
  <c r="Q430" i="1"/>
  <c r="N430" i="1"/>
  <c r="O430" i="1" s="1"/>
  <c r="P967" i="1"/>
  <c r="N967" i="1"/>
  <c r="O967" i="1" s="1"/>
  <c r="H704" i="1"/>
  <c r="Q185" i="1"/>
  <c r="N185" i="1"/>
  <c r="O185" i="1" s="1"/>
  <c r="Q393" i="1"/>
  <c r="N393" i="1"/>
  <c r="O393" i="1" s="1"/>
  <c r="H551" i="1"/>
  <c r="N917" i="1" l="1"/>
  <c r="M917" i="1"/>
  <c r="Q917" i="1"/>
  <c r="O854" i="1"/>
  <c r="N221" i="1"/>
  <c r="O221" i="1" s="1"/>
  <c r="Q221" i="1"/>
  <c r="O794" i="1"/>
  <c r="O916" i="1"/>
  <c r="Q356" i="1"/>
  <c r="N356" i="1"/>
  <c r="O356" i="1" s="1"/>
  <c r="Q186" i="1"/>
  <c r="N186" i="1"/>
  <c r="O186" i="1" s="1"/>
  <c r="O877" i="1"/>
  <c r="N693" i="1"/>
  <c r="O693" i="1" s="1"/>
  <c r="P693" i="1"/>
  <c r="L694" i="1" s="1"/>
  <c r="N320" i="1"/>
  <c r="Q320" i="1"/>
  <c r="H705" i="1"/>
  <c r="I1007" i="1"/>
  <c r="Q1007" i="1"/>
  <c r="Q113" i="1"/>
  <c r="N113" i="1"/>
  <c r="O113" i="1" s="1"/>
  <c r="N795" i="1"/>
  <c r="M795" i="1"/>
  <c r="Q795" i="1"/>
  <c r="P855" i="1"/>
  <c r="M855" i="1"/>
  <c r="N855" i="1"/>
  <c r="N743" i="1"/>
  <c r="O743" i="1" s="1"/>
  <c r="Q743" i="1"/>
  <c r="I879" i="1"/>
  <c r="Q879" i="1"/>
  <c r="I856" i="1"/>
  <c r="Q856" i="1"/>
  <c r="I640" i="1"/>
  <c r="Q640" i="1"/>
  <c r="N539" i="1"/>
  <c r="O539" i="1" s="1"/>
  <c r="P539" i="1"/>
  <c r="L540" i="1" s="1"/>
  <c r="P968" i="1"/>
  <c r="N968" i="1"/>
  <c r="O968" i="1" s="1"/>
  <c r="Q694" i="1"/>
  <c r="I694" i="1"/>
  <c r="Q577" i="1"/>
  <c r="N577" i="1"/>
  <c r="O577" i="1" s="1"/>
  <c r="H552" i="1"/>
  <c r="P878" i="1"/>
  <c r="N878" i="1"/>
  <c r="M878" i="1"/>
  <c r="N639" i="1"/>
  <c r="O639" i="1" s="1"/>
  <c r="P639" i="1"/>
  <c r="L640" i="1" s="1"/>
  <c r="I540" i="1"/>
  <c r="Q540" i="1"/>
  <c r="N394" i="1"/>
  <c r="O394" i="1" s="1"/>
  <c r="Q394" i="1"/>
  <c r="Q431" i="1"/>
  <c r="N431" i="1"/>
  <c r="O431" i="1" s="1"/>
  <c r="I969" i="1"/>
  <c r="Q969" i="1"/>
  <c r="P1006" i="1"/>
  <c r="N1006" i="1"/>
  <c r="O1006" i="1" s="1"/>
  <c r="Q284" i="1"/>
  <c r="N284" i="1"/>
  <c r="O284" i="1" s="1"/>
  <c r="O795" i="1" l="1"/>
  <c r="Q222" i="1"/>
  <c r="N222" i="1"/>
  <c r="O222" i="1" s="1"/>
  <c r="Q357" i="1"/>
  <c r="N357" i="1"/>
  <c r="O357" i="1" s="1"/>
  <c r="O917" i="1"/>
  <c r="Q918" i="1"/>
  <c r="N918" i="1"/>
  <c r="M918" i="1"/>
  <c r="O878" i="1"/>
  <c r="I880" i="1"/>
  <c r="Q880" i="1"/>
  <c r="N321" i="1"/>
  <c r="Q321" i="1"/>
  <c r="Q796" i="1"/>
  <c r="N796" i="1"/>
  <c r="M796" i="1"/>
  <c r="N879" i="1"/>
  <c r="M879" i="1"/>
  <c r="P879" i="1"/>
  <c r="H553" i="1"/>
  <c r="Q744" i="1"/>
  <c r="N744" i="1"/>
  <c r="O744" i="1" s="1"/>
  <c r="P856" i="1"/>
  <c r="N856" i="1"/>
  <c r="M856" i="1"/>
  <c r="I970" i="1"/>
  <c r="Q970" i="1"/>
  <c r="I541" i="1"/>
  <c r="Q541" i="1"/>
  <c r="N114" i="1"/>
  <c r="O114" i="1" s="1"/>
  <c r="Q114" i="1"/>
  <c r="I695" i="1"/>
  <c r="Q695" i="1"/>
  <c r="P969" i="1"/>
  <c r="N969" i="1"/>
  <c r="O969" i="1" s="1"/>
  <c r="N540" i="1"/>
  <c r="O540" i="1" s="1"/>
  <c r="P540" i="1"/>
  <c r="L541" i="1" s="1"/>
  <c r="I641" i="1"/>
  <c r="Q641" i="1"/>
  <c r="O855" i="1"/>
  <c r="Q1008" i="1"/>
  <c r="I1008" i="1"/>
  <c r="N395" i="1"/>
  <c r="O395" i="1" s="1"/>
  <c r="Q395" i="1"/>
  <c r="Q285" i="1"/>
  <c r="N285" i="1"/>
  <c r="O285" i="1" s="1"/>
  <c r="Q578" i="1"/>
  <c r="N578" i="1"/>
  <c r="O578" i="1" s="1"/>
  <c r="P640" i="1"/>
  <c r="L641" i="1" s="1"/>
  <c r="N640" i="1"/>
  <c r="O640" i="1" s="1"/>
  <c r="N1007" i="1"/>
  <c r="O1007" i="1" s="1"/>
  <c r="P1007" i="1"/>
  <c r="Q432" i="1"/>
  <c r="N432" i="1"/>
  <c r="O432" i="1" s="1"/>
  <c r="N694" i="1"/>
  <c r="O694" i="1" s="1"/>
  <c r="P694" i="1"/>
  <c r="L695" i="1" s="1"/>
  <c r="I857" i="1"/>
  <c r="Q857" i="1"/>
  <c r="H706" i="1"/>
  <c r="N187" i="1"/>
  <c r="O187" i="1" s="1"/>
  <c r="Q187" i="1"/>
  <c r="O879" i="1" l="1"/>
  <c r="O796" i="1"/>
  <c r="N919" i="1"/>
  <c r="M919" i="1"/>
  <c r="Q919" i="1"/>
  <c r="O856" i="1"/>
  <c r="Q223" i="1"/>
  <c r="N223" i="1"/>
  <c r="O223" i="1" s="1"/>
  <c r="O918" i="1"/>
  <c r="N358" i="1"/>
  <c r="O358" i="1" s="1"/>
  <c r="Q358" i="1"/>
  <c r="P1008" i="1"/>
  <c r="N1008" i="1"/>
  <c r="O1008" i="1" s="1"/>
  <c r="N970" i="1"/>
  <c r="O970" i="1" s="1"/>
  <c r="P970" i="1"/>
  <c r="Q188" i="1"/>
  <c r="N188" i="1"/>
  <c r="O188" i="1" s="1"/>
  <c r="I1009" i="1"/>
  <c r="Q1009" i="1"/>
  <c r="I696" i="1"/>
  <c r="Q696" i="1"/>
  <c r="N797" i="1"/>
  <c r="M797" i="1"/>
  <c r="Q797" i="1"/>
  <c r="Q433" i="1"/>
  <c r="N433" i="1"/>
  <c r="O433" i="1" s="1"/>
  <c r="N695" i="1"/>
  <c r="O695" i="1" s="1"/>
  <c r="P695" i="1"/>
  <c r="L696" i="1" s="1"/>
  <c r="N322" i="1"/>
  <c r="Q322" i="1"/>
  <c r="H707" i="1"/>
  <c r="Q579" i="1"/>
  <c r="N579" i="1"/>
  <c r="O579" i="1" s="1"/>
  <c r="Q642" i="1"/>
  <c r="I642" i="1"/>
  <c r="N115" i="1"/>
  <c r="O115" i="1" s="1"/>
  <c r="Q115" i="1"/>
  <c r="P641" i="1"/>
  <c r="L642" i="1" s="1"/>
  <c r="N641" i="1"/>
  <c r="O641" i="1" s="1"/>
  <c r="I881" i="1"/>
  <c r="Q881" i="1"/>
  <c r="I858" i="1"/>
  <c r="Q858" i="1"/>
  <c r="N286" i="1"/>
  <c r="O286" i="1" s="1"/>
  <c r="Q286" i="1"/>
  <c r="I542" i="1"/>
  <c r="Q542" i="1"/>
  <c r="Q745" i="1"/>
  <c r="N745" i="1"/>
  <c r="O745" i="1" s="1"/>
  <c r="P880" i="1"/>
  <c r="N880" i="1"/>
  <c r="M880" i="1"/>
  <c r="P857" i="1"/>
  <c r="N857" i="1"/>
  <c r="M857" i="1"/>
  <c r="N396" i="1"/>
  <c r="O396" i="1" s="1"/>
  <c r="Q396" i="1"/>
  <c r="N541" i="1"/>
  <c r="O541" i="1" s="1"/>
  <c r="P541" i="1"/>
  <c r="H554" i="1"/>
  <c r="Q971" i="1"/>
  <c r="I971" i="1"/>
  <c r="O919" i="1" l="1"/>
  <c r="O880" i="1"/>
  <c r="N920" i="1"/>
  <c r="O920" i="1" s="1"/>
  <c r="Q920" i="1"/>
  <c r="M920" i="1"/>
  <c r="Q359" i="1"/>
  <c r="N359" i="1"/>
  <c r="O359" i="1" s="1"/>
  <c r="N224" i="1"/>
  <c r="O224" i="1" s="1"/>
  <c r="Q224" i="1"/>
  <c r="N580" i="1"/>
  <c r="O580" i="1" s="1"/>
  <c r="Q580" i="1"/>
  <c r="Q434" i="1"/>
  <c r="N434" i="1"/>
  <c r="O434" i="1" s="1"/>
  <c r="Q746" i="1"/>
  <c r="N746" i="1"/>
  <c r="O746" i="1" s="1"/>
  <c r="I859" i="1"/>
  <c r="Q859" i="1"/>
  <c r="N116" i="1"/>
  <c r="O116" i="1" s="1"/>
  <c r="Q116" i="1"/>
  <c r="N323" i="1"/>
  <c r="Q323" i="1"/>
  <c r="O797" i="1"/>
  <c r="N971" i="1"/>
  <c r="O971" i="1" s="1"/>
  <c r="P971" i="1"/>
  <c r="Q543" i="1"/>
  <c r="I543" i="1"/>
  <c r="N858" i="1"/>
  <c r="M858" i="1"/>
  <c r="P858" i="1"/>
  <c r="I697" i="1"/>
  <c r="Q697" i="1"/>
  <c r="I972" i="1"/>
  <c r="Q972" i="1"/>
  <c r="O857" i="1"/>
  <c r="N542" i="1"/>
  <c r="O542" i="1" s="1"/>
  <c r="P542" i="1"/>
  <c r="I882" i="1"/>
  <c r="Q882" i="1"/>
  <c r="P642" i="1"/>
  <c r="L643" i="1" s="1"/>
  <c r="N642" i="1"/>
  <c r="O642" i="1" s="1"/>
  <c r="N696" i="1"/>
  <c r="O696" i="1" s="1"/>
  <c r="P696" i="1"/>
  <c r="L697" i="1" s="1"/>
  <c r="Q189" i="1"/>
  <c r="N189" i="1"/>
  <c r="O189" i="1" s="1"/>
  <c r="Q397" i="1"/>
  <c r="N397" i="1"/>
  <c r="O397" i="1" s="1"/>
  <c r="N287" i="1"/>
  <c r="O287" i="1" s="1"/>
  <c r="Q287" i="1"/>
  <c r="M881" i="1"/>
  <c r="P881" i="1"/>
  <c r="N881" i="1"/>
  <c r="Q643" i="1"/>
  <c r="I643" i="1"/>
  <c r="I1010" i="1"/>
  <c r="Q1010" i="1"/>
  <c r="Q798" i="1"/>
  <c r="N798" i="1"/>
  <c r="M798" i="1"/>
  <c r="H708" i="1"/>
  <c r="H555" i="1"/>
  <c r="P1009" i="1"/>
  <c r="N1009" i="1"/>
  <c r="O1009" i="1" s="1"/>
  <c r="O798" i="1" l="1"/>
  <c r="Q225" i="1"/>
  <c r="N225" i="1"/>
  <c r="O225" i="1" s="1"/>
  <c r="N921" i="1"/>
  <c r="O921" i="1" s="1"/>
  <c r="Q921" i="1"/>
  <c r="M921" i="1"/>
  <c r="Q360" i="1"/>
  <c r="N360" i="1"/>
  <c r="O360" i="1" s="1"/>
  <c r="N190" i="1"/>
  <c r="O190" i="1" s="1"/>
  <c r="Q190" i="1"/>
  <c r="N799" i="1"/>
  <c r="M799" i="1"/>
  <c r="Q799" i="1"/>
  <c r="N288" i="1"/>
  <c r="O288" i="1" s="1"/>
  <c r="Q288" i="1"/>
  <c r="O858" i="1"/>
  <c r="N324" i="1"/>
  <c r="Q324" i="1"/>
  <c r="Q1011" i="1"/>
  <c r="I1011" i="1"/>
  <c r="Q973" i="1"/>
  <c r="I973" i="1"/>
  <c r="N543" i="1"/>
  <c r="O543" i="1" s="1"/>
  <c r="P543" i="1"/>
  <c r="Q435" i="1"/>
  <c r="N435" i="1"/>
  <c r="O435" i="1" s="1"/>
  <c r="Q747" i="1"/>
  <c r="N747" i="1"/>
  <c r="O747" i="1" s="1"/>
  <c r="H556" i="1"/>
  <c r="P1010" i="1"/>
  <c r="N1010" i="1"/>
  <c r="O1010" i="1" s="1"/>
  <c r="N972" i="1"/>
  <c r="O972" i="1" s="1"/>
  <c r="P972" i="1"/>
  <c r="I544" i="1"/>
  <c r="Q544" i="1"/>
  <c r="Q117" i="1"/>
  <c r="N117" i="1"/>
  <c r="O117" i="1" s="1"/>
  <c r="Q581" i="1"/>
  <c r="N581" i="1"/>
  <c r="O581" i="1" s="1"/>
  <c r="P643" i="1"/>
  <c r="L644" i="1" s="1"/>
  <c r="N643" i="1"/>
  <c r="O643" i="1" s="1"/>
  <c r="H709" i="1"/>
  <c r="Q644" i="1"/>
  <c r="I644" i="1"/>
  <c r="I883" i="1"/>
  <c r="Q883" i="1"/>
  <c r="I698" i="1"/>
  <c r="Q698" i="1"/>
  <c r="I860" i="1"/>
  <c r="Q860" i="1"/>
  <c r="O881" i="1"/>
  <c r="Q398" i="1"/>
  <c r="N398" i="1"/>
  <c r="O398" i="1" s="1"/>
  <c r="P882" i="1"/>
  <c r="N882" i="1"/>
  <c r="M882" i="1"/>
  <c r="N697" i="1"/>
  <c r="O697" i="1" s="1"/>
  <c r="P697" i="1"/>
  <c r="P859" i="1"/>
  <c r="N859" i="1"/>
  <c r="M859" i="1"/>
  <c r="O799" i="1" l="1"/>
  <c r="Q361" i="1"/>
  <c r="N361" i="1"/>
  <c r="O361" i="1" s="1"/>
  <c r="Q226" i="1"/>
  <c r="N226" i="1"/>
  <c r="O226" i="1" s="1"/>
  <c r="O859" i="1"/>
  <c r="N922" i="1"/>
  <c r="M922" i="1"/>
  <c r="Q922" i="1"/>
  <c r="P644" i="1"/>
  <c r="N644" i="1"/>
  <c r="O644" i="1" s="1"/>
  <c r="I645" i="1"/>
  <c r="Q645" i="1"/>
  <c r="Q118" i="1"/>
  <c r="N118" i="1"/>
  <c r="O118" i="1" s="1"/>
  <c r="Q289" i="1"/>
  <c r="N289" i="1"/>
  <c r="O289" i="1" s="1"/>
  <c r="M861" i="1"/>
  <c r="N861" i="1"/>
  <c r="I545" i="1"/>
  <c r="Q545" i="1"/>
  <c r="H557" i="1"/>
  <c r="P973" i="1"/>
  <c r="N973" i="1"/>
  <c r="O973" i="1" s="1"/>
  <c r="N860" i="1"/>
  <c r="P860" i="1"/>
  <c r="M860" i="1"/>
  <c r="H710" i="1"/>
  <c r="N544" i="1"/>
  <c r="O544" i="1" s="1"/>
  <c r="P544" i="1"/>
  <c r="Q974" i="1"/>
  <c r="I974" i="1"/>
  <c r="Q800" i="1"/>
  <c r="N800" i="1"/>
  <c r="M800" i="1"/>
  <c r="O882" i="1"/>
  <c r="Q699" i="1"/>
  <c r="I699" i="1"/>
  <c r="P1011" i="1"/>
  <c r="N1011" i="1"/>
  <c r="O1011" i="1" s="1"/>
  <c r="N698" i="1"/>
  <c r="O698" i="1" s="1"/>
  <c r="P698" i="1"/>
  <c r="N748" i="1"/>
  <c r="O748" i="1" s="1"/>
  <c r="Q748" i="1"/>
  <c r="I1012" i="1"/>
  <c r="Q1012" i="1"/>
  <c r="I884" i="1"/>
  <c r="Q884" i="1"/>
  <c r="N325" i="1"/>
  <c r="Q325" i="1"/>
  <c r="Q191" i="1"/>
  <c r="N191" i="1"/>
  <c r="O191" i="1" s="1"/>
  <c r="Q399" i="1"/>
  <c r="N399" i="1"/>
  <c r="O399" i="1" s="1"/>
  <c r="P883" i="1"/>
  <c r="N883" i="1"/>
  <c r="M883" i="1"/>
  <c r="N582" i="1"/>
  <c r="O582" i="1" s="1"/>
  <c r="Q582" i="1"/>
  <c r="Q436" i="1"/>
  <c r="N436" i="1"/>
  <c r="O436" i="1" s="1"/>
  <c r="O922" i="1" l="1"/>
  <c r="O883" i="1"/>
  <c r="M923" i="1"/>
  <c r="Q923" i="1"/>
  <c r="N923" i="1"/>
  <c r="N227" i="1"/>
  <c r="O227" i="1" s="1"/>
  <c r="Q227" i="1"/>
  <c r="Q362" i="1"/>
  <c r="N362" i="1"/>
  <c r="O362" i="1" s="1"/>
  <c r="H711" i="1"/>
  <c r="Q290" i="1"/>
  <c r="N290" i="1"/>
  <c r="O290" i="1" s="1"/>
  <c r="I700" i="1"/>
  <c r="Q700" i="1"/>
  <c r="I885" i="1"/>
  <c r="Q885" i="1"/>
  <c r="I546" i="1"/>
  <c r="Q546" i="1"/>
  <c r="N326" i="1"/>
  <c r="Q326" i="1"/>
  <c r="P884" i="1"/>
  <c r="N884" i="1"/>
  <c r="M884" i="1"/>
  <c r="O800" i="1"/>
  <c r="N545" i="1"/>
  <c r="O545" i="1" s="1"/>
  <c r="P545" i="1"/>
  <c r="Q119" i="1"/>
  <c r="N119" i="1"/>
  <c r="O119" i="1" s="1"/>
  <c r="I1013" i="1"/>
  <c r="Q1013" i="1"/>
  <c r="N801" i="1"/>
  <c r="M801" i="1"/>
  <c r="Q801" i="1"/>
  <c r="I646" i="1"/>
  <c r="Q646" i="1"/>
  <c r="H558" i="1"/>
  <c r="Q437" i="1"/>
  <c r="N437" i="1"/>
  <c r="O437" i="1" s="1"/>
  <c r="Q400" i="1"/>
  <c r="N400" i="1"/>
  <c r="O400" i="1" s="1"/>
  <c r="N1012" i="1"/>
  <c r="O1012" i="1" s="1"/>
  <c r="P1012" i="1"/>
  <c r="P974" i="1"/>
  <c r="N974" i="1"/>
  <c r="O974" i="1" s="1"/>
  <c r="O860" i="1"/>
  <c r="P645" i="1"/>
  <c r="N645" i="1"/>
  <c r="O645" i="1" s="1"/>
  <c r="Q749" i="1"/>
  <c r="N749" i="1"/>
  <c r="O749" i="1" s="1"/>
  <c r="Q975" i="1"/>
  <c r="I975" i="1"/>
  <c r="Q583" i="1"/>
  <c r="N583" i="1"/>
  <c r="O583" i="1" s="1"/>
  <c r="N192" i="1"/>
  <c r="O192" i="1" s="1"/>
  <c r="Q192" i="1"/>
  <c r="N699" i="1"/>
  <c r="O699" i="1" s="1"/>
  <c r="P699" i="1"/>
  <c r="Q228" i="1" l="1"/>
  <c r="N228" i="1"/>
  <c r="O228" i="1" s="1"/>
  <c r="O884" i="1"/>
  <c r="O923" i="1"/>
  <c r="N363" i="1"/>
  <c r="O363" i="1" s="1"/>
  <c r="Q363" i="1"/>
  <c r="Q924" i="1"/>
  <c r="M924" i="1"/>
  <c r="N924" i="1"/>
  <c r="N1013" i="1"/>
  <c r="O1013" i="1" s="1"/>
  <c r="P1013" i="1"/>
  <c r="I886" i="1"/>
  <c r="Q886" i="1"/>
  <c r="Q750" i="1"/>
  <c r="N750" i="1"/>
  <c r="O750" i="1" s="1"/>
  <c r="I647" i="1"/>
  <c r="Q647" i="1"/>
  <c r="P885" i="1"/>
  <c r="N885" i="1"/>
  <c r="M885" i="1"/>
  <c r="Q193" i="1"/>
  <c r="N193" i="1"/>
  <c r="O193" i="1" s="1"/>
  <c r="N646" i="1"/>
  <c r="O646" i="1" s="1"/>
  <c r="P646" i="1"/>
  <c r="I701" i="1"/>
  <c r="Q701" i="1"/>
  <c r="N401" i="1"/>
  <c r="O401" i="1" s="1"/>
  <c r="Q401" i="1"/>
  <c r="N327" i="1"/>
  <c r="Q327" i="1"/>
  <c r="I976" i="1"/>
  <c r="Q976" i="1"/>
  <c r="Q1014" i="1"/>
  <c r="I1014" i="1"/>
  <c r="N584" i="1"/>
  <c r="O584" i="1" s="1"/>
  <c r="Q584" i="1"/>
  <c r="O801" i="1"/>
  <c r="Q120" i="1"/>
  <c r="N120" i="1"/>
  <c r="O120" i="1" s="1"/>
  <c r="Q291" i="1"/>
  <c r="N291" i="1"/>
  <c r="O291" i="1" s="1"/>
  <c r="N546" i="1"/>
  <c r="O546" i="1" s="1"/>
  <c r="P546" i="1"/>
  <c r="Q802" i="1"/>
  <c r="N802" i="1"/>
  <c r="M802" i="1"/>
  <c r="N700" i="1"/>
  <c r="O700" i="1" s="1"/>
  <c r="P700" i="1"/>
  <c r="N975" i="1"/>
  <c r="O975" i="1" s="1"/>
  <c r="P975" i="1"/>
  <c r="N438" i="1"/>
  <c r="O438" i="1" s="1"/>
  <c r="Q438" i="1"/>
  <c r="Q547" i="1"/>
  <c r="I547" i="1"/>
  <c r="H712" i="1"/>
  <c r="O802" i="1" l="1"/>
  <c r="N925" i="1"/>
  <c r="M925" i="1"/>
  <c r="Q925" i="1"/>
  <c r="N364" i="1"/>
  <c r="O364" i="1" s="1"/>
  <c r="Q364" i="1"/>
  <c r="O924" i="1"/>
  <c r="Q229" i="1"/>
  <c r="N229" i="1"/>
  <c r="O229" i="1" s="1"/>
  <c r="I1015" i="1"/>
  <c r="Q1015" i="1"/>
  <c r="Q292" i="1"/>
  <c r="N292" i="1"/>
  <c r="O292" i="1" s="1"/>
  <c r="I977" i="1"/>
  <c r="Q977" i="1"/>
  <c r="Q194" i="1"/>
  <c r="N194" i="1"/>
  <c r="O194" i="1" s="1"/>
  <c r="Q751" i="1"/>
  <c r="N751" i="1"/>
  <c r="O751" i="1" s="1"/>
  <c r="H713" i="1"/>
  <c r="P976" i="1"/>
  <c r="N976" i="1"/>
  <c r="O976" i="1" s="1"/>
  <c r="Q702" i="1"/>
  <c r="I702" i="1"/>
  <c r="I887" i="1"/>
  <c r="Q887" i="1"/>
  <c r="N547" i="1"/>
  <c r="O547" i="1" s="1"/>
  <c r="P547" i="1"/>
  <c r="Q121" i="1"/>
  <c r="N121" i="1"/>
  <c r="O121" i="1" s="1"/>
  <c r="N328" i="1"/>
  <c r="Q328" i="1"/>
  <c r="N701" i="1"/>
  <c r="O701" i="1" s="1"/>
  <c r="P701" i="1"/>
  <c r="P886" i="1"/>
  <c r="N886" i="1"/>
  <c r="M886" i="1"/>
  <c r="I548" i="1"/>
  <c r="Q548" i="1"/>
  <c r="O885" i="1"/>
  <c r="Q439" i="1"/>
  <c r="N439" i="1"/>
  <c r="O439" i="1" s="1"/>
  <c r="N803" i="1"/>
  <c r="M803" i="1"/>
  <c r="Q803" i="1"/>
  <c r="Q585" i="1"/>
  <c r="N585" i="1"/>
  <c r="O585" i="1" s="1"/>
  <c r="N402" i="1"/>
  <c r="O402" i="1" s="1"/>
  <c r="Q402" i="1"/>
  <c r="I648" i="1"/>
  <c r="Q648" i="1"/>
  <c r="P1014" i="1"/>
  <c r="N1014" i="1"/>
  <c r="O1014" i="1" s="1"/>
  <c r="N647" i="1"/>
  <c r="O647" i="1" s="1"/>
  <c r="P647" i="1"/>
  <c r="Q230" i="1" l="1"/>
  <c r="N230" i="1"/>
  <c r="O230" i="1" s="1"/>
  <c r="N926" i="1"/>
  <c r="M926" i="1"/>
  <c r="Q926" i="1"/>
  <c r="O803" i="1"/>
  <c r="N365" i="1"/>
  <c r="O365" i="1" s="1"/>
  <c r="Q365" i="1"/>
  <c r="O925" i="1"/>
  <c r="O886" i="1"/>
  <c r="H714" i="1"/>
  <c r="Q586" i="1"/>
  <c r="N586" i="1"/>
  <c r="O586" i="1" s="1"/>
  <c r="N548" i="1"/>
  <c r="O548" i="1" s="1"/>
  <c r="P548" i="1"/>
  <c r="Q804" i="1"/>
  <c r="N804" i="1"/>
  <c r="M804" i="1"/>
  <c r="N122" i="1"/>
  <c r="O122" i="1" s="1"/>
  <c r="Q122" i="1"/>
  <c r="I649" i="1"/>
  <c r="Q649" i="1"/>
  <c r="I978" i="1"/>
  <c r="Q978" i="1"/>
  <c r="I888" i="1"/>
  <c r="Q888" i="1"/>
  <c r="N403" i="1"/>
  <c r="O403" i="1" s="1"/>
  <c r="Q403" i="1"/>
  <c r="N440" i="1"/>
  <c r="O440" i="1" s="1"/>
  <c r="Q440" i="1"/>
  <c r="N887" i="1"/>
  <c r="M887" i="1"/>
  <c r="P887" i="1"/>
  <c r="N752" i="1"/>
  <c r="O752" i="1" s="1"/>
  <c r="Q752" i="1"/>
  <c r="P648" i="1"/>
  <c r="N648" i="1"/>
  <c r="O648" i="1" s="1"/>
  <c r="N977" i="1"/>
  <c r="O977" i="1" s="1"/>
  <c r="P977" i="1"/>
  <c r="N329" i="1"/>
  <c r="Q329" i="1"/>
  <c r="N702" i="1"/>
  <c r="O702" i="1" s="1"/>
  <c r="P702" i="1"/>
  <c r="Q293" i="1"/>
  <c r="N293" i="1"/>
  <c r="O293" i="1" s="1"/>
  <c r="I549" i="1"/>
  <c r="Q549" i="1"/>
  <c r="I703" i="1"/>
  <c r="Q703" i="1"/>
  <c r="N195" i="1"/>
  <c r="O195" i="1" s="1"/>
  <c r="Q195" i="1"/>
  <c r="Q1016" i="1"/>
  <c r="I1016" i="1"/>
  <c r="N1015" i="1"/>
  <c r="O1015" i="1" s="1"/>
  <c r="P1015" i="1"/>
  <c r="O926" i="1" l="1"/>
  <c r="Q366" i="1"/>
  <c r="N366" i="1"/>
  <c r="O366" i="1" s="1"/>
  <c r="O804" i="1"/>
  <c r="M927" i="1"/>
  <c r="Q927" i="1"/>
  <c r="N927" i="1"/>
  <c r="O927" i="1" s="1"/>
  <c r="N231" i="1"/>
  <c r="O231" i="1" s="1"/>
  <c r="Q231" i="1"/>
  <c r="I1017" i="1"/>
  <c r="Q1017" i="1"/>
  <c r="N805" i="1"/>
  <c r="M805" i="1"/>
  <c r="Q805" i="1"/>
  <c r="N294" i="1"/>
  <c r="O294" i="1" s="1"/>
  <c r="Q294" i="1"/>
  <c r="N441" i="1"/>
  <c r="O441" i="1" s="1"/>
  <c r="Q441" i="1"/>
  <c r="Q650" i="1"/>
  <c r="I650" i="1"/>
  <c r="O887" i="1"/>
  <c r="I704" i="1"/>
  <c r="Q704" i="1"/>
  <c r="P649" i="1"/>
  <c r="N649" i="1"/>
  <c r="O649" i="1" s="1"/>
  <c r="Q753" i="1"/>
  <c r="N753" i="1"/>
  <c r="O753" i="1" s="1"/>
  <c r="Q979" i="1"/>
  <c r="I979" i="1"/>
  <c r="N196" i="1"/>
  <c r="O196" i="1" s="1"/>
  <c r="Q196" i="1"/>
  <c r="N978" i="1"/>
  <c r="O978" i="1" s="1"/>
  <c r="P978" i="1"/>
  <c r="N123" i="1"/>
  <c r="O123" i="1" s="1"/>
  <c r="Q123" i="1"/>
  <c r="Q587" i="1"/>
  <c r="N587" i="1"/>
  <c r="O587" i="1" s="1"/>
  <c r="I550" i="1"/>
  <c r="Q550" i="1"/>
  <c r="N330" i="1"/>
  <c r="Q330" i="1"/>
  <c r="N549" i="1"/>
  <c r="O549" i="1" s="1"/>
  <c r="P549" i="1"/>
  <c r="I889" i="1"/>
  <c r="Q889" i="1"/>
  <c r="H715" i="1"/>
  <c r="N703" i="1"/>
  <c r="O703" i="1" s="1"/>
  <c r="P703" i="1"/>
  <c r="Q404" i="1"/>
  <c r="N404" i="1"/>
  <c r="O404" i="1" s="1"/>
  <c r="P1016" i="1"/>
  <c r="N1016" i="1"/>
  <c r="O1016" i="1" s="1"/>
  <c r="P888" i="1"/>
  <c r="N888" i="1"/>
  <c r="M888" i="1"/>
  <c r="Q232" i="1" l="1"/>
  <c r="N232" i="1"/>
  <c r="O232" i="1" s="1"/>
  <c r="O888" i="1"/>
  <c r="Q928" i="1"/>
  <c r="N928" i="1"/>
  <c r="M928" i="1"/>
  <c r="Q367" i="1"/>
  <c r="N367" i="1"/>
  <c r="O367" i="1" s="1"/>
  <c r="Q197" i="1"/>
  <c r="N197" i="1"/>
  <c r="O197" i="1" s="1"/>
  <c r="N588" i="1"/>
  <c r="O588" i="1" s="1"/>
  <c r="Q588" i="1"/>
  <c r="N124" i="1"/>
  <c r="O124" i="1" s="1"/>
  <c r="Q124" i="1"/>
  <c r="N979" i="1"/>
  <c r="O979" i="1" s="1"/>
  <c r="P979" i="1"/>
  <c r="N295" i="1"/>
  <c r="O295" i="1" s="1"/>
  <c r="Q295" i="1"/>
  <c r="Q405" i="1"/>
  <c r="N405" i="1"/>
  <c r="O405" i="1" s="1"/>
  <c r="I980" i="1"/>
  <c r="Q980" i="1"/>
  <c r="N331" i="1"/>
  <c r="Q331" i="1"/>
  <c r="Q806" i="1"/>
  <c r="N806" i="1"/>
  <c r="M806" i="1"/>
  <c r="I890" i="1"/>
  <c r="Q890" i="1"/>
  <c r="I705" i="1"/>
  <c r="Q705" i="1"/>
  <c r="H716" i="1"/>
  <c r="N704" i="1"/>
  <c r="O704" i="1" s="1"/>
  <c r="P704" i="1"/>
  <c r="M889" i="1"/>
  <c r="P889" i="1"/>
  <c r="N889" i="1"/>
  <c r="Q551" i="1"/>
  <c r="I551" i="1"/>
  <c r="P650" i="1"/>
  <c r="N650" i="1"/>
  <c r="O650" i="1" s="1"/>
  <c r="O805" i="1"/>
  <c r="N550" i="1"/>
  <c r="O550" i="1" s="1"/>
  <c r="P550" i="1"/>
  <c r="Q754" i="1"/>
  <c r="N754" i="1"/>
  <c r="O754" i="1" s="1"/>
  <c r="Q651" i="1"/>
  <c r="I651" i="1"/>
  <c r="I1018" i="1"/>
  <c r="Q1018" i="1"/>
  <c r="N442" i="1"/>
  <c r="O442" i="1" s="1"/>
  <c r="Q442" i="1"/>
  <c r="P1017" i="1"/>
  <c r="N1017" i="1"/>
  <c r="O1017" i="1" s="1"/>
  <c r="O889" i="1" l="1"/>
  <c r="M929" i="1"/>
  <c r="Q929" i="1"/>
  <c r="N929" i="1"/>
  <c r="O929" i="1" s="1"/>
  <c r="Q368" i="1"/>
  <c r="N368" i="1"/>
  <c r="O368" i="1" s="1"/>
  <c r="O928" i="1"/>
  <c r="N233" i="1"/>
  <c r="O233" i="1" s="1"/>
  <c r="Q233" i="1"/>
  <c r="P651" i="1"/>
  <c r="N651" i="1"/>
  <c r="O651" i="1" s="1"/>
  <c r="H717" i="1"/>
  <c r="I891" i="1"/>
  <c r="Q891" i="1"/>
  <c r="N980" i="1"/>
  <c r="O980" i="1" s="1"/>
  <c r="P980" i="1"/>
  <c r="Q652" i="1"/>
  <c r="I652" i="1"/>
  <c r="N551" i="1"/>
  <c r="O551" i="1" s="1"/>
  <c r="P551" i="1"/>
  <c r="P890" i="1"/>
  <c r="N890" i="1"/>
  <c r="M890" i="1"/>
  <c r="I552" i="1"/>
  <c r="Q552" i="1"/>
  <c r="I706" i="1"/>
  <c r="Q706" i="1"/>
  <c r="Q125" i="1"/>
  <c r="N125" i="1"/>
  <c r="O125" i="1" s="1"/>
  <c r="N705" i="1"/>
  <c r="O705" i="1" s="1"/>
  <c r="P705" i="1"/>
  <c r="Q443" i="1"/>
  <c r="N443" i="1"/>
  <c r="O443" i="1" s="1"/>
  <c r="Q807" i="1"/>
  <c r="N807" i="1"/>
  <c r="M807" i="1"/>
  <c r="Q589" i="1"/>
  <c r="N589" i="1"/>
  <c r="O589" i="1" s="1"/>
  <c r="P1018" i="1"/>
  <c r="N1018" i="1"/>
  <c r="O1018" i="1" s="1"/>
  <c r="N755" i="1"/>
  <c r="O755" i="1" s="1"/>
  <c r="Q755" i="1"/>
  <c r="O806" i="1"/>
  <c r="N332" i="1"/>
  <c r="Q332" i="1"/>
  <c r="Q406" i="1"/>
  <c r="N406" i="1"/>
  <c r="O406" i="1" s="1"/>
  <c r="Q1019" i="1"/>
  <c r="I1019" i="1"/>
  <c r="N296" i="1"/>
  <c r="O296" i="1" s="1"/>
  <c r="Q296" i="1"/>
  <c r="Q981" i="1"/>
  <c r="I981" i="1"/>
  <c r="Q198" i="1"/>
  <c r="N198" i="1"/>
  <c r="O198" i="1" s="1"/>
  <c r="O807" i="1" l="1"/>
  <c r="Q234" i="1"/>
  <c r="N234" i="1"/>
  <c r="O234" i="1" s="1"/>
  <c r="N369" i="1"/>
  <c r="O369" i="1" s="1"/>
  <c r="Q369" i="1"/>
  <c r="N930" i="1"/>
  <c r="M930" i="1"/>
  <c r="Q930" i="1"/>
  <c r="I1020" i="1"/>
  <c r="Q1020" i="1"/>
  <c r="M808" i="1"/>
  <c r="Q808" i="1"/>
  <c r="N808" i="1"/>
  <c r="Q199" i="1"/>
  <c r="N199" i="1"/>
  <c r="O199" i="1" s="1"/>
  <c r="O890" i="1"/>
  <c r="I892" i="1"/>
  <c r="Q892" i="1"/>
  <c r="P981" i="1"/>
  <c r="N981" i="1"/>
  <c r="O981" i="1" s="1"/>
  <c r="N333" i="1"/>
  <c r="Q333" i="1"/>
  <c r="P891" i="1"/>
  <c r="N891" i="1"/>
  <c r="O891" i="1" s="1"/>
  <c r="M891" i="1"/>
  <c r="Q126" i="1"/>
  <c r="N126" i="1"/>
  <c r="O126" i="1" s="1"/>
  <c r="Q407" i="1"/>
  <c r="N407" i="1"/>
  <c r="O407" i="1" s="1"/>
  <c r="I982" i="1"/>
  <c r="Q982" i="1"/>
  <c r="Q444" i="1"/>
  <c r="N444" i="1"/>
  <c r="O444" i="1" s="1"/>
  <c r="Q707" i="1"/>
  <c r="I707" i="1"/>
  <c r="Q297" i="1"/>
  <c r="N297" i="1"/>
  <c r="O297" i="1" s="1"/>
  <c r="N590" i="1"/>
  <c r="O590" i="1" s="1"/>
  <c r="Q590" i="1"/>
  <c r="N706" i="1"/>
  <c r="O706" i="1" s="1"/>
  <c r="P706" i="1"/>
  <c r="H718" i="1"/>
  <c r="N756" i="1"/>
  <c r="O756" i="1" s="1"/>
  <c r="Q756" i="1"/>
  <c r="I553" i="1"/>
  <c r="Q553" i="1"/>
  <c r="P652" i="1"/>
  <c r="N652" i="1"/>
  <c r="O652" i="1" s="1"/>
  <c r="P1019" i="1"/>
  <c r="N1019" i="1"/>
  <c r="O1019" i="1" s="1"/>
  <c r="N552" i="1"/>
  <c r="O552" i="1" s="1"/>
  <c r="P552" i="1"/>
  <c r="I653" i="1"/>
  <c r="Q653" i="1"/>
  <c r="O808" i="1" l="1"/>
  <c r="N370" i="1"/>
  <c r="O370" i="1" s="1"/>
  <c r="Q370" i="1"/>
  <c r="M931" i="1"/>
  <c r="Q931" i="1"/>
  <c r="N931" i="1"/>
  <c r="O930" i="1"/>
  <c r="Q235" i="1"/>
  <c r="N235" i="1"/>
  <c r="O235" i="1" s="1"/>
  <c r="I654" i="1"/>
  <c r="Q654" i="1"/>
  <c r="I554" i="1"/>
  <c r="Q554" i="1"/>
  <c r="Q591" i="1"/>
  <c r="N591" i="1"/>
  <c r="O591" i="1" s="1"/>
  <c r="I983" i="1"/>
  <c r="Q983" i="1"/>
  <c r="I893" i="1"/>
  <c r="Q893" i="1"/>
  <c r="P653" i="1"/>
  <c r="N653" i="1"/>
  <c r="O653" i="1" s="1"/>
  <c r="N553" i="1"/>
  <c r="O553" i="1" s="1"/>
  <c r="P553" i="1"/>
  <c r="P982" i="1"/>
  <c r="N982" i="1"/>
  <c r="O982" i="1" s="1"/>
  <c r="P892" i="1"/>
  <c r="N892" i="1"/>
  <c r="M892" i="1"/>
  <c r="Q757" i="1"/>
  <c r="N757" i="1"/>
  <c r="O757" i="1" s="1"/>
  <c r="Q298" i="1"/>
  <c r="N298" i="1"/>
  <c r="O298" i="1" s="1"/>
  <c r="N408" i="1"/>
  <c r="O408" i="1" s="1"/>
  <c r="Q408" i="1"/>
  <c r="Q809" i="1"/>
  <c r="M809" i="1"/>
  <c r="N809" i="1"/>
  <c r="H719" i="1"/>
  <c r="N707" i="1"/>
  <c r="O707" i="1" s="1"/>
  <c r="P707" i="1"/>
  <c r="N334" i="1"/>
  <c r="Q334" i="1"/>
  <c r="I708" i="1"/>
  <c r="Q708" i="1"/>
  <c r="Q127" i="1"/>
  <c r="N127" i="1"/>
  <c r="O127" i="1" s="1"/>
  <c r="I1021" i="1"/>
  <c r="Q1021" i="1"/>
  <c r="Q445" i="1"/>
  <c r="N445" i="1"/>
  <c r="O445" i="1" s="1"/>
  <c r="N200" i="1"/>
  <c r="O200" i="1" s="1"/>
  <c r="Q200" i="1"/>
  <c r="N1020" i="1"/>
  <c r="O1020" i="1" s="1"/>
  <c r="P1020" i="1"/>
  <c r="O809" i="1" l="1"/>
  <c r="M932" i="1"/>
  <c r="N932" i="1"/>
  <c r="O932" i="1" s="1"/>
  <c r="Q932" i="1"/>
  <c r="Q236" i="1"/>
  <c r="N236" i="1"/>
  <c r="O236" i="1" s="1"/>
  <c r="Q371" i="1"/>
  <c r="N371" i="1"/>
  <c r="O371" i="1" s="1"/>
  <c r="O931" i="1"/>
  <c r="N335" i="1"/>
  <c r="Q335" i="1"/>
  <c r="I984" i="1"/>
  <c r="Q984" i="1"/>
  <c r="N1021" i="1"/>
  <c r="O1021" i="1" s="1"/>
  <c r="P1021" i="1"/>
  <c r="P983" i="1"/>
  <c r="N983" i="1"/>
  <c r="O983" i="1" s="1"/>
  <c r="O892" i="1"/>
  <c r="N592" i="1"/>
  <c r="O592" i="1" s="1"/>
  <c r="Q592" i="1"/>
  <c r="M810" i="1"/>
  <c r="Q810" i="1"/>
  <c r="N810" i="1"/>
  <c r="Q128" i="1"/>
  <c r="N128" i="1"/>
  <c r="O128" i="1" s="1"/>
  <c r="I709" i="1"/>
  <c r="Q709" i="1"/>
  <c r="H720" i="1"/>
  <c r="Q555" i="1"/>
  <c r="I555" i="1"/>
  <c r="Q1022" i="1"/>
  <c r="I1022" i="1"/>
  <c r="N409" i="1"/>
  <c r="O409" i="1" s="1"/>
  <c r="Q409" i="1"/>
  <c r="Q201" i="1"/>
  <c r="N201" i="1"/>
  <c r="O201" i="1" s="1"/>
  <c r="N708" i="1"/>
  <c r="O708" i="1" s="1"/>
  <c r="P708" i="1"/>
  <c r="Q299" i="1"/>
  <c r="N299" i="1"/>
  <c r="O299" i="1" s="1"/>
  <c r="N554" i="1"/>
  <c r="O554" i="1" s="1"/>
  <c r="P554" i="1"/>
  <c r="I894" i="1"/>
  <c r="Q894" i="1"/>
  <c r="I655" i="1"/>
  <c r="Q655" i="1"/>
  <c r="N446" i="1"/>
  <c r="O446" i="1" s="1"/>
  <c r="Q446" i="1"/>
  <c r="Q758" i="1"/>
  <c r="N758" i="1"/>
  <c r="O758" i="1" s="1"/>
  <c r="P893" i="1"/>
  <c r="N893" i="1"/>
  <c r="M893" i="1"/>
  <c r="N654" i="1"/>
  <c r="O654" i="1" s="1"/>
  <c r="P654" i="1"/>
  <c r="O810" i="1" l="1"/>
  <c r="Q237" i="1"/>
  <c r="N237" i="1"/>
  <c r="O237" i="1" s="1"/>
  <c r="Q933" i="1"/>
  <c r="N933" i="1"/>
  <c r="M933" i="1"/>
  <c r="Q372" i="1"/>
  <c r="N372" i="1"/>
  <c r="O372" i="1" s="1"/>
  <c r="N555" i="1"/>
  <c r="O555" i="1" s="1"/>
  <c r="P555" i="1"/>
  <c r="P894" i="1"/>
  <c r="N894" i="1"/>
  <c r="M894" i="1"/>
  <c r="I556" i="1"/>
  <c r="Q556" i="1"/>
  <c r="Q811" i="1"/>
  <c r="M811" i="1"/>
  <c r="N811" i="1"/>
  <c r="Q759" i="1"/>
  <c r="N759" i="1"/>
  <c r="O759" i="1" s="1"/>
  <c r="Q202" i="1"/>
  <c r="N202" i="1"/>
  <c r="O202" i="1" s="1"/>
  <c r="H721" i="1"/>
  <c r="Q593" i="1"/>
  <c r="N593" i="1"/>
  <c r="O593" i="1" s="1"/>
  <c r="Q447" i="1"/>
  <c r="N447" i="1"/>
  <c r="O447" i="1" s="1"/>
  <c r="N410" i="1"/>
  <c r="O410" i="1" s="1"/>
  <c r="Q410" i="1"/>
  <c r="Q710" i="1"/>
  <c r="I710" i="1"/>
  <c r="I985" i="1"/>
  <c r="Q985" i="1"/>
  <c r="O893" i="1"/>
  <c r="N709" i="1"/>
  <c r="O709" i="1" s="1"/>
  <c r="P709" i="1"/>
  <c r="P984" i="1"/>
  <c r="N984" i="1"/>
  <c r="O984" i="1" s="1"/>
  <c r="I895" i="1"/>
  <c r="Q895" i="1"/>
  <c r="I656" i="1"/>
  <c r="Q656" i="1"/>
  <c r="P1022" i="1"/>
  <c r="N1022" i="1"/>
  <c r="O1022" i="1" s="1"/>
  <c r="N336" i="1"/>
  <c r="Q336" i="1"/>
  <c r="N655" i="1"/>
  <c r="O655" i="1" s="1"/>
  <c r="P655" i="1"/>
  <c r="Q300" i="1"/>
  <c r="N300" i="1"/>
  <c r="O300" i="1" s="1"/>
  <c r="Q129" i="1"/>
  <c r="N129" i="1"/>
  <c r="O129" i="1" s="1"/>
  <c r="Q934" i="1" l="1"/>
  <c r="N934" i="1"/>
  <c r="M934" i="1"/>
  <c r="Q373" i="1"/>
  <c r="N373" i="1"/>
  <c r="O373" i="1" s="1"/>
  <c r="Q238" i="1"/>
  <c r="N238" i="1"/>
  <c r="O238" i="1" s="1"/>
  <c r="O811" i="1"/>
  <c r="O933" i="1"/>
  <c r="I657" i="1"/>
  <c r="Q657" i="1"/>
  <c r="N448" i="1"/>
  <c r="O448" i="1" s="1"/>
  <c r="Q448" i="1"/>
  <c r="N760" i="1"/>
  <c r="O760" i="1" s="1"/>
  <c r="Q760" i="1"/>
  <c r="Q301" i="1"/>
  <c r="N301" i="1"/>
  <c r="O301" i="1" s="1"/>
  <c r="P656" i="1"/>
  <c r="N656" i="1"/>
  <c r="O656" i="1" s="1"/>
  <c r="O894" i="1"/>
  <c r="N895" i="1"/>
  <c r="M895" i="1"/>
  <c r="P895" i="1"/>
  <c r="N710" i="1"/>
  <c r="O710" i="1" s="1"/>
  <c r="P710" i="1"/>
  <c r="H722" i="1"/>
  <c r="Q896" i="1"/>
  <c r="I896" i="1"/>
  <c r="P985" i="1"/>
  <c r="N985" i="1"/>
  <c r="O985" i="1" s="1"/>
  <c r="Q594" i="1"/>
  <c r="N594" i="1"/>
  <c r="O594" i="1" s="1"/>
  <c r="N337" i="1"/>
  <c r="Q337" i="1"/>
  <c r="I711" i="1"/>
  <c r="Q711" i="1"/>
  <c r="Q411" i="1"/>
  <c r="N411" i="1"/>
  <c r="O411" i="1" s="1"/>
  <c r="M812" i="1"/>
  <c r="Q812" i="1"/>
  <c r="N812" i="1"/>
  <c r="Q203" i="1"/>
  <c r="N203" i="1"/>
  <c r="O203" i="1" s="1"/>
  <c r="I557" i="1"/>
  <c r="Q557" i="1"/>
  <c r="N130" i="1"/>
  <c r="O130" i="1" s="1"/>
  <c r="Q130" i="1"/>
  <c r="N556" i="1"/>
  <c r="O556" i="1" s="1"/>
  <c r="P556" i="1"/>
  <c r="O934" i="1" l="1"/>
  <c r="O812" i="1"/>
  <c r="Q239" i="1"/>
  <c r="N239" i="1"/>
  <c r="O239" i="1" s="1"/>
  <c r="N935" i="1"/>
  <c r="M935" i="1"/>
  <c r="Q935" i="1"/>
  <c r="N374" i="1"/>
  <c r="O374" i="1" s="1"/>
  <c r="Q374" i="1"/>
  <c r="Q375" i="1" s="1"/>
  <c r="N338" i="1"/>
  <c r="Q338" i="1"/>
  <c r="N896" i="1"/>
  <c r="P896" i="1"/>
  <c r="M896" i="1"/>
  <c r="N711" i="1"/>
  <c r="O711" i="1" s="1"/>
  <c r="P711" i="1"/>
  <c r="Q897" i="1"/>
  <c r="I897" i="1"/>
  <c r="Q761" i="1"/>
  <c r="N761" i="1"/>
  <c r="O761" i="1" s="1"/>
  <c r="I712" i="1"/>
  <c r="Q712" i="1"/>
  <c r="O895" i="1"/>
  <c r="Q449" i="1"/>
  <c r="N449" i="1"/>
  <c r="O449" i="1" s="1"/>
  <c r="P657" i="1"/>
  <c r="N657" i="1"/>
  <c r="O657" i="1" s="1"/>
  <c r="N131" i="1"/>
  <c r="O131" i="1" s="1"/>
  <c r="Q131" i="1"/>
  <c r="I558" i="1"/>
  <c r="Q558" i="1"/>
  <c r="N559" i="1" s="1"/>
  <c r="O559" i="1" s="1"/>
  <c r="Q813" i="1"/>
  <c r="M813" i="1"/>
  <c r="N813" i="1"/>
  <c r="N557" i="1"/>
  <c r="O557" i="1" s="1"/>
  <c r="P557" i="1"/>
  <c r="Q412" i="1"/>
  <c r="N413" i="1" s="1"/>
  <c r="O413" i="1" s="1"/>
  <c r="N412" i="1"/>
  <c r="O412" i="1" s="1"/>
  <c r="Q595" i="1"/>
  <c r="N596" i="1" s="1"/>
  <c r="O596" i="1" s="1"/>
  <c r="N595" i="1"/>
  <c r="O595" i="1" s="1"/>
  <c r="H723" i="1"/>
  <c r="Q658" i="1"/>
  <c r="I658" i="1"/>
  <c r="Q240" i="1" l="1"/>
  <c r="N240" i="1"/>
  <c r="O240" i="1" s="1"/>
  <c r="Q936" i="1"/>
  <c r="N936" i="1"/>
  <c r="M936" i="1"/>
  <c r="O935" i="1"/>
  <c r="M814" i="1"/>
  <c r="Q814" i="1"/>
  <c r="N814" i="1"/>
  <c r="P897" i="1"/>
  <c r="M897" i="1"/>
  <c r="N897" i="1"/>
  <c r="O897" i="1" s="1"/>
  <c r="Q659" i="1"/>
  <c r="I659" i="1"/>
  <c r="N558" i="1"/>
  <c r="O558" i="1" s="1"/>
  <c r="P558" i="1"/>
  <c r="Q898" i="1"/>
  <c r="I898" i="1"/>
  <c r="O813" i="1"/>
  <c r="H724" i="1"/>
  <c r="I713" i="1"/>
  <c r="Q713" i="1"/>
  <c r="N712" i="1"/>
  <c r="O712" i="1" s="1"/>
  <c r="P712" i="1"/>
  <c r="O896" i="1"/>
  <c r="Q450" i="1"/>
  <c r="N450" i="1"/>
  <c r="O450" i="1" s="1"/>
  <c r="Q762" i="1"/>
  <c r="N762" i="1"/>
  <c r="O762" i="1" s="1"/>
  <c r="P658" i="1"/>
  <c r="N658" i="1"/>
  <c r="O658" i="1" s="1"/>
  <c r="O936" i="1" l="1"/>
  <c r="N241" i="1"/>
  <c r="O241" i="1" s="1"/>
  <c r="Q241" i="1"/>
  <c r="Q937" i="1"/>
  <c r="N937" i="1"/>
  <c r="M937" i="1"/>
  <c r="P659" i="1"/>
  <c r="N659" i="1"/>
  <c r="O659" i="1" s="1"/>
  <c r="Q660" i="1"/>
  <c r="I660" i="1"/>
  <c r="N763" i="1"/>
  <c r="O763" i="1" s="1"/>
  <c r="Q763" i="1"/>
  <c r="N898" i="1"/>
  <c r="M898" i="1"/>
  <c r="P898" i="1"/>
  <c r="I714" i="1"/>
  <c r="Q714" i="1"/>
  <c r="I899" i="1"/>
  <c r="Q899" i="1"/>
  <c r="O814" i="1"/>
  <c r="Q451" i="1"/>
  <c r="N451" i="1"/>
  <c r="O451" i="1" s="1"/>
  <c r="N713" i="1"/>
  <c r="O713" i="1" s="1"/>
  <c r="P713" i="1"/>
  <c r="Q815" i="1"/>
  <c r="M815" i="1"/>
  <c r="N815" i="1"/>
  <c r="Q938" i="1" l="1"/>
  <c r="N938" i="1"/>
  <c r="M938" i="1"/>
  <c r="N242" i="1"/>
  <c r="O242" i="1" s="1"/>
  <c r="Q242" i="1"/>
  <c r="O937" i="1"/>
  <c r="M816" i="1"/>
  <c r="Q816" i="1"/>
  <c r="N816" i="1"/>
  <c r="Q715" i="1"/>
  <c r="I715" i="1"/>
  <c r="N714" i="1"/>
  <c r="O714" i="1" s="1"/>
  <c r="P714" i="1"/>
  <c r="P660" i="1"/>
  <c r="N660" i="1"/>
  <c r="O660" i="1" s="1"/>
  <c r="Q661" i="1"/>
  <c r="I661" i="1"/>
  <c r="Q452" i="1"/>
  <c r="N452" i="1"/>
  <c r="O452" i="1" s="1"/>
  <c r="N764" i="1"/>
  <c r="O764" i="1" s="1"/>
  <c r="Q764" i="1"/>
  <c r="O898" i="1"/>
  <c r="O815" i="1"/>
  <c r="N900" i="1"/>
  <c r="M900" i="1"/>
  <c r="P899" i="1"/>
  <c r="M899" i="1"/>
  <c r="N899" i="1"/>
  <c r="O899" i="1" s="1"/>
  <c r="O938" i="1" l="1"/>
  <c r="Q243" i="1"/>
  <c r="N243" i="1"/>
  <c r="O243" i="1" s="1"/>
  <c r="N939" i="1"/>
  <c r="O939" i="1" s="1"/>
  <c r="M939" i="1"/>
  <c r="Q939" i="1"/>
  <c r="N661" i="1"/>
  <c r="O661" i="1" s="1"/>
  <c r="P661" i="1"/>
  <c r="Q765" i="1"/>
  <c r="N765" i="1"/>
  <c r="O765" i="1" s="1"/>
  <c r="I716" i="1"/>
  <c r="Q716" i="1"/>
  <c r="N715" i="1"/>
  <c r="O715" i="1" s="1"/>
  <c r="P715" i="1"/>
  <c r="O816" i="1"/>
  <c r="Q662" i="1"/>
  <c r="I662" i="1"/>
  <c r="Q453" i="1"/>
  <c r="N453" i="1"/>
  <c r="O453" i="1" s="1"/>
  <c r="Q817" i="1"/>
  <c r="M817" i="1"/>
  <c r="N817" i="1"/>
  <c r="O817" i="1" l="1"/>
  <c r="N940" i="1"/>
  <c r="Q940" i="1"/>
  <c r="M940" i="1"/>
  <c r="Q244" i="1"/>
  <c r="N244" i="1"/>
  <c r="O244" i="1" s="1"/>
  <c r="P662" i="1"/>
  <c r="N662" i="1"/>
  <c r="O662" i="1" s="1"/>
  <c r="N716" i="1"/>
  <c r="O716" i="1" s="1"/>
  <c r="P716" i="1"/>
  <c r="I663" i="1"/>
  <c r="Q663" i="1"/>
  <c r="M818" i="1"/>
  <c r="Q818" i="1"/>
  <c r="N818" i="1"/>
  <c r="O818" i="1" s="1"/>
  <c r="N766" i="1"/>
  <c r="O766" i="1" s="1"/>
  <c r="Q766" i="1"/>
  <c r="N454" i="1"/>
  <c r="O454" i="1" s="1"/>
  <c r="Q454" i="1"/>
  <c r="I717" i="1"/>
  <c r="Q717" i="1"/>
  <c r="Q941" i="1" l="1"/>
  <c r="N941" i="1"/>
  <c r="M941" i="1"/>
  <c r="O940" i="1"/>
  <c r="N245" i="1"/>
  <c r="O245" i="1" s="1"/>
  <c r="Q245" i="1"/>
  <c r="N455" i="1"/>
  <c r="O455" i="1" s="1"/>
  <c r="Q455" i="1"/>
  <c r="Q819" i="1"/>
  <c r="M819" i="1"/>
  <c r="N819" i="1"/>
  <c r="O819" i="1" s="1"/>
  <c r="Q664" i="1"/>
  <c r="I664" i="1"/>
  <c r="Q767" i="1"/>
  <c r="N767" i="1"/>
  <c r="O767" i="1" s="1"/>
  <c r="Q718" i="1"/>
  <c r="I718" i="1"/>
  <c r="P663" i="1"/>
  <c r="N663" i="1"/>
  <c r="O663" i="1" s="1"/>
  <c r="N717" i="1"/>
  <c r="O717" i="1" s="1"/>
  <c r="P717" i="1"/>
  <c r="O941" i="1" l="1"/>
  <c r="N246" i="1"/>
  <c r="O246" i="1" s="1"/>
  <c r="Q246" i="1"/>
  <c r="Q942" i="1"/>
  <c r="N942" i="1"/>
  <c r="M942" i="1"/>
  <c r="N718" i="1"/>
  <c r="O718" i="1" s="1"/>
  <c r="P718" i="1"/>
  <c r="Q665" i="1"/>
  <c r="I665" i="1"/>
  <c r="M820" i="1"/>
  <c r="Q820" i="1"/>
  <c r="N820" i="1"/>
  <c r="I719" i="1"/>
  <c r="Q719" i="1"/>
  <c r="N768" i="1"/>
  <c r="O768" i="1" s="1"/>
  <c r="Q768" i="1"/>
  <c r="P664" i="1"/>
  <c r="N664" i="1"/>
  <c r="O664" i="1" s="1"/>
  <c r="N456" i="1"/>
  <c r="O456" i="1" s="1"/>
  <c r="Q456" i="1"/>
  <c r="O820" i="1" l="1"/>
  <c r="O942" i="1"/>
  <c r="Q247" i="1"/>
  <c r="N247" i="1"/>
  <c r="O247" i="1" s="1"/>
  <c r="Q943" i="1"/>
  <c r="N943" i="1"/>
  <c r="M943" i="1"/>
  <c r="Q821" i="1"/>
  <c r="M821" i="1"/>
  <c r="N821" i="1"/>
  <c r="O821" i="1" s="1"/>
  <c r="I720" i="1"/>
  <c r="Q720" i="1"/>
  <c r="N719" i="1"/>
  <c r="O719" i="1" s="1"/>
  <c r="P719" i="1"/>
  <c r="Q457" i="1"/>
  <c r="N457" i="1"/>
  <c r="O457" i="1" s="1"/>
  <c r="P665" i="1"/>
  <c r="N665" i="1"/>
  <c r="O665" i="1" s="1"/>
  <c r="Q769" i="1"/>
  <c r="N769" i="1"/>
  <c r="O769" i="1" s="1"/>
  <c r="Q666" i="1"/>
  <c r="I666" i="1"/>
  <c r="N248" i="1" l="1"/>
  <c r="O248" i="1" s="1"/>
  <c r="Q248" i="1"/>
  <c r="O943" i="1"/>
  <c r="M944" i="1"/>
  <c r="Q944" i="1"/>
  <c r="N944" i="1"/>
  <c r="N720" i="1"/>
  <c r="O720" i="1" s="1"/>
  <c r="P720" i="1"/>
  <c r="Q458" i="1"/>
  <c r="N458" i="1"/>
  <c r="O458" i="1" s="1"/>
  <c r="P666" i="1"/>
  <c r="N666" i="1"/>
  <c r="O666" i="1" s="1"/>
  <c r="Q667" i="1"/>
  <c r="I667" i="1"/>
  <c r="M822" i="1"/>
  <c r="Q822" i="1"/>
  <c r="N822" i="1"/>
  <c r="Q770" i="1"/>
  <c r="N770" i="1"/>
  <c r="O770" i="1" s="1"/>
  <c r="I721" i="1"/>
  <c r="Q721" i="1"/>
  <c r="O944" i="1" l="1"/>
  <c r="O822" i="1"/>
  <c r="Q945" i="1"/>
  <c r="M945" i="1"/>
  <c r="N945" i="1"/>
  <c r="N249" i="1"/>
  <c r="O249" i="1" s="1"/>
  <c r="Q249" i="1"/>
  <c r="Q823" i="1"/>
  <c r="M823" i="1"/>
  <c r="N823" i="1"/>
  <c r="O823" i="1" s="1"/>
  <c r="P667" i="1"/>
  <c r="N667" i="1"/>
  <c r="O667" i="1" s="1"/>
  <c r="I722" i="1"/>
  <c r="Q722" i="1"/>
  <c r="I668" i="1"/>
  <c r="Q668" i="1"/>
  <c r="N771" i="1"/>
  <c r="O771" i="1" s="1"/>
  <c r="Q771" i="1"/>
  <c r="Q459" i="1"/>
  <c r="N459" i="1"/>
  <c r="O459" i="1" s="1"/>
  <c r="N721" i="1"/>
  <c r="O721" i="1" s="1"/>
  <c r="P721" i="1"/>
  <c r="O945" i="1" l="1"/>
  <c r="Q250" i="1"/>
  <c r="N250" i="1"/>
  <c r="O250" i="1" s="1"/>
  <c r="Q946" i="1"/>
  <c r="N946" i="1"/>
  <c r="M946" i="1"/>
  <c r="P668" i="1"/>
  <c r="N668" i="1"/>
  <c r="O668" i="1" s="1"/>
  <c r="Q460" i="1"/>
  <c r="N460" i="1"/>
  <c r="O460" i="1" s="1"/>
  <c r="Q772" i="1"/>
  <c r="N772" i="1"/>
  <c r="O772" i="1" s="1"/>
  <c r="Q723" i="1"/>
  <c r="I723" i="1"/>
  <c r="N722" i="1"/>
  <c r="O722" i="1" s="1"/>
  <c r="P722" i="1"/>
  <c r="Q669" i="1"/>
  <c r="I669" i="1"/>
  <c r="M824" i="1"/>
  <c r="Q824" i="1"/>
  <c r="N824" i="1"/>
  <c r="O946" i="1" l="1"/>
  <c r="O824" i="1"/>
  <c r="N947" i="1"/>
  <c r="Q947" i="1"/>
  <c r="M947" i="1"/>
  <c r="N251" i="1"/>
  <c r="O251" i="1" s="1"/>
  <c r="Q251" i="1"/>
  <c r="Q825" i="1"/>
  <c r="M825" i="1"/>
  <c r="N825" i="1"/>
  <c r="Q773" i="1"/>
  <c r="N773" i="1"/>
  <c r="O773" i="1" s="1"/>
  <c r="N669" i="1"/>
  <c r="O669" i="1" s="1"/>
  <c r="P669" i="1"/>
  <c r="Q670" i="1"/>
  <c r="I670" i="1"/>
  <c r="I724" i="1"/>
  <c r="Q724" i="1"/>
  <c r="N725" i="1" s="1"/>
  <c r="Q461" i="1"/>
  <c r="N461" i="1"/>
  <c r="O461" i="1" s="1"/>
  <c r="N723" i="1"/>
  <c r="O723" i="1" s="1"/>
  <c r="P723" i="1"/>
  <c r="O825" i="1" l="1"/>
  <c r="N948" i="1"/>
  <c r="Q948" i="1"/>
  <c r="M948" i="1"/>
  <c r="Q252" i="1"/>
  <c r="N252" i="1"/>
  <c r="O252" i="1" s="1"/>
  <c r="O947" i="1"/>
  <c r="I671" i="1"/>
  <c r="Q671" i="1"/>
  <c r="M826" i="1"/>
  <c r="Q826" i="1"/>
  <c r="N826" i="1"/>
  <c r="O826" i="1" s="1"/>
  <c r="N774" i="1"/>
  <c r="O774" i="1" s="1"/>
  <c r="Q774" i="1"/>
  <c r="P670" i="1"/>
  <c r="N670" i="1"/>
  <c r="O670" i="1" s="1"/>
  <c r="N462" i="1"/>
  <c r="O462" i="1" s="1"/>
  <c r="Q462" i="1"/>
  <c r="N724" i="1"/>
  <c r="O724" i="1" s="1"/>
  <c r="P724" i="1"/>
  <c r="Q253" i="1" l="1"/>
  <c r="N253" i="1"/>
  <c r="O253" i="1" s="1"/>
  <c r="O948" i="1"/>
  <c r="Q775" i="1"/>
  <c r="N775" i="1"/>
  <c r="O775" i="1" s="1"/>
  <c r="Q827" i="1"/>
  <c r="M827" i="1"/>
  <c r="N827" i="1"/>
  <c r="O827" i="1" s="1"/>
  <c r="P671" i="1"/>
  <c r="N671" i="1"/>
  <c r="O671" i="1" s="1"/>
  <c r="N463" i="1"/>
  <c r="O463" i="1" s="1"/>
  <c r="Q463" i="1"/>
  <c r="Q672" i="1"/>
  <c r="I672" i="1"/>
  <c r="N254" i="1" l="1"/>
  <c r="O254" i="1" s="1"/>
  <c r="Q254" i="1"/>
  <c r="P672" i="1"/>
  <c r="N672" i="1"/>
  <c r="O672" i="1" s="1"/>
  <c r="M828" i="1"/>
  <c r="Q828" i="1"/>
  <c r="N828" i="1"/>
  <c r="O828" i="1" s="1"/>
  <c r="Q673" i="1"/>
  <c r="I673" i="1"/>
  <c r="N464" i="1"/>
  <c r="O464" i="1" s="1"/>
  <c r="Q464" i="1"/>
  <c r="N776" i="1"/>
  <c r="O776" i="1" s="1"/>
  <c r="Q776" i="1"/>
  <c r="N255" i="1" l="1"/>
  <c r="O255" i="1" s="1"/>
  <c r="Q255" i="1"/>
  <c r="P673" i="1"/>
  <c r="N673" i="1"/>
  <c r="O673" i="1" s="1"/>
  <c r="Q829" i="1"/>
  <c r="M829" i="1"/>
  <c r="N829" i="1"/>
  <c r="O829" i="1" s="1"/>
  <c r="Q674" i="1"/>
  <c r="I674" i="1"/>
  <c r="Q465" i="1"/>
  <c r="N465" i="1"/>
  <c r="O465" i="1" s="1"/>
  <c r="Q777" i="1"/>
  <c r="N778" i="1" s="1"/>
  <c r="N777" i="1"/>
  <c r="O777" i="1" s="1"/>
  <c r="Q256" i="1" l="1"/>
  <c r="N256" i="1"/>
  <c r="O256" i="1" s="1"/>
  <c r="Q675" i="1"/>
  <c r="I675" i="1"/>
  <c r="N674" i="1"/>
  <c r="O674" i="1" s="1"/>
  <c r="P674" i="1"/>
  <c r="Q466" i="1"/>
  <c r="N466" i="1"/>
  <c r="O466" i="1" s="1"/>
  <c r="M830" i="1"/>
  <c r="Q830" i="1"/>
  <c r="N830" i="1"/>
  <c r="N257" i="1" l="1"/>
  <c r="O257" i="1" s="1"/>
  <c r="Q257" i="1"/>
  <c r="Q467" i="1"/>
  <c r="N467" i="1"/>
  <c r="O467" i="1" s="1"/>
  <c r="O830" i="1"/>
  <c r="Q831" i="1"/>
  <c r="M831" i="1"/>
  <c r="N831" i="1"/>
  <c r="O831" i="1" s="1"/>
  <c r="P675" i="1"/>
  <c r="N675" i="1"/>
  <c r="O675" i="1" s="1"/>
  <c r="N258" i="1" l="1"/>
  <c r="O258" i="1" s="1"/>
  <c r="Q258" i="1"/>
  <c r="M832" i="1"/>
  <c r="Q832" i="1"/>
  <c r="N832" i="1"/>
  <c r="Q468" i="1"/>
  <c r="N468" i="1"/>
  <c r="O468" i="1" s="1"/>
  <c r="O832" i="1" l="1"/>
  <c r="Q259" i="1"/>
  <c r="N259" i="1"/>
  <c r="O259" i="1" s="1"/>
  <c r="Q469" i="1"/>
  <c r="N469" i="1"/>
  <c r="O469" i="1" s="1"/>
  <c r="Q833" i="1"/>
  <c r="M833" i="1"/>
  <c r="N833" i="1"/>
  <c r="O833" i="1" s="1"/>
  <c r="Q260" i="1" l="1"/>
  <c r="N260" i="1"/>
  <c r="O260" i="1" s="1"/>
  <c r="N470" i="1"/>
  <c r="O470" i="1" s="1"/>
  <c r="Q470" i="1"/>
  <c r="M834" i="1"/>
  <c r="Q834" i="1"/>
  <c r="N834" i="1"/>
  <c r="O834" i="1" l="1"/>
  <c r="N261" i="1"/>
  <c r="O261" i="1" s="1"/>
  <c r="Q261" i="1"/>
  <c r="Q835" i="1"/>
  <c r="M835" i="1"/>
  <c r="N835" i="1"/>
  <c r="O835" i="1" s="1"/>
  <c r="N471" i="1"/>
  <c r="O471" i="1" s="1"/>
  <c r="Q471" i="1"/>
  <c r="Q262" i="1" l="1"/>
  <c r="N262" i="1"/>
  <c r="O262" i="1" s="1"/>
  <c r="N472" i="1"/>
  <c r="O472" i="1" s="1"/>
  <c r="Q472" i="1"/>
  <c r="M836" i="1"/>
  <c r="Q836" i="1"/>
  <c r="N836" i="1"/>
  <c r="O836" i="1" s="1"/>
  <c r="N263" i="1" l="1"/>
  <c r="O263" i="1" s="1"/>
  <c r="Q263" i="1"/>
  <c r="Q837" i="1"/>
  <c r="N838" i="1" s="1"/>
  <c r="M837" i="1"/>
  <c r="N837" i="1"/>
  <c r="Q473" i="1"/>
  <c r="N473" i="1"/>
  <c r="O473" i="1" s="1"/>
  <c r="N264" i="1" l="1"/>
  <c r="O264" i="1" s="1"/>
  <c r="Q264" i="1"/>
  <c r="Q474" i="1"/>
  <c r="N474" i="1"/>
  <c r="O474" i="1" s="1"/>
  <c r="O837" i="1"/>
  <c r="Q475" i="1" l="1"/>
  <c r="N475" i="1"/>
  <c r="O475" i="1" s="1"/>
  <c r="Q476" i="1" l="1"/>
  <c r="N476" i="1"/>
  <c r="O476" i="1" s="1"/>
  <c r="Q477" i="1" l="1"/>
  <c r="N477" i="1"/>
  <c r="O477" i="1" s="1"/>
  <c r="N478" i="1" l="1"/>
  <c r="O478" i="1" s="1"/>
  <c r="Q478" i="1"/>
  <c r="N479" i="1" l="1"/>
  <c r="O479" i="1" s="1"/>
  <c r="Q479" i="1"/>
  <c r="N480" i="1" l="1"/>
  <c r="O480" i="1" s="1"/>
  <c r="Q480" i="1"/>
  <c r="Q481" i="1" l="1"/>
  <c r="N481" i="1"/>
  <c r="O481" i="1" s="1"/>
  <c r="Q482" i="1" l="1"/>
  <c r="N482" i="1"/>
  <c r="O482" i="1" s="1"/>
  <c r="Q483" i="1" l="1"/>
  <c r="N483" i="1"/>
  <c r="O483" i="1" s="1"/>
  <c r="Q484" i="1" l="1"/>
  <c r="N484" i="1"/>
  <c r="O484" i="1" s="1"/>
  <c r="Q485" i="1" l="1"/>
  <c r="N485" i="1"/>
  <c r="O485" i="1" s="1"/>
  <c r="N486" i="1" l="1"/>
  <c r="O486" i="1" s="1"/>
  <c r="Q486" i="1"/>
  <c r="N487" i="1" l="1"/>
  <c r="O487" i="1" s="1"/>
  <c r="Q487" i="1"/>
  <c r="N488" i="1" l="1"/>
  <c r="O488" i="1" s="1"/>
  <c r="Q488" i="1"/>
  <c r="Q489" i="1" l="1"/>
  <c r="N489" i="1"/>
  <c r="O489" i="1" s="1"/>
  <c r="Q490" i="1" l="1"/>
  <c r="N490" i="1"/>
  <c r="O490" i="1" s="1"/>
  <c r="Q491" i="1" l="1"/>
  <c r="N491" i="1"/>
  <c r="O491" i="1" s="1"/>
  <c r="Q492" i="1" l="1"/>
  <c r="N492" i="1"/>
  <c r="O492" i="1" s="1"/>
  <c r="Q493" i="1" l="1"/>
  <c r="N493" i="1"/>
  <c r="O493" i="1" s="1"/>
  <c r="N494" i="1" l="1"/>
  <c r="O494" i="1" s="1"/>
  <c r="Q494" i="1"/>
  <c r="N495" i="1" l="1"/>
  <c r="O495" i="1" s="1"/>
  <c r="Q495" i="1"/>
  <c r="N496" i="1" l="1"/>
  <c r="O496" i="1" s="1"/>
  <c r="Q496" i="1"/>
  <c r="Q497" i="1" l="1"/>
  <c r="N497" i="1"/>
  <c r="O497" i="1" s="1"/>
  <c r="Q498" i="1" l="1"/>
  <c r="N498" i="1"/>
  <c r="O498" i="1" s="1"/>
  <c r="Q499" i="1" l="1"/>
  <c r="N499" i="1"/>
  <c r="O499" i="1" s="1"/>
  <c r="Q500" i="1" l="1"/>
  <c r="N500" i="1"/>
  <c r="O500" i="1" s="1"/>
  <c r="Q501" i="1" l="1"/>
  <c r="N501" i="1"/>
  <c r="O501" i="1" s="1"/>
  <c r="N502" i="1" l="1"/>
  <c r="O502" i="1" s="1"/>
  <c r="Q502" i="1"/>
  <c r="N503" i="1" l="1"/>
  <c r="O503" i="1" s="1"/>
  <c r="Q503" i="1"/>
  <c r="N504" i="1" l="1"/>
  <c r="O504" i="1" s="1"/>
  <c r="Q504" i="1"/>
  <c r="Q505" i="1" l="1"/>
  <c r="N505" i="1"/>
  <c r="O505" i="1" s="1"/>
  <c r="Q506" i="1" l="1"/>
  <c r="N506" i="1"/>
  <c r="O506" i="1" s="1"/>
  <c r="Q507" i="1" l="1"/>
  <c r="N507" i="1"/>
  <c r="O507" i="1" s="1"/>
  <c r="Q508" i="1" l="1"/>
  <c r="N508" i="1"/>
  <c r="O508" i="1" s="1"/>
  <c r="Q509" i="1" l="1"/>
  <c r="N509" i="1"/>
  <c r="O509" i="1" s="1"/>
  <c r="N510" i="1" l="1"/>
  <c r="O510" i="1" s="1"/>
  <c r="Q510" i="1"/>
  <c r="N511" i="1" l="1"/>
  <c r="O511" i="1" s="1"/>
  <c r="Q511" i="1"/>
  <c r="N512" i="1" l="1"/>
  <c r="O512" i="1" s="1"/>
  <c r="Q512" i="1"/>
  <c r="Q513" i="1" l="1"/>
  <c r="N513" i="1"/>
  <c r="O513" i="1" s="1"/>
  <c r="Q514" i="1" l="1"/>
  <c r="N514" i="1"/>
  <c r="O514" i="1" s="1"/>
  <c r="Q515" i="1" l="1"/>
  <c r="N515" i="1"/>
  <c r="O515" i="1" s="1"/>
  <c r="Q516" i="1" l="1"/>
  <c r="N516" i="1"/>
  <c r="O516" i="1" s="1"/>
  <c r="Q517" i="1" l="1"/>
  <c r="N517" i="1"/>
  <c r="O517" i="1" s="1"/>
  <c r="N518" i="1" l="1"/>
  <c r="O518" i="1" s="1"/>
  <c r="Q518" i="1"/>
  <c r="N519" i="1" l="1"/>
  <c r="O519" i="1" s="1"/>
  <c r="Q519" i="1"/>
  <c r="N520" i="1" l="1"/>
  <c r="O520" i="1" s="1"/>
  <c r="Q520" i="1"/>
  <c r="Q521" i="1" l="1"/>
  <c r="N521" i="1"/>
  <c r="O521" i="1" s="1"/>
  <c r="M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Javier Enrique Pardo Nieves</author>
  </authors>
  <commentList>
    <comment ref="C17" authorId="0" shapeId="0" xr:uid="{AAEB33BA-D6FE-47D7-8FF6-A0C2F4624EEC}">
      <text>
        <r>
          <rPr>
            <sz val="9"/>
            <color rgb="FF000000"/>
            <rFont val="Tahoma"/>
            <family val="2"/>
          </rPr>
          <t xml:space="preserve">Extractos hasta Marzo
</t>
        </r>
        <r>
          <rPr>
            <sz val="9"/>
            <color rgb="FF000000"/>
            <rFont val="Tahoma"/>
            <family val="2"/>
          </rPr>
          <t xml:space="preserve">
</t>
        </r>
      </text>
    </comment>
    <comment ref="C21" authorId="0" shapeId="0" xr:uid="{E006A69B-9880-4040-BDF1-4D91445AA6DB}">
      <text>
        <r>
          <rPr>
            <sz val="9"/>
            <color rgb="FF000000"/>
            <rFont val="Tahoma"/>
            <family val="2"/>
          </rPr>
          <t xml:space="preserve">Extractos hasta Marzo
</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tc={861D8519-2D8B-4EDC-8194-50BDB154BF36}</author>
    <author>Usuario</author>
  </authors>
  <commentList>
    <comment ref="E1" authorId="0" shapeId="0" xr:uid="{861D8519-2D8B-4EDC-8194-50BDB154BF36}">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fecha, posiblemente se determinó sumando 60 días al primer mes de pago, asi llega a un maximo de 30 días vencido</t>
      </text>
    </comment>
    <comment ref="H1" authorId="1" shapeId="0" xr:uid="{F2756C1E-EEDB-418F-A126-8E0C8E7A7F9C}">
      <text>
        <r>
          <rPr>
            <b/>
            <sz val="9"/>
            <color indexed="81"/>
            <rFont val="Tahoma"/>
            <charset val="1"/>
          </rPr>
          <t>Usuario:</t>
        </r>
        <r>
          <rPr>
            <sz val="9"/>
            <color indexed="81"/>
            <rFont val="Tahoma"/>
            <charset val="1"/>
          </rPr>
          <t xml:space="preserve">
En un esquema de amortización lineal o amortización simple, el préstamo se paga con cuotas de capital fijas más intereses. Aquí, el saldo inicial se divide entre el número total de períodos para obtener la cuota de capital fija en cada período</t>
        </r>
      </text>
    </comment>
    <comment ref="M1" authorId="1" shapeId="0" xr:uid="{5420B611-3BA6-4171-A4AD-9DB3B589CC80}">
      <text>
        <r>
          <rPr>
            <b/>
            <sz val="9"/>
            <color indexed="81"/>
            <rFont val="Tahoma"/>
            <charset val="1"/>
          </rPr>
          <t>Usuario:</t>
        </r>
        <r>
          <rPr>
            <sz val="9"/>
            <color indexed="81"/>
            <rFont val="Tahoma"/>
            <charset val="1"/>
          </rPr>
          <t xml:space="preserve">
PREGFUNTAR COMO PUEDO CORROBORAR LOS INTERESES PACTADOS.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<sst xmlns="http://schemas.openxmlformats.org/spreadsheetml/2006/main" count="3204" uniqueCount="62">
  <si>
    <t>TERCERO</t>
  </si>
  <si>
    <t>EMPRESA</t>
  </si>
  <si>
    <t>N° PRODUCTO</t>
  </si>
  <si>
    <t>FECHA MAX PARA PAGAR</t>
  </si>
  <si>
    <t>CUOTA IN</t>
  </si>
  <si>
    <t>CUOTA FIN</t>
  </si>
  <si>
    <t>CUOTA CAPITAL</t>
  </si>
  <si>
    <t>INTERES</t>
  </si>
  <si>
    <t>SEGURO</t>
  </si>
  <si>
    <t>OTROS GASTOS</t>
  </si>
  <si>
    <t>MORA</t>
  </si>
  <si>
    <t>INTERES PACTADO</t>
  </si>
  <si>
    <t>INTERES MENSUAL</t>
  </si>
  <si>
    <t>INCREMENTO INTERES</t>
  </si>
  <si>
    <t>TOTAL A PAGAR</t>
  </si>
  <si>
    <t>SALDO CAPITAL</t>
  </si>
  <si>
    <t>DIAS VENCIDO</t>
  </si>
  <si>
    <t>VALOR PAGADO</t>
  </si>
  <si>
    <t>FECHA DE PAGO</t>
  </si>
  <si>
    <t>ESTADO</t>
  </si>
  <si>
    <t>BANCOLOMBIA</t>
  </si>
  <si>
    <t>LAMAR OPTICAL S.A.S</t>
  </si>
  <si>
    <t>8140099320</t>
  </si>
  <si>
    <t>8140099327</t>
  </si>
  <si>
    <t>SERFINANZAS</t>
  </si>
  <si>
    <t>INVERSIONES RUEDA S.A.S</t>
  </si>
  <si>
    <t>111000149580</t>
  </si>
  <si>
    <t>OK</t>
  </si>
  <si>
    <t>111000176362</t>
  </si>
  <si>
    <t>111000176344</t>
  </si>
  <si>
    <t>111000194235</t>
  </si>
  <si>
    <t>111000194208</t>
  </si>
  <si>
    <t>BANCO DE OCCIDENTE</t>
  </si>
  <si>
    <t>180153332</t>
  </si>
  <si>
    <t>BANCOLDEX</t>
  </si>
  <si>
    <t>5000100411250008</t>
  </si>
  <si>
    <t>BANCO DE BOGOTÁ</t>
  </si>
  <si>
    <t>00656006174</t>
  </si>
  <si>
    <t>111000149294</t>
  </si>
  <si>
    <t>DAVIVIENDA</t>
  </si>
  <si>
    <t>GLADYS JEANNETH CORREA RUEDA</t>
  </si>
  <si>
    <t>5904046002318540</t>
  </si>
  <si>
    <t>111000206819</t>
  </si>
  <si>
    <t>111000206579</t>
  </si>
  <si>
    <t>111000206274</t>
  </si>
  <si>
    <t>111000206283</t>
  </si>
  <si>
    <t>121000638199</t>
  </si>
  <si>
    <t>5420603691529285</t>
  </si>
  <si>
    <t>8140098501</t>
  </si>
  <si>
    <t>8140098503</t>
  </si>
  <si>
    <t>8140098556</t>
  </si>
  <si>
    <t>8140098557</t>
  </si>
  <si>
    <t>8140098558</t>
  </si>
  <si>
    <t>7104046002628157</t>
  </si>
  <si>
    <t>7104046002627555</t>
  </si>
  <si>
    <t>8140098987</t>
  </si>
  <si>
    <t>SALDO CAPITAL ANTERIOR</t>
  </si>
  <si>
    <t>8140097009</t>
  </si>
  <si>
    <t>8140099622</t>
  </si>
  <si>
    <t>TOTAL</t>
  </si>
  <si>
    <t>PEND X PAGAR</t>
  </si>
  <si>
    <t>formulas de busqueda y extracción con concatenación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</si>
</sst>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0.00_);_(&quot;$&quot;* \(#,##0.00\);_(&quot;$&quot;* &quot;-&quot;??_);_(@_)"/>
    <numFmt numFmtId="165" formatCode="&quot;$&quot;\ #,##0.00"/>
  </numFmts>
  <fonts count="9" x14ac:knownFonts="1">
    <font>
      <sz val="11"/>
      <color theme="1"/>
      <name val="Calibri"/>
      <family val="2"/>
      <scheme val="minor"/>
    </font>
    <font>
      <sz val="11"/>
      <color theme="1"/>
      <name val="Calibri"/>
      <family val="2"/>
      <scheme val="minor"/>
    </font>
    <font>
      <b/>
      <sz val="11"/>
      <color theme="1"/>
      <name val="Calibri Light"/>
      <family val="2"/>
      <scheme val="major"/>
    </font>
    <font>
      <sz val="11"/>
      <color theme="1"/>
      <name val="Calibri Light"/>
      <family val="2"/>
      <scheme val="major"/>
    </font>
    <font>
      <sz val="9"/>
      <color indexed="81"/>
      <name val="Tahoma"/>
      <charset val="1"/>
    </font>
    <font>
      <b/>
      <sz val="9"/>
      <color indexed="81"/>
      <name val="Tahoma"/>
      <charset val="1"/>
    </font>
    <font>
      <b/>
      <sz val="11"/>
      <color theme="0"/>
      <name val="Calibri Light"/>
      <family val="2"/>
      <scheme val="major"/>
    </font>
    <font>
      <b/>
      <sz val="18"/>
      <color theme="0"/>
      <name val="Calibri Light"/>
      <family val="2"/>
      <scheme val="major"/>
    </font>
    <font>
      <sz val="9"/>
      <color rgb="FF000000"/>
      <name val="Tahoma"/>
      <family val="2"/>
    </font>
  </fonts>
  <fills count="9">
    <fill>
      <patternFill patternType="none"/>
    </fill>
    <fill>
      <patternFill patternType="gray125"/>
    </fill>
    <fill>
      <patternFill patternType="solid">
        <fgColor theme="8"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7979"/>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3" fillId="0" borderId="0" xfId="0" applyFont="1"/>
    <xf numFmtId="49" fontId="3" fillId="0" borderId="0" xfId="0" applyNumberFormat="1" applyFont="1"/>
    <xf numFmtId="14" fontId="3" fillId="0" borderId="0" xfId="0" applyNumberFormat="1" applyFont="1"/>
    <xf numFmtId="0" fontId="3" fillId="0" borderId="1" xfId="0" applyFont="1" applyBorder="1"/>
    <xf numFmtId="14" fontId="3" fillId="0" borderId="1" xfId="0" applyNumberFormat="1" applyFont="1" applyBorder="1"/>
    <xf numFmtId="164" fontId="3" fillId="0" borderId="1" xfId="0" applyNumberFormat="1" applyFont="1" applyBorder="1"/>
    <xf numFmtId="10" fontId="3" fillId="0" borderId="1" xfId="1" applyNumberFormat="1" applyFont="1" applyBorder="1"/>
    <xf numFmtId="0" fontId="2" fillId="2" borderId="1" xfId="0" applyFont="1" applyFill="1" applyBorder="1" applyAlignment="1">
      <alignment wrapText="1"/>
    </xf>
    <xf numFmtId="0" fontId="3" fillId="0" borderId="0" xfId="0" applyFont="1" applyAlignment="1">
      <alignment horizontal="center" vertical="center" wrapText="1"/>
    </xf>
    <xf numFmtId="0" fontId="3" fillId="0" borderId="0" xfId="0" applyFont="1" applyAlignment="1">
      <alignment horizontal="left"/>
    </xf>
    <xf numFmtId="44" fontId="3" fillId="0" borderId="0" xfId="0" applyNumberFormat="1" applyFont="1"/>
    <xf numFmtId="0" fontId="3" fillId="0" borderId="0" xfId="0" applyFont="1" applyAlignment="1">
      <alignment horizontal="center" vertical="center"/>
    </xf>
    <xf numFmtId="49" fontId="3" fillId="0" borderId="0" xfId="0" applyNumberFormat="1" applyFont="1" applyAlignment="1">
      <alignment horizontal="left"/>
    </xf>
    <xf numFmtId="165" fontId="3" fillId="0" borderId="0" xfId="0" applyNumberFormat="1" applyFont="1"/>
    <xf numFmtId="44" fontId="3" fillId="0" borderId="0" xfId="0" applyNumberFormat="1" applyFont="1" applyAlignment="1">
      <alignment horizontal="center" vertical="center"/>
    </xf>
    <xf numFmtId="0" fontId="6" fillId="3" borderId="0" xfId="0" applyFont="1" applyFill="1" applyAlignment="1" applyProtection="1">
      <alignment horizontal="center" vertical="center" wrapText="1"/>
      <protection locked="0"/>
    </xf>
    <xf numFmtId="14" fontId="6" fillId="3" borderId="0" xfId="0" applyNumberFormat="1" applyFont="1" applyFill="1" applyAlignment="1" applyProtection="1">
      <alignment horizontal="center" vertical="center" wrapText="1"/>
      <protection locked="0"/>
    </xf>
    <xf numFmtId="44" fontId="6" fillId="3" borderId="0" xfId="0" applyNumberFormat="1" applyFont="1" applyFill="1" applyAlignment="1" applyProtection="1">
      <alignment horizontal="center" vertical="center" wrapText="1"/>
      <protection locked="0"/>
    </xf>
    <xf numFmtId="0" fontId="7" fillId="4" borderId="2" xfId="0" applyFont="1" applyFill="1" applyBorder="1" applyAlignment="1">
      <alignment horizontal="center" vertical="center"/>
    </xf>
    <xf numFmtId="1" fontId="2" fillId="5" borderId="2" xfId="0" applyNumberFormat="1" applyFont="1" applyFill="1" applyBorder="1" applyAlignment="1">
      <alignment horizontal="center" vertical="center"/>
    </xf>
    <xf numFmtId="164" fontId="2" fillId="5" borderId="2" xfId="0" applyNumberFormat="1" applyFont="1" applyFill="1" applyBorder="1" applyAlignment="1">
      <alignment horizontal="center" vertical="center"/>
    </xf>
    <xf numFmtId="14" fontId="2" fillId="5" borderId="2" xfId="0" applyNumberFormat="1" applyFont="1" applyFill="1" applyBorder="1" applyAlignment="1">
      <alignment horizontal="center" vertical="center"/>
    </xf>
    <xf numFmtId="0" fontId="2" fillId="5" borderId="2" xfId="0" applyFont="1" applyFill="1" applyBorder="1"/>
    <xf numFmtId="164" fontId="2" fillId="7" borderId="5"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14" fontId="3" fillId="8" borderId="1" xfId="0" applyNumberFormat="1" applyFont="1" applyFill="1" applyBorder="1"/>
    <xf numFmtId="49" fontId="3" fillId="0" borderId="6" xfId="0" applyNumberFormat="1" applyFont="1" applyBorder="1"/>
    <xf numFmtId="0" fontId="3" fillId="0" borderId="7" xfId="0" applyFont="1" applyBorder="1"/>
    <xf numFmtId="49" fontId="2" fillId="2" borderId="8" xfId="0" applyNumberFormat="1" applyFont="1" applyFill="1" applyBorder="1" applyAlignment="1">
      <alignment wrapText="1"/>
    </xf>
    <xf numFmtId="14" fontId="2" fillId="2" borderId="9" xfId="0" applyNumberFormat="1" applyFont="1" applyFill="1" applyBorder="1" applyAlignment="1">
      <alignment wrapText="1"/>
    </xf>
    <xf numFmtId="0" fontId="2" fillId="2" borderId="9" xfId="0" applyFont="1" applyFill="1" applyBorder="1" applyAlignment="1">
      <alignment wrapText="1"/>
    </xf>
    <xf numFmtId="164" fontId="2" fillId="2" borderId="9" xfId="0" applyNumberFormat="1" applyFont="1" applyFill="1" applyBorder="1" applyAlignment="1">
      <alignment wrapText="1"/>
    </xf>
    <xf numFmtId="10" fontId="2" fillId="2" borderId="9" xfId="1" applyNumberFormat="1" applyFont="1" applyFill="1" applyBorder="1" applyAlignment="1">
      <alignment wrapText="1"/>
    </xf>
    <xf numFmtId="0" fontId="2" fillId="2" borderId="10" xfId="0" applyFont="1" applyFill="1" applyBorder="1" applyAlignment="1">
      <alignment wrapText="1"/>
    </xf>
    <xf numFmtId="49" fontId="3" fillId="0" borderId="11" xfId="0" applyNumberFormat="1" applyFont="1" applyBorder="1"/>
    <xf numFmtId="14" fontId="3" fillId="8" borderId="12" xfId="0" applyNumberFormat="1" applyFont="1" applyFill="1" applyBorder="1"/>
    <xf numFmtId="0" fontId="3" fillId="0" borderId="12" xfId="0" applyFont="1" applyBorder="1"/>
    <xf numFmtId="164" fontId="3" fillId="0" borderId="12" xfId="0" applyNumberFormat="1" applyFont="1" applyBorder="1"/>
    <xf numFmtId="10" fontId="3" fillId="0" borderId="12" xfId="1" applyNumberFormat="1" applyFont="1" applyBorder="1"/>
    <xf numFmtId="14" fontId="3" fillId="0" borderId="12" xfId="0" applyNumberFormat="1" applyFont="1" applyBorder="1"/>
    <xf numFmtId="0" fontId="3" fillId="0" borderId="13" xfId="0" applyFont="1" applyBorder="1"/>
    <xf numFmtId="0" fontId="3" fillId="0" borderId="0" xfId="0" applyFont="1" applyAlignment="1">
      <alignment horizontal="center"/>
    </xf>
  </cellXfs>
  <cellStyles count="2">
    <cellStyle name="Normal" xfId="0" builtinId="0"/>
    <cellStyle name="Porcentaje" xfId="1" builtinId="5"/>
  </cellStyles>
  <dxfs count="33">
    <dxf>
      <font>
        <b/>
        <i val="0"/>
      </font>
      <fill>
        <patternFill>
          <bgColor rgb="FF00B050"/>
        </patternFill>
      </fill>
    </dxf>
    <dxf>
      <font>
        <b/>
        <i val="0"/>
      </font>
      <fill>
        <patternFill>
          <bgColor rgb="FFFFFF00"/>
        </patternFill>
      </fill>
    </dxf>
    <dxf>
      <font>
        <b/>
        <i val="0"/>
        <color theme="0"/>
      </font>
      <fill>
        <patternFill>
          <bgColor rgb="FFFF0000"/>
        </patternFill>
      </fill>
    </dxf>
    <dxf>
      <font>
        <b/>
        <i val="0"/>
        <color theme="0"/>
      </font>
      <fill>
        <patternFill>
          <bgColor rgb="FF0070C0"/>
        </patternFill>
      </fill>
    </dxf>
    <dxf>
      <font>
        <color rgb="FFFF0000"/>
      </font>
    </dxf>
    <dxf>
      <font>
        <b/>
        <i val="0"/>
      </font>
      <fill>
        <patternFill>
          <bgColor theme="9" tint="0.39994506668294322"/>
        </patternFill>
      </fill>
    </dxf>
    <dxf>
      <font>
        <b/>
        <i val="0"/>
      </font>
      <fill>
        <patternFill>
          <bgColor rgb="FFFFFF00"/>
        </patternFill>
      </fill>
    </dxf>
    <dxf>
      <font>
        <b/>
        <i val="0"/>
        <color theme="0"/>
      </font>
      <fill>
        <patternFill>
          <bgColor rgb="FFCC0000"/>
        </patternFill>
      </fill>
    </dxf>
    <dxf>
      <font>
        <b/>
        <i val="0"/>
        <color theme="0"/>
      </font>
      <fill>
        <patternFill>
          <bgColor theme="4" tint="0.39994506668294322"/>
        </patternFill>
      </fill>
    </dxf>
    <dxf>
      <font>
        <color rgb="FFFF0000"/>
      </font>
    </dxf>
    <dxf>
      <font>
        <b val="0"/>
        <i val="0"/>
        <strike val="0"/>
        <condense val="0"/>
        <extend val="0"/>
        <outline val="0"/>
        <shadow val="0"/>
        <u val="none"/>
        <vertAlign val="baseline"/>
        <sz val="11"/>
        <color theme="1"/>
        <name val="Calibri Light"/>
        <family val="2"/>
        <scheme val="major"/>
      </font>
    </dxf>
    <dxf>
      <font>
        <b val="0"/>
        <i val="0"/>
        <strike val="0"/>
        <condense val="0"/>
        <extend val="0"/>
        <outline val="0"/>
        <shadow val="0"/>
        <u val="none"/>
        <vertAlign val="baseline"/>
        <sz val="11"/>
        <color theme="1"/>
        <name val="Calibri Light"/>
        <family val="2"/>
        <scheme val="maj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9" formatCode="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64" formatCode="_(&quot;$&quot;* #,##0.00_);_(&quot;$&quot;* \(#,##0.00\);_(&quot;$&quot;*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19" formatCode="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Light"/>
        <family val="2"/>
        <scheme val="major"/>
      </font>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FF0000"/>
      </font>
    </dxf>
  </dxfs>
  <tableStyles count="0" defaultTableStyle="TableStyleMedium2" defaultPivotStyle="PivotStyleLight16"/>
  <colors>
    <mruColors>
      <color rgb="FFCC0000"/>
      <color rgb="FFFF6600"/>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wnloads/CREDITOS%20CONTABILIDAD%20EDITAR%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RO"/>
      <sheetName val="ANALISIS"/>
      <sheetName val="DATA"/>
    </sheetNames>
    <sheetDataSet>
      <sheetData sheetId="0" refreshError="1">
        <row r="2">
          <cell r="C2" t="str">
            <v>00656006174</v>
          </cell>
        </row>
        <row r="27">
          <cell r="C27" t="str">
            <v>8140099622</v>
          </cell>
        </row>
      </sheetData>
      <sheetData sheetId="1" refreshError="1"/>
      <sheetData sheetId="2" refreshError="1">
        <row r="1">
          <cell r="A1" t="str">
            <v>TERCERO</v>
          </cell>
          <cell r="B1" t="str">
            <v>TERCERO</v>
          </cell>
          <cell r="C1" t="str">
            <v>EMPRESA</v>
          </cell>
          <cell r="D1" t="str">
            <v>N° PRODUCTO</v>
          </cell>
          <cell r="E1" t="str">
            <v>FECHA MAX PARA PAGAR</v>
          </cell>
          <cell r="F1" t="str">
            <v>CUOTA IN</v>
          </cell>
          <cell r="G1" t="str">
            <v>CUOTA FIN</v>
          </cell>
          <cell r="H1" t="str">
            <v>CUOTA CAPITAL</v>
          </cell>
          <cell r="I1" t="str">
            <v>INTERES</v>
          </cell>
          <cell r="J1" t="str">
            <v>SEGURO</v>
          </cell>
          <cell r="K1" t="str">
            <v>OTROS GASTOS</v>
          </cell>
          <cell r="L1" t="str">
            <v>MORA</v>
          </cell>
          <cell r="M1" t="str">
            <v>INTERES PACTADO</v>
          </cell>
          <cell r="N1" t="str">
            <v>INTERES MENSUAL</v>
          </cell>
          <cell r="O1" t="str">
            <v>INCREMENTO INTERES</v>
          </cell>
          <cell r="P1" t="str">
            <v>TOTAL A PAGAR</v>
          </cell>
          <cell r="Q1" t="str">
            <v>SALDO CAPITAL</v>
          </cell>
          <cell r="R1" t="str">
            <v>DIAS VENCIDO</v>
          </cell>
          <cell r="S1" t="str">
            <v>VALOR PAGADO</v>
          </cell>
          <cell r="T1" t="str">
            <v>FECHA DE PAGO</v>
          </cell>
          <cell r="U1" t="str">
            <v>ESTADO</v>
          </cell>
        </row>
        <row r="2">
          <cell r="A2" t="str">
            <v>20242</v>
          </cell>
          <cell r="B2" t="str">
            <v>BANCOLOMBIA</v>
          </cell>
          <cell r="C2" t="str">
            <v>LAMAR OPTICAL S.A.S</v>
          </cell>
          <cell r="D2" t="str">
            <v>8140099320</v>
          </cell>
          <cell r="E2">
            <v>45335</v>
          </cell>
          <cell r="F2">
            <v>0</v>
          </cell>
          <cell r="G2">
            <v>12</v>
          </cell>
          <cell r="H2">
            <v>0</v>
          </cell>
          <cell r="I2">
            <v>0</v>
          </cell>
          <cell r="J2">
            <v>0</v>
          </cell>
          <cell r="K2">
            <v>0</v>
          </cell>
          <cell r="L2">
            <v>0</v>
          </cell>
          <cell r="M2">
            <v>1.3599999999999999E-2</v>
          </cell>
          <cell r="N2">
            <v>0</v>
          </cell>
          <cell r="O2">
            <v>-1</v>
          </cell>
          <cell r="P2">
            <v>0</v>
          </cell>
          <cell r="Q2">
            <v>17722092</v>
          </cell>
          <cell r="R2" t="str">
            <v>OK</v>
          </cell>
          <cell r="S2">
            <v>0</v>
          </cell>
          <cell r="T2">
            <v>45335</v>
          </cell>
          <cell r="U2" t="str">
            <v>PAGADO</v>
          </cell>
        </row>
        <row r="3">
          <cell r="A3" t="str">
            <v>20243</v>
          </cell>
          <cell r="B3" t="str">
            <v>BANCOLOMBIA</v>
          </cell>
          <cell r="C3" t="str">
            <v>LAMAR OPTICAL S.A.S</v>
          </cell>
          <cell r="D3" t="str">
            <v>8140099320</v>
          </cell>
          <cell r="E3">
            <v>45364</v>
          </cell>
          <cell r="F3">
            <v>1</v>
          </cell>
          <cell r="G3">
            <v>11</v>
          </cell>
          <cell r="H3">
            <v>1476841</v>
          </cell>
          <cell r="I3">
            <v>240824</v>
          </cell>
          <cell r="J3">
            <v>0</v>
          </cell>
          <cell r="K3">
            <v>0</v>
          </cell>
          <cell r="L3">
            <v>0</v>
          </cell>
          <cell r="M3">
            <v>1.3599999999999999E-2</v>
          </cell>
          <cell r="N3">
            <v>1.4824270797662652E-2</v>
          </cell>
          <cell r="O3">
            <v>9.0019911592842172E-2</v>
          </cell>
          <cell r="P3">
            <v>1717665</v>
          </cell>
          <cell r="Q3">
            <v>16245251</v>
          </cell>
          <cell r="R3" t="str">
            <v>OK</v>
          </cell>
          <cell r="S3">
            <v>1717665</v>
          </cell>
          <cell r="T3">
            <v>45364</v>
          </cell>
          <cell r="U3" t="str">
            <v>PAGADO</v>
          </cell>
        </row>
        <row r="4">
          <cell r="A4" t="str">
            <v>20244</v>
          </cell>
          <cell r="B4" t="str">
            <v>BANCOLOMBIA</v>
          </cell>
          <cell r="C4" t="str">
            <v>LAMAR OPTICAL S.A.S</v>
          </cell>
          <cell r="D4" t="str">
            <v>8140099320</v>
          </cell>
          <cell r="E4">
            <v>45395</v>
          </cell>
          <cell r="F4">
            <v>2</v>
          </cell>
          <cell r="G4">
            <v>10</v>
          </cell>
          <cell r="H4">
            <v>1476841</v>
          </cell>
          <cell r="I4">
            <v>220935.4136</v>
          </cell>
          <cell r="J4">
            <v>0</v>
          </cell>
          <cell r="K4">
            <v>0</v>
          </cell>
          <cell r="L4">
            <v>0</v>
          </cell>
          <cell r="M4">
            <v>1.3599999999999999E-2</v>
          </cell>
          <cell r="N4">
            <v>1.4959999999999999E-2</v>
          </cell>
          <cell r="O4">
            <v>0.10000000000000009</v>
          </cell>
          <cell r="P4">
            <v>1697776.4136000001</v>
          </cell>
          <cell r="Q4">
            <v>14768410</v>
          </cell>
          <cell r="R4" t="str">
            <v>OK</v>
          </cell>
          <cell r="S4">
            <v>1709673</v>
          </cell>
          <cell r="T4">
            <v>45397</v>
          </cell>
          <cell r="U4" t="str">
            <v>PAGADO</v>
          </cell>
        </row>
        <row r="5">
          <cell r="A5" t="str">
            <v>20245</v>
          </cell>
          <cell r="B5" t="str">
            <v>BANCOLOMBIA</v>
          </cell>
          <cell r="C5" t="str">
            <v>LAMAR OPTICAL S.A.S</v>
          </cell>
          <cell r="D5" t="str">
            <v>8140099320</v>
          </cell>
          <cell r="E5">
            <v>45425</v>
          </cell>
          <cell r="F5">
            <v>3</v>
          </cell>
          <cell r="G5">
            <v>9</v>
          </cell>
          <cell r="H5">
            <v>1476841</v>
          </cell>
          <cell r="I5">
            <v>200850.37599999999</v>
          </cell>
          <cell r="J5">
            <v>0</v>
          </cell>
          <cell r="K5">
            <v>0</v>
          </cell>
          <cell r="L5">
            <v>0</v>
          </cell>
          <cell r="M5">
            <v>1.3599999999999999E-2</v>
          </cell>
          <cell r="N5">
            <v>1.3599999999999999E-2</v>
          </cell>
          <cell r="O5">
            <v>0</v>
          </cell>
          <cell r="P5">
            <v>1677691.3759999999</v>
          </cell>
          <cell r="Q5">
            <v>13291569</v>
          </cell>
          <cell r="R5" t="str">
            <v>OK</v>
          </cell>
          <cell r="S5">
            <v>1677470</v>
          </cell>
          <cell r="T5">
            <v>45426</v>
          </cell>
          <cell r="U5" t="str">
            <v>PAGADO</v>
          </cell>
        </row>
        <row r="6">
          <cell r="A6" t="str">
            <v>20246</v>
          </cell>
          <cell r="B6" t="str">
            <v>BANCOLOMBIA</v>
          </cell>
          <cell r="C6" t="str">
            <v>LAMAR OPTICAL S.A.S</v>
          </cell>
          <cell r="D6" t="str">
            <v>8140099320</v>
          </cell>
          <cell r="E6">
            <v>45456</v>
          </cell>
          <cell r="F6">
            <v>4</v>
          </cell>
          <cell r="G6">
            <v>8</v>
          </cell>
          <cell r="H6">
            <v>1476841</v>
          </cell>
          <cell r="I6">
            <v>180765.33839999998</v>
          </cell>
          <cell r="J6">
            <v>0</v>
          </cell>
          <cell r="K6">
            <v>0</v>
          </cell>
          <cell r="L6">
            <v>221.37599999993108</v>
          </cell>
          <cell r="M6">
            <v>1.3599999999999999E-2</v>
          </cell>
          <cell r="N6">
            <v>1.3599999999999999E-2</v>
          </cell>
          <cell r="O6">
            <v>0</v>
          </cell>
          <cell r="P6">
            <v>1657827.7143999999</v>
          </cell>
          <cell r="Q6">
            <v>11814728</v>
          </cell>
          <cell r="R6" t="str">
            <v>OK</v>
          </cell>
          <cell r="S6">
            <v>1659832</v>
          </cell>
          <cell r="T6">
            <v>45456</v>
          </cell>
          <cell r="U6" t="str">
            <v>PAGADO</v>
          </cell>
        </row>
        <row r="7">
          <cell r="A7" t="str">
            <v>20247</v>
          </cell>
          <cell r="B7" t="str">
            <v>BANCOLOMBIA</v>
          </cell>
          <cell r="C7" t="str">
            <v>LAMAR OPTICAL S.A.S</v>
          </cell>
          <cell r="D7" t="str">
            <v>8140099320</v>
          </cell>
          <cell r="E7">
            <v>45486</v>
          </cell>
          <cell r="F7">
            <v>5</v>
          </cell>
          <cell r="G7">
            <v>7</v>
          </cell>
          <cell r="H7">
            <v>1476841</v>
          </cell>
          <cell r="I7">
            <v>160680.3008</v>
          </cell>
          <cell r="J7">
            <v>0</v>
          </cell>
          <cell r="K7">
            <v>0</v>
          </cell>
          <cell r="L7">
            <v>0</v>
          </cell>
          <cell r="M7">
            <v>1.3599999999999999E-2</v>
          </cell>
          <cell r="N7">
            <v>1.3599999999999999E-2</v>
          </cell>
          <cell r="O7">
            <v>0</v>
          </cell>
          <cell r="P7">
            <v>1637521.3008000001</v>
          </cell>
          <cell r="Q7">
            <v>10337887</v>
          </cell>
          <cell r="R7" t="str">
            <v>OK</v>
          </cell>
          <cell r="S7">
            <v>1632519</v>
          </cell>
          <cell r="T7">
            <v>45488</v>
          </cell>
          <cell r="U7" t="str">
            <v>PAGADO</v>
          </cell>
        </row>
        <row r="8">
          <cell r="A8" t="str">
            <v>20248</v>
          </cell>
          <cell r="B8" t="str">
            <v>BANCOLOMBIA</v>
          </cell>
          <cell r="C8" t="str">
            <v>LAMAR OPTICAL S.A.S</v>
          </cell>
          <cell r="D8" t="str">
            <v>8140099320</v>
          </cell>
          <cell r="E8">
            <v>45517</v>
          </cell>
          <cell r="F8">
            <v>6</v>
          </cell>
          <cell r="G8">
            <v>6</v>
          </cell>
          <cell r="H8">
            <v>1476841</v>
          </cell>
          <cell r="I8">
            <v>140595.26319999999</v>
          </cell>
          <cell r="J8">
            <v>0</v>
          </cell>
          <cell r="K8">
            <v>0</v>
          </cell>
          <cell r="L8">
            <v>5002.3008000000846</v>
          </cell>
          <cell r="M8">
            <v>1.3599999999999999E-2</v>
          </cell>
          <cell r="N8">
            <v>1.3599999999999999E-2</v>
          </cell>
          <cell r="O8">
            <v>0</v>
          </cell>
          <cell r="P8">
            <v>1622438.564</v>
          </cell>
          <cell r="Q8">
            <v>8861046</v>
          </cell>
          <cell r="R8" t="str">
            <v>OK</v>
          </cell>
          <cell r="S8">
            <v>1613711</v>
          </cell>
          <cell r="T8">
            <v>45519</v>
          </cell>
          <cell r="U8" t="str">
            <v>PAGADO</v>
          </cell>
        </row>
        <row r="9">
          <cell r="A9" t="str">
            <v>20249</v>
          </cell>
          <cell r="B9" t="str">
            <v>BANCOLOMBIA</v>
          </cell>
          <cell r="C9" t="str">
            <v>LAMAR OPTICAL S.A.S</v>
          </cell>
          <cell r="D9" t="str">
            <v>8140099320</v>
          </cell>
          <cell r="E9">
            <v>45548</v>
          </cell>
          <cell r="F9">
            <v>7</v>
          </cell>
          <cell r="G9">
            <v>5</v>
          </cell>
          <cell r="H9">
            <v>1476841</v>
          </cell>
          <cell r="I9">
            <v>120510.22559999999</v>
          </cell>
          <cell r="J9">
            <v>0</v>
          </cell>
          <cell r="K9">
            <v>0</v>
          </cell>
          <cell r="L9">
            <v>8727.564000000013</v>
          </cell>
          <cell r="M9">
            <v>1.3599999999999999E-2</v>
          </cell>
          <cell r="N9">
            <v>1.3599999999999999E-2</v>
          </cell>
          <cell r="O9">
            <v>0</v>
          </cell>
          <cell r="P9">
            <v>1606078.7896</v>
          </cell>
          <cell r="Q9">
            <v>7384205</v>
          </cell>
          <cell r="R9">
            <v>-11</v>
          </cell>
          <cell r="U9" t="str">
            <v>PENDIENTE</v>
          </cell>
        </row>
        <row r="10">
          <cell r="A10" t="str">
            <v>202410</v>
          </cell>
          <cell r="B10" t="str">
            <v>BANCOLOMBIA</v>
          </cell>
          <cell r="C10" t="str">
            <v>LAMAR OPTICAL S.A.S</v>
          </cell>
          <cell r="D10" t="str">
            <v>8140099320</v>
          </cell>
          <cell r="E10">
            <v>45578</v>
          </cell>
          <cell r="F10">
            <v>8</v>
          </cell>
          <cell r="G10">
            <v>4</v>
          </cell>
          <cell r="H10">
            <v>1476841</v>
          </cell>
          <cell r="I10">
            <v>100425.18799999999</v>
          </cell>
          <cell r="J10">
            <v>0</v>
          </cell>
          <cell r="K10">
            <v>0</v>
          </cell>
          <cell r="L10">
            <v>0</v>
          </cell>
          <cell r="M10">
            <v>1.3599999999999999E-2</v>
          </cell>
          <cell r="N10">
            <v>1.3599999999999999E-2</v>
          </cell>
          <cell r="O10">
            <v>0</v>
          </cell>
          <cell r="P10">
            <v>1577266.1880000001</v>
          </cell>
          <cell r="Q10">
            <v>5907364</v>
          </cell>
          <cell r="R10">
            <v>-11</v>
          </cell>
          <cell r="U10" t="str">
            <v>PENDIENTE</v>
          </cell>
        </row>
        <row r="11">
          <cell r="A11" t="str">
            <v>202411</v>
          </cell>
          <cell r="B11" t="str">
            <v>BANCOLOMBIA</v>
          </cell>
          <cell r="C11" t="str">
            <v>LAMAR OPTICAL S.A.S</v>
          </cell>
          <cell r="D11" t="str">
            <v>8140099320</v>
          </cell>
          <cell r="E11">
            <v>45609</v>
          </cell>
          <cell r="F11">
            <v>9</v>
          </cell>
          <cell r="G11">
            <v>3</v>
          </cell>
          <cell r="H11">
            <v>1476841</v>
          </cell>
          <cell r="I11">
            <v>80340.150399999999</v>
          </cell>
          <cell r="J11">
            <v>0</v>
          </cell>
          <cell r="K11">
            <v>0</v>
          </cell>
          <cell r="L11">
            <v>0</v>
          </cell>
          <cell r="M11">
            <v>1.3599999999999999E-2</v>
          </cell>
          <cell r="N11">
            <v>1.3599999999999999E-2</v>
          </cell>
          <cell r="O11">
            <v>0</v>
          </cell>
          <cell r="P11">
            <v>1557181.1503999999</v>
          </cell>
          <cell r="Q11">
            <v>4430523</v>
          </cell>
          <cell r="R11">
            <v>-41</v>
          </cell>
          <cell r="U11" t="str">
            <v>PENDIENTE</v>
          </cell>
        </row>
        <row r="12">
          <cell r="A12" t="str">
            <v>202412</v>
          </cell>
          <cell r="B12" t="str">
            <v>BANCOLOMBIA</v>
          </cell>
          <cell r="C12" t="str">
            <v>LAMAR OPTICAL S.A.S</v>
          </cell>
          <cell r="D12" t="str">
            <v>8140099320</v>
          </cell>
          <cell r="E12">
            <v>45639</v>
          </cell>
          <cell r="F12">
            <v>10</v>
          </cell>
          <cell r="G12">
            <v>2</v>
          </cell>
          <cell r="H12">
            <v>1476841</v>
          </cell>
          <cell r="I12">
            <v>60255.112799999995</v>
          </cell>
          <cell r="J12">
            <v>0</v>
          </cell>
          <cell r="K12">
            <v>0</v>
          </cell>
          <cell r="L12">
            <v>0</v>
          </cell>
          <cell r="M12">
            <v>1.3599999999999999E-2</v>
          </cell>
          <cell r="N12">
            <v>1.3599999999999999E-2</v>
          </cell>
          <cell r="O12">
            <v>0</v>
          </cell>
          <cell r="P12">
            <v>1537096.1128</v>
          </cell>
          <cell r="Q12">
            <v>2953682</v>
          </cell>
          <cell r="R12">
            <v>-72</v>
          </cell>
          <cell r="U12" t="str">
            <v>PENDIENTE</v>
          </cell>
        </row>
        <row r="13">
          <cell r="A13" t="str">
            <v>20251</v>
          </cell>
          <cell r="B13" t="str">
            <v>BANCOLOMBIA</v>
          </cell>
          <cell r="C13" t="str">
            <v>LAMAR OPTICAL S.A.S</v>
          </cell>
          <cell r="D13" t="str">
            <v>8140099320</v>
          </cell>
          <cell r="E13">
            <v>45670</v>
          </cell>
          <cell r="F13">
            <v>11</v>
          </cell>
          <cell r="G13">
            <v>1</v>
          </cell>
          <cell r="H13">
            <v>1476841</v>
          </cell>
          <cell r="I13">
            <v>40170.075199999999</v>
          </cell>
          <cell r="J13">
            <v>0</v>
          </cell>
          <cell r="K13">
            <v>0</v>
          </cell>
          <cell r="L13">
            <v>0</v>
          </cell>
          <cell r="M13">
            <v>1.3599999999999999E-2</v>
          </cell>
          <cell r="N13">
            <v>1.3599999999999999E-2</v>
          </cell>
          <cell r="O13">
            <v>0</v>
          </cell>
          <cell r="P13">
            <v>1517011.0752000001</v>
          </cell>
          <cell r="Q13">
            <v>1476841</v>
          </cell>
          <cell r="R13">
            <v>-102</v>
          </cell>
          <cell r="U13" t="str">
            <v>PENDIENTE</v>
          </cell>
        </row>
        <row r="14">
          <cell r="A14" t="str">
            <v>20252</v>
          </cell>
          <cell r="B14" t="str">
            <v>BANCOLOMBIA</v>
          </cell>
          <cell r="C14" t="str">
            <v>LAMAR OPTICAL S.A.S</v>
          </cell>
          <cell r="D14" t="str">
            <v>8140099320</v>
          </cell>
          <cell r="E14">
            <v>45701</v>
          </cell>
          <cell r="F14">
            <v>12</v>
          </cell>
          <cell r="G14">
            <v>0</v>
          </cell>
          <cell r="H14">
            <v>1476841</v>
          </cell>
          <cell r="I14">
            <v>20085.0376</v>
          </cell>
          <cell r="J14">
            <v>0</v>
          </cell>
          <cell r="K14">
            <v>0</v>
          </cell>
          <cell r="L14">
            <v>0</v>
          </cell>
          <cell r="M14">
            <v>1.3599999999999999E-2</v>
          </cell>
          <cell r="N14">
            <v>1.3599999999999999E-2</v>
          </cell>
          <cell r="O14">
            <v>0</v>
          </cell>
          <cell r="P14">
            <v>1496926.0375999999</v>
          </cell>
          <cell r="Q14">
            <v>0</v>
          </cell>
          <cell r="R14">
            <v>-133</v>
          </cell>
          <cell r="U14" t="str">
            <v>PENDIENTE</v>
          </cell>
        </row>
        <row r="15">
          <cell r="A15" t="str">
            <v>20242</v>
          </cell>
          <cell r="B15" t="str">
            <v>BANCOLOMBIA</v>
          </cell>
          <cell r="C15" t="str">
            <v>LAMAR OPTICAL S.A.S</v>
          </cell>
          <cell r="D15" t="str">
            <v>8140099327</v>
          </cell>
          <cell r="E15">
            <v>45335</v>
          </cell>
          <cell r="F15">
            <v>0</v>
          </cell>
          <cell r="G15">
            <v>8</v>
          </cell>
          <cell r="H15">
            <v>0</v>
          </cell>
          <cell r="I15">
            <v>0</v>
          </cell>
          <cell r="J15">
            <v>0</v>
          </cell>
          <cell r="K15">
            <v>0</v>
          </cell>
          <cell r="L15">
            <v>0</v>
          </cell>
          <cell r="M15">
            <v>1.3599999999999999E-2</v>
          </cell>
          <cell r="N15">
            <v>0</v>
          </cell>
          <cell r="O15">
            <v>-1</v>
          </cell>
          <cell r="P15">
            <v>0</v>
          </cell>
          <cell r="Q15">
            <v>85000000</v>
          </cell>
          <cell r="R15">
            <v>-164</v>
          </cell>
          <cell r="S15">
            <v>0</v>
          </cell>
          <cell r="T15">
            <v>45335</v>
          </cell>
          <cell r="U15" t="str">
            <v>PAGADO</v>
          </cell>
        </row>
        <row r="16">
          <cell r="A16" t="str">
            <v>20245</v>
          </cell>
          <cell r="B16" t="str">
            <v>BANCOLOMBIA</v>
          </cell>
          <cell r="C16" t="str">
            <v>LAMAR OPTICAL S.A.S</v>
          </cell>
          <cell r="D16" t="str">
            <v>8140099327</v>
          </cell>
          <cell r="E16">
            <v>45425</v>
          </cell>
          <cell r="F16">
            <v>1</v>
          </cell>
          <cell r="G16">
            <v>7</v>
          </cell>
          <cell r="H16">
            <v>10625000</v>
          </cell>
          <cell r="I16">
            <v>2452675</v>
          </cell>
          <cell r="J16">
            <v>0</v>
          </cell>
          <cell r="K16">
            <v>0</v>
          </cell>
          <cell r="L16">
            <v>0</v>
          </cell>
          <cell r="M16">
            <v>2.8855000000000002E-2</v>
          </cell>
          <cell r="N16">
            <v>2.8854999999999999E-2</v>
          </cell>
          <cell r="O16">
            <v>0</v>
          </cell>
          <cell r="P16">
            <v>13077675</v>
          </cell>
          <cell r="Q16">
            <v>74375000</v>
          </cell>
          <cell r="R16" t="str">
            <v>OK</v>
          </cell>
          <cell r="S16">
            <v>14929400</v>
          </cell>
          <cell r="T16">
            <v>45426</v>
          </cell>
          <cell r="U16" t="str">
            <v>PAGADO</v>
          </cell>
        </row>
        <row r="17">
          <cell r="A17" t="str">
            <v>20248</v>
          </cell>
          <cell r="B17" t="str">
            <v>BANCOLOMBIA</v>
          </cell>
          <cell r="C17" t="str">
            <v>LAMAR OPTICAL S.A.S</v>
          </cell>
          <cell r="D17" t="str">
            <v>8140099327</v>
          </cell>
          <cell r="E17">
            <v>45517</v>
          </cell>
          <cell r="F17">
            <v>2</v>
          </cell>
          <cell r="G17">
            <v>6</v>
          </cell>
          <cell r="H17">
            <v>10625000</v>
          </cell>
          <cell r="I17">
            <v>2146090.625</v>
          </cell>
          <cell r="J17">
            <v>0</v>
          </cell>
          <cell r="K17">
            <v>0</v>
          </cell>
          <cell r="L17">
            <v>0</v>
          </cell>
          <cell r="M17">
            <v>2.8855000000000002E-2</v>
          </cell>
          <cell r="N17">
            <v>2.8854999999999999E-2</v>
          </cell>
          <cell r="O17">
            <v>0</v>
          </cell>
          <cell r="P17">
            <v>12771090.625</v>
          </cell>
          <cell r="Q17">
            <v>63750000</v>
          </cell>
          <cell r="R17" t="str">
            <v>OK</v>
          </cell>
          <cell r="S17">
            <v>14297141</v>
          </cell>
          <cell r="T17">
            <v>45518</v>
          </cell>
          <cell r="U17" t="str">
            <v>PAGADO</v>
          </cell>
        </row>
        <row r="18">
          <cell r="A18" t="str">
            <v>202411</v>
          </cell>
          <cell r="B18" t="str">
            <v>BANCOLOMBIA</v>
          </cell>
          <cell r="C18" t="str">
            <v>LAMAR OPTICAL S.A.S</v>
          </cell>
          <cell r="D18" t="str">
            <v>8140099327</v>
          </cell>
          <cell r="E18">
            <v>45609</v>
          </cell>
          <cell r="F18">
            <v>3</v>
          </cell>
          <cell r="G18">
            <v>5</v>
          </cell>
          <cell r="H18">
            <v>10625000</v>
          </cell>
          <cell r="I18">
            <v>1839506.2500000002</v>
          </cell>
          <cell r="J18">
            <v>0</v>
          </cell>
          <cell r="K18">
            <v>0</v>
          </cell>
          <cell r="L18">
            <v>0</v>
          </cell>
          <cell r="M18">
            <v>2.8855000000000002E-2</v>
          </cell>
          <cell r="N18">
            <v>2.8855000000000002E-2</v>
          </cell>
          <cell r="O18">
            <v>0</v>
          </cell>
          <cell r="P18">
            <v>12464506.25</v>
          </cell>
          <cell r="Q18">
            <v>53125000</v>
          </cell>
          <cell r="R18">
            <v>-72</v>
          </cell>
          <cell r="U18" t="str">
            <v>PENDIENTE</v>
          </cell>
        </row>
        <row r="19">
          <cell r="A19" t="str">
            <v>20252</v>
          </cell>
          <cell r="B19" t="str">
            <v>BANCOLOMBIA</v>
          </cell>
          <cell r="C19" t="str">
            <v>LAMAR OPTICAL S.A.S</v>
          </cell>
          <cell r="D19" t="str">
            <v>8140099327</v>
          </cell>
          <cell r="E19">
            <v>45701</v>
          </cell>
          <cell r="F19">
            <v>4</v>
          </cell>
          <cell r="G19">
            <v>4</v>
          </cell>
          <cell r="H19">
            <v>10625000</v>
          </cell>
          <cell r="I19">
            <v>1532921.875</v>
          </cell>
          <cell r="J19">
            <v>0</v>
          </cell>
          <cell r="K19">
            <v>0</v>
          </cell>
          <cell r="L19">
            <v>0</v>
          </cell>
          <cell r="M19">
            <v>2.8855000000000002E-2</v>
          </cell>
          <cell r="N19">
            <v>2.8854999999999999E-2</v>
          </cell>
          <cell r="O19">
            <v>0</v>
          </cell>
          <cell r="P19">
            <v>12157921.875</v>
          </cell>
          <cell r="Q19">
            <v>42500000</v>
          </cell>
          <cell r="R19">
            <v>-72</v>
          </cell>
          <cell r="U19" t="str">
            <v>PENDIENTE</v>
          </cell>
        </row>
        <row r="20">
          <cell r="A20" t="str">
            <v>20255</v>
          </cell>
          <cell r="B20" t="str">
            <v>BANCOLOMBIA</v>
          </cell>
          <cell r="C20" t="str">
            <v>LAMAR OPTICAL S.A.S</v>
          </cell>
          <cell r="D20" t="str">
            <v>8140099327</v>
          </cell>
          <cell r="E20">
            <v>45790</v>
          </cell>
          <cell r="F20">
            <v>5</v>
          </cell>
          <cell r="G20">
            <v>3</v>
          </cell>
          <cell r="H20">
            <v>10625000</v>
          </cell>
          <cell r="I20">
            <v>1226337.5</v>
          </cell>
          <cell r="J20">
            <v>0</v>
          </cell>
          <cell r="K20">
            <v>0</v>
          </cell>
          <cell r="L20">
            <v>0</v>
          </cell>
          <cell r="M20">
            <v>2.8855000000000002E-2</v>
          </cell>
          <cell r="N20">
            <v>2.8854999999999999E-2</v>
          </cell>
          <cell r="O20">
            <v>0</v>
          </cell>
          <cell r="P20">
            <v>11851337.5</v>
          </cell>
          <cell r="Q20">
            <v>31875000</v>
          </cell>
          <cell r="R20">
            <v>-164</v>
          </cell>
          <cell r="U20" t="str">
            <v>PENDIENTE</v>
          </cell>
        </row>
        <row r="21">
          <cell r="A21" t="str">
            <v>20258</v>
          </cell>
          <cell r="B21" t="str">
            <v>BANCOLOMBIA</v>
          </cell>
          <cell r="C21" t="str">
            <v>LAMAR OPTICAL S.A.S</v>
          </cell>
          <cell r="D21" t="str">
            <v>8140099327</v>
          </cell>
          <cell r="E21">
            <v>45882</v>
          </cell>
          <cell r="F21">
            <v>6</v>
          </cell>
          <cell r="G21">
            <v>2</v>
          </cell>
          <cell r="H21">
            <v>10625000</v>
          </cell>
          <cell r="I21">
            <v>919753.12500000012</v>
          </cell>
          <cell r="J21">
            <v>0</v>
          </cell>
          <cell r="K21">
            <v>0</v>
          </cell>
          <cell r="L21">
            <v>0</v>
          </cell>
          <cell r="M21">
            <v>2.8855000000000002E-2</v>
          </cell>
          <cell r="N21">
            <v>2.8855000000000002E-2</v>
          </cell>
          <cell r="O21">
            <v>0</v>
          </cell>
          <cell r="P21">
            <v>11544753.125</v>
          </cell>
          <cell r="Q21">
            <v>21250000</v>
          </cell>
          <cell r="R21">
            <v>-253</v>
          </cell>
          <cell r="U21" t="str">
            <v>PENDIENTE</v>
          </cell>
        </row>
        <row r="22">
          <cell r="A22" t="str">
            <v>202511</v>
          </cell>
          <cell r="B22" t="str">
            <v>BANCOLOMBIA</v>
          </cell>
          <cell r="C22" t="str">
            <v>LAMAR OPTICAL S.A.S</v>
          </cell>
          <cell r="D22" t="str">
            <v>8140099327</v>
          </cell>
          <cell r="E22">
            <v>45974</v>
          </cell>
          <cell r="F22">
            <v>7</v>
          </cell>
          <cell r="G22">
            <v>1</v>
          </cell>
          <cell r="H22">
            <v>10625000</v>
          </cell>
          <cell r="I22">
            <v>613168.75</v>
          </cell>
          <cell r="J22">
            <v>0</v>
          </cell>
          <cell r="K22">
            <v>0</v>
          </cell>
          <cell r="L22">
            <v>0</v>
          </cell>
          <cell r="M22">
            <v>2.8855000000000002E-2</v>
          </cell>
          <cell r="N22">
            <v>2.8854999999999999E-2</v>
          </cell>
          <cell r="O22">
            <v>0</v>
          </cell>
          <cell r="P22">
            <v>11238168.75</v>
          </cell>
          <cell r="Q22">
            <v>10625000</v>
          </cell>
          <cell r="R22">
            <v>-345</v>
          </cell>
          <cell r="U22" t="str">
            <v>PENDIENTE</v>
          </cell>
        </row>
        <row r="23">
          <cell r="A23" t="str">
            <v>20262</v>
          </cell>
          <cell r="B23" t="str">
            <v>BANCOLOMBIA</v>
          </cell>
          <cell r="C23" t="str">
            <v>LAMAR OPTICAL S.A.S</v>
          </cell>
          <cell r="D23" t="str">
            <v>8140099327</v>
          </cell>
          <cell r="E23">
            <v>46066</v>
          </cell>
          <cell r="F23">
            <v>8</v>
          </cell>
          <cell r="G23">
            <v>0</v>
          </cell>
          <cell r="H23">
            <v>10625000</v>
          </cell>
          <cell r="I23">
            <v>306584.375</v>
          </cell>
          <cell r="J23">
            <v>0</v>
          </cell>
          <cell r="K23">
            <v>0</v>
          </cell>
          <cell r="L23">
            <v>0</v>
          </cell>
          <cell r="M23">
            <v>2.8855000000000002E-2</v>
          </cell>
          <cell r="N23">
            <v>2.8854999999999999E-2</v>
          </cell>
          <cell r="O23">
            <v>0</v>
          </cell>
          <cell r="P23">
            <v>10931584.375</v>
          </cell>
          <cell r="Q23">
            <v>0</v>
          </cell>
          <cell r="R23">
            <v>-437</v>
          </cell>
          <cell r="U23" t="str">
            <v>PENDIENTE</v>
          </cell>
        </row>
        <row r="24">
          <cell r="A24" t="str">
            <v>202111</v>
          </cell>
          <cell r="B24" t="str">
            <v>SERFINANZAS</v>
          </cell>
          <cell r="C24" t="str">
            <v>INVERSIONES RUEDA S.A.S</v>
          </cell>
          <cell r="D24" t="str">
            <v>111000149580</v>
          </cell>
          <cell r="E24">
            <v>44513</v>
          </cell>
          <cell r="F24">
            <v>1</v>
          </cell>
          <cell r="G24">
            <v>35</v>
          </cell>
          <cell r="H24">
            <v>2313071.21</v>
          </cell>
          <cell r="I24">
            <v>1019610.75</v>
          </cell>
          <cell r="J24">
            <v>0</v>
          </cell>
          <cell r="K24">
            <v>0</v>
          </cell>
          <cell r="L24">
            <v>0</v>
          </cell>
          <cell r="M24">
            <v>1.0196107500000001E-2</v>
          </cell>
          <cell r="N24">
            <v>1.0196107500000001E-2</v>
          </cell>
          <cell r="O24">
            <v>0</v>
          </cell>
          <cell r="P24">
            <v>3332681.96</v>
          </cell>
          <cell r="Q24">
            <v>97686928.790000007</v>
          </cell>
          <cell r="R24" t="str">
            <v>OK</v>
          </cell>
          <cell r="S24">
            <v>3653515.96</v>
          </cell>
          <cell r="T24">
            <v>44514</v>
          </cell>
          <cell r="U24" t="str">
            <v>PAGADO</v>
          </cell>
        </row>
        <row r="25">
          <cell r="A25" t="str">
            <v>202112</v>
          </cell>
          <cell r="B25" t="str">
            <v>SERFINANZAS</v>
          </cell>
          <cell r="C25" t="str">
            <v>INVERSIONES RUEDA S.A.S</v>
          </cell>
          <cell r="D25" t="str">
            <v>111000149580</v>
          </cell>
          <cell r="E25">
            <v>44543</v>
          </cell>
          <cell r="F25">
            <v>2</v>
          </cell>
          <cell r="G25">
            <v>34</v>
          </cell>
          <cell r="H25">
            <v>2323647.5099999998</v>
          </cell>
          <cell r="I25">
            <v>1026554.73</v>
          </cell>
          <cell r="J25">
            <v>0</v>
          </cell>
          <cell r="K25">
            <v>320834</v>
          </cell>
          <cell r="L25">
            <v>0</v>
          </cell>
          <cell r="M25">
            <v>1.0196107500000001E-2</v>
          </cell>
          <cell r="N25">
            <v>1.0508619143988138E-2</v>
          </cell>
          <cell r="O25">
            <v>3.0650093085830665E-2</v>
          </cell>
          <cell r="P25">
            <v>3671036.2399999998</v>
          </cell>
          <cell r="Q25">
            <v>95363281.280000001</v>
          </cell>
          <cell r="R25" t="str">
            <v>OK</v>
          </cell>
          <cell r="S25">
            <v>3672517.6</v>
          </cell>
          <cell r="T25">
            <v>44544</v>
          </cell>
          <cell r="U25" t="str">
            <v>PAGADO</v>
          </cell>
        </row>
        <row r="26">
          <cell r="A26" t="str">
            <v>20221</v>
          </cell>
          <cell r="B26" t="str">
            <v>SERFINANZAS</v>
          </cell>
          <cell r="C26" t="str">
            <v>INVERSIONES RUEDA S.A.S</v>
          </cell>
          <cell r="D26" t="str">
            <v>111000149580</v>
          </cell>
          <cell r="E26">
            <v>44574</v>
          </cell>
          <cell r="F26">
            <v>3</v>
          </cell>
          <cell r="G26">
            <v>33</v>
          </cell>
          <cell r="H26">
            <v>2336323.4300000002</v>
          </cell>
          <cell r="I26">
            <v>1029719.36</v>
          </cell>
          <cell r="J26">
            <v>0</v>
          </cell>
          <cell r="K26">
            <v>320834</v>
          </cell>
          <cell r="L26">
            <v>0</v>
          </cell>
          <cell r="M26">
            <v>1.0196107500000001E-2</v>
          </cell>
          <cell r="N26">
            <v>1.0797859995783903E-2</v>
          </cell>
          <cell r="O26">
            <v>5.9017864982681134E-2</v>
          </cell>
          <cell r="P26">
            <v>3686876.79</v>
          </cell>
          <cell r="Q26">
            <v>93026957.849999994</v>
          </cell>
          <cell r="R26" t="str">
            <v>OK</v>
          </cell>
          <cell r="S26">
            <v>3686876.79</v>
          </cell>
          <cell r="T26">
            <v>44574</v>
          </cell>
          <cell r="U26" t="str">
            <v>PAGADO</v>
          </cell>
        </row>
        <row r="27">
          <cell r="A27" t="str">
            <v>20222</v>
          </cell>
          <cell r="B27" t="str">
            <v>SERFINANZAS</v>
          </cell>
          <cell r="C27" t="str">
            <v>INVERSIONES RUEDA S.A.S</v>
          </cell>
          <cell r="D27" t="str">
            <v>111000149580</v>
          </cell>
          <cell r="E27">
            <v>44605</v>
          </cell>
          <cell r="F27">
            <v>4</v>
          </cell>
          <cell r="G27">
            <v>32</v>
          </cell>
          <cell r="H27">
            <v>2347807.08</v>
          </cell>
          <cell r="I27">
            <v>1036806.53</v>
          </cell>
          <cell r="J27">
            <v>0</v>
          </cell>
          <cell r="K27">
            <v>320834</v>
          </cell>
          <cell r="L27">
            <v>0</v>
          </cell>
          <cell r="M27">
            <v>1.0196107500000001E-2</v>
          </cell>
          <cell r="N27">
            <v>1.1145226652168763E-2</v>
          </cell>
          <cell r="O27">
            <v>9.308642069228501E-2</v>
          </cell>
          <cell r="P27">
            <v>3705447.6100000003</v>
          </cell>
          <cell r="Q27">
            <v>90679150.769999996</v>
          </cell>
          <cell r="R27" t="str">
            <v>OK</v>
          </cell>
          <cell r="S27">
            <v>3708570.07</v>
          </cell>
          <cell r="T27">
            <v>44607</v>
          </cell>
          <cell r="U27" t="str">
            <v>PAGADO</v>
          </cell>
        </row>
        <row r="28">
          <cell r="A28" t="str">
            <v>20223</v>
          </cell>
          <cell r="B28" t="str">
            <v>SERFINANZAS</v>
          </cell>
          <cell r="C28" t="str">
            <v>INVERSIONES RUEDA S.A.S</v>
          </cell>
          <cell r="D28" t="str">
            <v>111000149580</v>
          </cell>
          <cell r="E28">
            <v>44633</v>
          </cell>
          <cell r="F28">
            <v>5</v>
          </cell>
          <cell r="G28">
            <v>31</v>
          </cell>
          <cell r="H28">
            <v>2361490.25</v>
          </cell>
          <cell r="I28">
            <v>1040020.56</v>
          </cell>
          <cell r="J28">
            <v>0</v>
          </cell>
          <cell r="K28">
            <v>320834</v>
          </cell>
          <cell r="L28">
            <v>0</v>
          </cell>
          <cell r="M28">
            <v>1.0196107500000001E-2</v>
          </cell>
          <cell r="N28">
            <v>1.1469235774361455E-2</v>
          </cell>
          <cell r="O28">
            <v>0.12486414784872113</v>
          </cell>
          <cell r="P28">
            <v>3722344.81</v>
          </cell>
          <cell r="Q28">
            <v>88317660.519999996</v>
          </cell>
          <cell r="R28" t="str">
            <v>OK</v>
          </cell>
          <cell r="S28">
            <v>3730245.96</v>
          </cell>
          <cell r="T28">
            <v>44637</v>
          </cell>
          <cell r="U28" t="str">
            <v>PAGADO</v>
          </cell>
        </row>
        <row r="29">
          <cell r="A29" t="str">
            <v>20224</v>
          </cell>
          <cell r="B29" t="str">
            <v>SERFINANZAS</v>
          </cell>
          <cell r="C29" t="str">
            <v>INVERSIONES RUEDA S.A.S</v>
          </cell>
          <cell r="D29" t="str">
            <v>111000149580</v>
          </cell>
          <cell r="E29">
            <v>44664</v>
          </cell>
          <cell r="F29">
            <v>6</v>
          </cell>
          <cell r="G29">
            <v>30</v>
          </cell>
          <cell r="H29">
            <v>2357927.63</v>
          </cell>
          <cell r="I29">
            <v>1085324.3899999999</v>
          </cell>
          <cell r="J29">
            <v>0</v>
          </cell>
          <cell r="K29">
            <v>320834</v>
          </cell>
          <cell r="L29">
            <v>0</v>
          </cell>
          <cell r="M29">
            <v>1.0196107500000001E-2</v>
          </cell>
          <cell r="N29">
            <v>1.228887159838459E-2</v>
          </cell>
          <cell r="O29">
            <v>0.20525127833191137</v>
          </cell>
          <cell r="P29">
            <v>3764086.0199999996</v>
          </cell>
          <cell r="Q29">
            <v>85959732.890000001</v>
          </cell>
          <cell r="R29" t="str">
            <v>OK</v>
          </cell>
          <cell r="S29">
            <v>3786931.15</v>
          </cell>
          <cell r="T29">
            <v>44678</v>
          </cell>
          <cell r="U29" t="str">
            <v>PAGADO</v>
          </cell>
        </row>
        <row r="30">
          <cell r="A30" t="str">
            <v>20225</v>
          </cell>
          <cell r="B30" t="str">
            <v>SERFINANZAS</v>
          </cell>
          <cell r="C30" t="str">
            <v>INVERSIONES RUEDA S.A.S</v>
          </cell>
          <cell r="D30" t="str">
            <v>111000149580</v>
          </cell>
          <cell r="E30">
            <v>44694</v>
          </cell>
          <cell r="F30">
            <v>7</v>
          </cell>
          <cell r="G30">
            <v>29</v>
          </cell>
          <cell r="H30">
            <v>2367950.66</v>
          </cell>
          <cell r="I30">
            <v>1101311.8700000001</v>
          </cell>
          <cell r="J30">
            <v>0</v>
          </cell>
          <cell r="K30">
            <v>320834</v>
          </cell>
          <cell r="L30">
            <v>0</v>
          </cell>
          <cell r="M30">
            <v>1.0196107500000001E-2</v>
          </cell>
          <cell r="N30">
            <v>1.2811950816661036E-2</v>
          </cell>
          <cell r="O30">
            <v>0.25655313232633481</v>
          </cell>
          <cell r="P30">
            <v>3790096.5300000003</v>
          </cell>
          <cell r="Q30">
            <v>83591782.230000004</v>
          </cell>
          <cell r="R30" t="str">
            <v>OK</v>
          </cell>
          <cell r="S30">
            <v>3798600</v>
          </cell>
          <cell r="T30">
            <v>44699</v>
          </cell>
          <cell r="U30" t="str">
            <v>PAGADO</v>
          </cell>
        </row>
        <row r="31">
          <cell r="A31" t="str">
            <v>20226</v>
          </cell>
          <cell r="B31" t="str">
            <v>SERFINANZAS</v>
          </cell>
          <cell r="C31" t="str">
            <v>INVERSIONES RUEDA S.A.S</v>
          </cell>
          <cell r="D31" t="str">
            <v>111000149580</v>
          </cell>
          <cell r="E31">
            <v>44725</v>
          </cell>
          <cell r="F31">
            <v>8</v>
          </cell>
          <cell r="G31">
            <v>28</v>
          </cell>
          <cell r="H31">
            <v>2374458.0499999998</v>
          </cell>
          <cell r="I31">
            <v>1127688.04</v>
          </cell>
          <cell r="J31">
            <v>0</v>
          </cell>
          <cell r="K31">
            <v>320834</v>
          </cell>
          <cell r="L31">
            <v>0</v>
          </cell>
          <cell r="M31">
            <v>1.0196107500000001E-2</v>
          </cell>
          <cell r="N31">
            <v>1.3490417477847332E-2</v>
          </cell>
          <cell r="O31">
            <v>0.32309486515783892</v>
          </cell>
          <cell r="P31">
            <v>3822980.09</v>
          </cell>
          <cell r="Q31">
            <v>81217324.180000007</v>
          </cell>
          <cell r="R31" t="str">
            <v>OK</v>
          </cell>
          <cell r="S31">
            <v>3830000</v>
          </cell>
          <cell r="T31">
            <v>44725</v>
          </cell>
          <cell r="U31" t="str">
            <v>PAGADO</v>
          </cell>
        </row>
        <row r="32">
          <cell r="A32" t="str">
            <v>20227</v>
          </cell>
          <cell r="B32" t="str">
            <v>SERFINANZAS</v>
          </cell>
          <cell r="C32" t="str">
            <v>INVERSIONES RUEDA S.A.S</v>
          </cell>
          <cell r="D32" t="str">
            <v>111000149580</v>
          </cell>
          <cell r="E32">
            <v>44755</v>
          </cell>
          <cell r="F32">
            <v>9</v>
          </cell>
          <cell r="G32">
            <v>27</v>
          </cell>
          <cell r="H32">
            <v>2383830.83</v>
          </cell>
          <cell r="I32">
            <v>1149776.33</v>
          </cell>
          <cell r="J32">
            <v>0</v>
          </cell>
          <cell r="K32">
            <v>315465.93</v>
          </cell>
          <cell r="L32">
            <v>0</v>
          </cell>
          <cell r="M32">
            <v>1.0196107500000001E-2</v>
          </cell>
          <cell r="N32">
            <v>1.4156786641379348E-2</v>
          </cell>
          <cell r="O32">
            <v>0.38845011602509549</v>
          </cell>
          <cell r="P32">
            <v>3849073.0900000003</v>
          </cell>
          <cell r="Q32">
            <v>78833493.350000009</v>
          </cell>
          <cell r="R32" t="str">
            <v>OK</v>
          </cell>
          <cell r="S32">
            <v>3950000</v>
          </cell>
          <cell r="T32">
            <v>44784</v>
          </cell>
          <cell r="U32" t="str">
            <v>PAGADO</v>
          </cell>
        </row>
        <row r="33">
          <cell r="A33" t="str">
            <v>20228</v>
          </cell>
          <cell r="B33" t="str">
            <v>SERFINANZAS</v>
          </cell>
          <cell r="C33" t="str">
            <v>INVERSIONES RUEDA S.A.S</v>
          </cell>
          <cell r="D33" t="str">
            <v>111000149580</v>
          </cell>
          <cell r="E33">
            <v>44786</v>
          </cell>
          <cell r="F33">
            <v>10</v>
          </cell>
          <cell r="G33">
            <v>26</v>
          </cell>
          <cell r="H33">
            <v>2393254.0099999998</v>
          </cell>
          <cell r="I33">
            <v>1174328.3500000001</v>
          </cell>
          <cell r="J33">
            <v>0</v>
          </cell>
          <cell r="K33">
            <v>320834</v>
          </cell>
          <cell r="L33">
            <v>0</v>
          </cell>
          <cell r="M33">
            <v>1.0196107500000001E-2</v>
          </cell>
          <cell r="N33">
            <v>1.4896312469451159E-2</v>
          </cell>
          <cell r="O33">
            <v>0.4609803269974504</v>
          </cell>
          <cell r="P33">
            <v>3888416.36</v>
          </cell>
          <cell r="Q33">
            <v>76440239.340000004</v>
          </cell>
          <cell r="R33" t="str">
            <v>OK</v>
          </cell>
          <cell r="S33">
            <v>3842864.66</v>
          </cell>
          <cell r="T33">
            <v>44786</v>
          </cell>
          <cell r="U33" t="str">
            <v>PAGADO</v>
          </cell>
        </row>
        <row r="34">
          <cell r="A34" t="str">
            <v>20229</v>
          </cell>
          <cell r="B34" t="str">
            <v>SERFINANZAS</v>
          </cell>
          <cell r="C34" t="str">
            <v>INVERSIONES RUEDA S.A.S</v>
          </cell>
          <cell r="D34" t="str">
            <v>111000149580</v>
          </cell>
          <cell r="E34">
            <v>44817</v>
          </cell>
          <cell r="F34">
            <v>11</v>
          </cell>
          <cell r="G34">
            <v>25</v>
          </cell>
          <cell r="H34">
            <v>2390310.38</v>
          </cell>
          <cell r="I34">
            <v>1231720.24</v>
          </cell>
          <cell r="J34">
            <v>0</v>
          </cell>
          <cell r="K34">
            <v>320834</v>
          </cell>
          <cell r="L34">
            <v>0</v>
          </cell>
          <cell r="M34">
            <v>1.0196107500000001E-2</v>
          </cell>
          <cell r="N34">
            <v>1.6113505800543191E-2</v>
          </cell>
          <cell r="O34">
            <v>0.58035856335794711</v>
          </cell>
          <cell r="P34">
            <v>3942864.62</v>
          </cell>
          <cell r="Q34">
            <v>74049928.960000008</v>
          </cell>
          <cell r="R34" t="str">
            <v>OK</v>
          </cell>
          <cell r="S34">
            <v>3972711.02</v>
          </cell>
          <cell r="T34">
            <v>44832</v>
          </cell>
          <cell r="U34" t="str">
            <v>PAGADO</v>
          </cell>
        </row>
        <row r="35">
          <cell r="A35" t="str">
            <v>202210</v>
          </cell>
          <cell r="B35" t="str">
            <v>SERFINANZAS</v>
          </cell>
          <cell r="C35" t="str">
            <v>INVERSIONES RUEDA S.A.S</v>
          </cell>
          <cell r="D35" t="str">
            <v>111000149580</v>
          </cell>
          <cell r="E35">
            <v>44847</v>
          </cell>
          <cell r="F35">
            <v>12</v>
          </cell>
          <cell r="G35">
            <v>24</v>
          </cell>
          <cell r="H35">
            <v>2409024.92</v>
          </cell>
          <cell r="I35">
            <v>1241170.54</v>
          </cell>
          <cell r="J35">
            <v>0</v>
          </cell>
          <cell r="K35">
            <v>320834</v>
          </cell>
          <cell r="L35">
            <v>0</v>
          </cell>
          <cell r="M35">
            <v>1.0196107500000001E-2</v>
          </cell>
          <cell r="N35">
            <v>1.6761265776101562E-2</v>
          </cell>
          <cell r="O35">
            <v>0.64388868753115447</v>
          </cell>
          <cell r="P35">
            <v>3971029.46</v>
          </cell>
          <cell r="Q35">
            <v>71640904.040000007</v>
          </cell>
          <cell r="R35" t="str">
            <v>OK</v>
          </cell>
          <cell r="S35">
            <v>3971029.46</v>
          </cell>
          <cell r="T35">
            <v>44834</v>
          </cell>
          <cell r="U35" t="str">
            <v>PAGADO</v>
          </cell>
        </row>
        <row r="36">
          <cell r="A36" t="str">
            <v>202211</v>
          </cell>
          <cell r="B36" t="str">
            <v>SERFINANZAS</v>
          </cell>
          <cell r="C36" t="str">
            <v>INVERSIONES RUEDA S.A.S</v>
          </cell>
          <cell r="D36" t="str">
            <v>111000149580</v>
          </cell>
          <cell r="E36">
            <v>44878</v>
          </cell>
          <cell r="F36">
            <v>13</v>
          </cell>
          <cell r="G36">
            <v>23</v>
          </cell>
          <cell r="H36">
            <v>2451460.35</v>
          </cell>
          <cell r="I36">
            <v>1195817.9099999999</v>
          </cell>
          <cell r="J36">
            <v>0</v>
          </cell>
          <cell r="K36">
            <v>0</v>
          </cell>
          <cell r="L36">
            <v>0</v>
          </cell>
          <cell r="M36">
            <v>1.0196107500000001E-2</v>
          </cell>
          <cell r="N36">
            <v>1.6691831657126024E-2</v>
          </cell>
          <cell r="O36">
            <v>0.63707882220014089</v>
          </cell>
          <cell r="P36">
            <v>3647278.26</v>
          </cell>
          <cell r="Q36">
            <v>69189443.690000013</v>
          </cell>
          <cell r="R36" t="str">
            <v>OK</v>
          </cell>
          <cell r="S36">
            <v>3647278.26</v>
          </cell>
          <cell r="T36">
            <v>44855</v>
          </cell>
          <cell r="U36" t="str">
            <v>PAGADO</v>
          </cell>
        </row>
        <row r="37">
          <cell r="A37" t="str">
            <v>202212</v>
          </cell>
          <cell r="B37" t="str">
            <v>SERFINANZAS</v>
          </cell>
          <cell r="C37" t="str">
            <v>INVERSIONES RUEDA S.A.S</v>
          </cell>
          <cell r="D37" t="str">
            <v>111000149580</v>
          </cell>
          <cell r="E37">
            <v>44908</v>
          </cell>
          <cell r="F37">
            <v>14</v>
          </cell>
          <cell r="G37">
            <v>22</v>
          </cell>
          <cell r="H37">
            <v>2495736</v>
          </cell>
          <cell r="I37">
            <v>1207404.4099999999</v>
          </cell>
          <cell r="J37">
            <v>0</v>
          </cell>
          <cell r="K37">
            <v>0</v>
          </cell>
          <cell r="L37">
            <v>0</v>
          </cell>
          <cell r="M37">
            <v>1.0196107500000001E-2</v>
          </cell>
          <cell r="N37">
            <v>1.7450702673802634E-2</v>
          </cell>
          <cell r="O37">
            <v>0.71150634433803606</v>
          </cell>
          <cell r="P37">
            <v>3703140.41</v>
          </cell>
          <cell r="Q37">
            <v>66714531.480000012</v>
          </cell>
          <cell r="R37" t="str">
            <v>OK</v>
          </cell>
          <cell r="S37">
            <v>3709881.01</v>
          </cell>
          <cell r="T37">
            <v>44924</v>
          </cell>
          <cell r="U37" t="str">
            <v>PAGADO</v>
          </cell>
        </row>
        <row r="38">
          <cell r="A38" t="str">
            <v>20231</v>
          </cell>
          <cell r="B38" t="str">
            <v>SERFINANZAS</v>
          </cell>
          <cell r="C38" t="str">
            <v>INVERSIONES RUEDA S.A.S</v>
          </cell>
          <cell r="D38" t="str">
            <v>111000149580</v>
          </cell>
          <cell r="E38">
            <v>44939</v>
          </cell>
          <cell r="F38">
            <v>15</v>
          </cell>
          <cell r="G38">
            <v>21</v>
          </cell>
          <cell r="H38">
            <v>2528586.21</v>
          </cell>
          <cell r="I38">
            <v>1192036.33</v>
          </cell>
          <cell r="J38">
            <v>0</v>
          </cell>
          <cell r="K38">
            <v>0</v>
          </cell>
          <cell r="L38">
            <v>0</v>
          </cell>
          <cell r="M38">
            <v>1.0196107500000001E-2</v>
          </cell>
          <cell r="N38">
            <v>1.7867716426328412E-2</v>
          </cell>
          <cell r="O38">
            <v>0.75240565346416854</v>
          </cell>
          <cell r="P38">
            <v>3720622.54</v>
          </cell>
          <cell r="Q38">
            <v>64208187.88493301</v>
          </cell>
          <cell r="R38" t="str">
            <v>OK</v>
          </cell>
          <cell r="S38">
            <v>6897573.5300000003</v>
          </cell>
          <cell r="T38">
            <v>44949</v>
          </cell>
          <cell r="U38" t="str">
            <v>PAGADO</v>
          </cell>
        </row>
        <row r="39">
          <cell r="A39" t="str">
            <v>20232</v>
          </cell>
          <cell r="B39" t="str">
            <v>SERFINANZAS</v>
          </cell>
          <cell r="C39" t="str">
            <v>INVERSIONES RUEDA S.A.S</v>
          </cell>
          <cell r="D39" t="str">
            <v>111000149580</v>
          </cell>
          <cell r="E39">
            <v>44970</v>
          </cell>
          <cell r="F39">
            <v>16</v>
          </cell>
          <cell r="G39">
            <v>20</v>
          </cell>
          <cell r="H39">
            <v>2557542.08</v>
          </cell>
          <cell r="I39">
            <v>1188606.6299999999</v>
          </cell>
          <cell r="J39">
            <v>0</v>
          </cell>
          <cell r="K39">
            <v>0</v>
          </cell>
          <cell r="L39">
            <v>0</v>
          </cell>
          <cell r="M39">
            <v>1.0196107500000001E-2</v>
          </cell>
          <cell r="N39">
            <v>1.8511761025402126E-2</v>
          </cell>
          <cell r="O39">
            <v>0.81557138598255507</v>
          </cell>
          <cell r="P39">
            <v>3746148.71</v>
          </cell>
          <cell r="Q39">
            <v>61670013.726208657</v>
          </cell>
          <cell r="R39" t="str">
            <v>OK</v>
          </cell>
          <cell r="S39">
            <v>3786171.7</v>
          </cell>
          <cell r="T39">
            <v>44995</v>
          </cell>
          <cell r="U39" t="str">
            <v>PAGADO</v>
          </cell>
        </row>
        <row r="40">
          <cell r="A40" t="str">
            <v>20233</v>
          </cell>
          <cell r="B40" t="str">
            <v>SERFINANZAS</v>
          </cell>
          <cell r="C40" t="str">
            <v>INVERSIONES RUEDA S.A.S</v>
          </cell>
          <cell r="D40" t="str">
            <v>111000149580</v>
          </cell>
          <cell r="E40">
            <v>44998</v>
          </cell>
          <cell r="F40">
            <v>17</v>
          </cell>
          <cell r="G40">
            <v>19</v>
          </cell>
          <cell r="H40">
            <v>2628824.91</v>
          </cell>
          <cell r="I40">
            <v>1086344.99</v>
          </cell>
          <cell r="J40">
            <v>0</v>
          </cell>
          <cell r="K40">
            <v>0</v>
          </cell>
          <cell r="L40">
            <v>0</v>
          </cell>
          <cell r="M40">
            <v>1.0196107500000001E-2</v>
          </cell>
          <cell r="N40">
            <v>1.7615449135830543E-2</v>
          </cell>
          <cell r="O40">
            <v>0.7276641243563331</v>
          </cell>
          <cell r="P40">
            <v>3715169.9000000004</v>
          </cell>
          <cell r="Q40">
            <v>59099604.755668506</v>
          </cell>
          <cell r="R40" t="str">
            <v>OK</v>
          </cell>
          <cell r="S40">
            <v>3959097.14</v>
          </cell>
          <cell r="T40">
            <v>45009</v>
          </cell>
          <cell r="U40" t="str">
            <v>PAGADO</v>
          </cell>
        </row>
        <row r="41">
          <cell r="A41" t="str">
            <v>20234</v>
          </cell>
          <cell r="B41" t="str">
            <v>SERFINANZAS</v>
          </cell>
          <cell r="C41" t="str">
            <v>INVERSIONES RUEDA S.A.S</v>
          </cell>
          <cell r="D41" t="str">
            <v>111000149580</v>
          </cell>
          <cell r="E41">
            <v>45029</v>
          </cell>
          <cell r="F41">
            <v>18</v>
          </cell>
          <cell r="G41">
            <v>18</v>
          </cell>
          <cell r="H41">
            <v>2603053.1644660099</v>
          </cell>
          <cell r="I41">
            <v>1055602.112716655</v>
          </cell>
          <cell r="J41">
            <v>0</v>
          </cell>
          <cell r="K41">
            <v>0</v>
          </cell>
          <cell r="L41">
            <v>0</v>
          </cell>
          <cell r="M41">
            <v>1.0196107500000001E-2</v>
          </cell>
          <cell r="N41">
            <v>1.786140731534093E-2</v>
          </cell>
          <cell r="O41">
            <v>0.75178687703527336</v>
          </cell>
          <cell r="P41">
            <v>3658655.2771826647</v>
          </cell>
          <cell r="Q41">
            <v>56496551.591202497</v>
          </cell>
          <cell r="R41" t="str">
            <v>OK</v>
          </cell>
          <cell r="S41">
            <v>3757189.71</v>
          </cell>
          <cell r="T41">
            <v>45045</v>
          </cell>
          <cell r="U41" t="str">
            <v>PAGADO</v>
          </cell>
        </row>
        <row r="42">
          <cell r="A42" t="str">
            <v>20235</v>
          </cell>
          <cell r="B42" t="str">
            <v>SERFINANZAS</v>
          </cell>
          <cell r="C42" t="str">
            <v>INVERSIONES RUEDA S.A.S</v>
          </cell>
          <cell r="D42" t="str">
            <v>111000149580</v>
          </cell>
          <cell r="E42">
            <v>45059</v>
          </cell>
          <cell r="F42">
            <v>19</v>
          </cell>
          <cell r="G42">
            <v>17</v>
          </cell>
          <cell r="H42">
            <v>2636111.9396547284</v>
          </cell>
          <cell r="I42">
            <v>938856.17318926495</v>
          </cell>
          <cell r="J42">
            <v>0</v>
          </cell>
          <cell r="K42">
            <v>0</v>
          </cell>
          <cell r="L42">
            <v>0</v>
          </cell>
          <cell r="M42">
            <v>1.0196107500000001E-2</v>
          </cell>
          <cell r="N42">
            <v>1.7964083475725503E-2</v>
          </cell>
          <cell r="O42">
            <v>0.76185701020958252</v>
          </cell>
          <cell r="P42">
            <v>3574968.1128439931</v>
          </cell>
          <cell r="Q42">
            <v>53860439.651547767</v>
          </cell>
          <cell r="R42" t="str">
            <v>OK</v>
          </cell>
          <cell r="S42">
            <v>3743994.55</v>
          </cell>
          <cell r="T42">
            <v>45079</v>
          </cell>
          <cell r="U42" t="str">
            <v>PAGADO</v>
          </cell>
        </row>
        <row r="43">
          <cell r="A43" t="str">
            <v>20236</v>
          </cell>
          <cell r="B43" t="str">
            <v>SERFINANZAS</v>
          </cell>
          <cell r="C43" t="str">
            <v>INVERSIONES RUEDA S.A.S</v>
          </cell>
          <cell r="D43" t="str">
            <v>111000149580</v>
          </cell>
          <cell r="E43">
            <v>45090</v>
          </cell>
          <cell r="F43">
            <v>20</v>
          </cell>
          <cell r="G43">
            <v>16</v>
          </cell>
          <cell r="H43">
            <v>2669590.5612883433</v>
          </cell>
          <cell r="I43">
            <v>894937.80322715011</v>
          </cell>
          <cell r="J43">
            <v>0</v>
          </cell>
          <cell r="K43">
            <v>0</v>
          </cell>
          <cell r="L43">
            <v>0</v>
          </cell>
          <cell r="M43">
            <v>1.0196107500000001E-2</v>
          </cell>
          <cell r="N43">
            <v>1.7988175238074777E-2</v>
          </cell>
          <cell r="O43">
            <v>0.76421984939593623</v>
          </cell>
          <cell r="P43">
            <v>3564528.3645154936</v>
          </cell>
          <cell r="Q43">
            <v>51190849.090259425</v>
          </cell>
          <cell r="R43" t="str">
            <v>OK</v>
          </cell>
          <cell r="S43">
            <v>3771635.02</v>
          </cell>
          <cell r="T43">
            <v>45119</v>
          </cell>
          <cell r="U43" t="str">
            <v>PAGADO</v>
          </cell>
        </row>
        <row r="44">
          <cell r="A44" t="str">
            <v>20237</v>
          </cell>
          <cell r="B44" t="str">
            <v>SERFINANZAS</v>
          </cell>
          <cell r="C44" t="str">
            <v>INVERSIONES RUEDA S.A.S</v>
          </cell>
          <cell r="D44" t="str">
            <v>111000149580</v>
          </cell>
          <cell r="E44">
            <v>45120</v>
          </cell>
          <cell r="F44">
            <v>21</v>
          </cell>
          <cell r="G44">
            <v>15</v>
          </cell>
          <cell r="H44">
            <v>2827394.66</v>
          </cell>
          <cell r="I44">
            <v>881432</v>
          </cell>
          <cell r="J44">
            <v>0</v>
          </cell>
          <cell r="K44">
            <v>0</v>
          </cell>
          <cell r="L44">
            <v>0</v>
          </cell>
          <cell r="M44">
            <v>1.0196107500000001E-2</v>
          </cell>
          <cell r="N44">
            <v>1.785727879124294E-2</v>
          </cell>
          <cell r="O44">
            <v>0.75138196524928147</v>
          </cell>
          <cell r="P44">
            <v>3708826.66</v>
          </cell>
          <cell r="Q44">
            <v>48487354.72884272</v>
          </cell>
          <cell r="R44" t="str">
            <v>OK</v>
          </cell>
          <cell r="S44">
            <v>4100000</v>
          </cell>
          <cell r="T44">
            <v>45153</v>
          </cell>
          <cell r="U44" t="str">
            <v>PAGADO</v>
          </cell>
        </row>
        <row r="45">
          <cell r="A45" t="str">
            <v>20238</v>
          </cell>
          <cell r="B45" t="str">
            <v>SERFINANZAS</v>
          </cell>
          <cell r="C45" t="str">
            <v>INVERSIONES RUEDA S.A.S</v>
          </cell>
          <cell r="D45" t="str">
            <v>111000149580</v>
          </cell>
          <cell r="E45">
            <v>45151</v>
          </cell>
          <cell r="F45">
            <v>22</v>
          </cell>
          <cell r="G45">
            <v>14</v>
          </cell>
          <cell r="H45">
            <v>2737828.7398066977</v>
          </cell>
          <cell r="I45">
            <v>805769.71830799512</v>
          </cell>
          <cell r="J45">
            <v>0</v>
          </cell>
          <cell r="K45">
            <v>0</v>
          </cell>
          <cell r="L45">
            <v>0</v>
          </cell>
          <cell r="M45">
            <v>1.0196107500000001E-2</v>
          </cell>
          <cell r="N45">
            <v>1.7917736205096037E-2</v>
          </cell>
          <cell r="O45">
            <v>0.7573114254725184</v>
          </cell>
          <cell r="P45">
            <v>3543598.4581146929</v>
          </cell>
          <cell r="Q45">
            <v>45749525.989036024</v>
          </cell>
          <cell r="R45" t="str">
            <v>OK</v>
          </cell>
          <cell r="S45">
            <v>3470503.24</v>
          </cell>
          <cell r="T45">
            <v>45175</v>
          </cell>
          <cell r="U45" t="str">
            <v>PAGADO</v>
          </cell>
        </row>
        <row r="46">
          <cell r="A46" t="str">
            <v>20239</v>
          </cell>
          <cell r="B46" t="str">
            <v>SERFINANZAS</v>
          </cell>
          <cell r="C46" t="str">
            <v>INVERSIONES RUEDA S.A.S</v>
          </cell>
          <cell r="D46" t="str">
            <v>111000149580</v>
          </cell>
          <cell r="E46">
            <v>45182</v>
          </cell>
          <cell r="F46">
            <v>23</v>
          </cell>
          <cell r="G46">
            <v>13</v>
          </cell>
          <cell r="H46">
            <v>2772599.1648022425</v>
          </cell>
          <cell r="I46">
            <v>760275.20029510965</v>
          </cell>
          <cell r="J46">
            <v>0</v>
          </cell>
          <cell r="K46">
            <v>0</v>
          </cell>
          <cell r="L46">
            <v>73095.218114692718</v>
          </cell>
          <cell r="M46">
            <v>1.0196107500000001E-2</v>
          </cell>
          <cell r="N46">
            <v>1.7931818427534815E-2</v>
          </cell>
          <cell r="O46">
            <v>0.75869256258182971</v>
          </cell>
          <cell r="P46">
            <v>3605969.583212045</v>
          </cell>
          <cell r="Q46">
            <v>42976926.824233778</v>
          </cell>
          <cell r="R46" t="str">
            <v>OK</v>
          </cell>
          <cell r="S46">
            <v>3792535.52</v>
          </cell>
          <cell r="T46">
            <v>45212</v>
          </cell>
          <cell r="U46" t="str">
            <v>PAGADO</v>
          </cell>
        </row>
        <row r="47">
          <cell r="A47" t="str">
            <v>202310</v>
          </cell>
          <cell r="B47" t="str">
            <v>SERFINANZAS</v>
          </cell>
          <cell r="C47" t="str">
            <v>INVERSIONES RUEDA S.A.S</v>
          </cell>
          <cell r="D47" t="str">
            <v>111000149580</v>
          </cell>
          <cell r="E47">
            <v>45212</v>
          </cell>
          <cell r="F47">
            <v>24</v>
          </cell>
          <cell r="G47">
            <v>12</v>
          </cell>
          <cell r="H47">
            <v>2807811.1741952309</v>
          </cell>
          <cell r="I47">
            <v>714233.14875605737</v>
          </cell>
          <cell r="J47">
            <v>0</v>
          </cell>
          <cell r="K47">
            <v>0</v>
          </cell>
          <cell r="L47">
            <v>0</v>
          </cell>
          <cell r="M47">
            <v>1.0196107500000001E-2</v>
          </cell>
          <cell r="N47">
            <v>1.7923752165487142E-2</v>
          </cell>
          <cell r="O47">
            <v>0.75790145067489156</v>
          </cell>
          <cell r="P47">
            <v>3522044.3229512884</v>
          </cell>
          <cell r="Q47">
            <v>40169115.650038548</v>
          </cell>
          <cell r="R47" t="str">
            <v>OK</v>
          </cell>
          <cell r="S47">
            <v>3800000</v>
          </cell>
          <cell r="T47">
            <v>45244</v>
          </cell>
          <cell r="U47" t="str">
            <v>PAGADO</v>
          </cell>
        </row>
        <row r="48">
          <cell r="A48" t="str">
            <v>202311</v>
          </cell>
          <cell r="B48" t="str">
            <v>SERFINANZAS</v>
          </cell>
          <cell r="C48" t="str">
            <v>INVERSIONES RUEDA S.A.S</v>
          </cell>
          <cell r="D48" t="str">
            <v>111000149580</v>
          </cell>
          <cell r="E48">
            <v>45243</v>
          </cell>
          <cell r="F48">
            <v>25</v>
          </cell>
          <cell r="G48">
            <v>11</v>
          </cell>
          <cell r="H48">
            <v>2843470.3761075102</v>
          </cell>
          <cell r="I48">
            <v>667548.32626318559</v>
          </cell>
          <cell r="J48">
            <v>0</v>
          </cell>
          <cell r="K48">
            <v>0</v>
          </cell>
          <cell r="L48">
            <v>0</v>
          </cell>
          <cell r="M48">
            <v>1.0196107500000001E-2</v>
          </cell>
          <cell r="N48">
            <v>1.7907646397340233E-2</v>
          </cell>
          <cell r="O48">
            <v>0.75632185099463012</v>
          </cell>
          <cell r="P48">
            <v>3511018.7023706958</v>
          </cell>
          <cell r="Q48">
            <v>37325645.273931041</v>
          </cell>
          <cell r="R48" t="str">
            <v>OK</v>
          </cell>
          <cell r="S48">
            <v>3850000</v>
          </cell>
          <cell r="T48">
            <v>45274</v>
          </cell>
          <cell r="U48" t="str">
            <v>PAGADO</v>
          </cell>
        </row>
        <row r="49">
          <cell r="A49" t="str">
            <v>202312</v>
          </cell>
          <cell r="B49" t="str">
            <v>SERFINANZAS</v>
          </cell>
          <cell r="C49" t="str">
            <v>INVERSIONES RUEDA S.A.S</v>
          </cell>
          <cell r="D49" t="str">
            <v>111000149580</v>
          </cell>
          <cell r="E49">
            <v>45273</v>
          </cell>
          <cell r="F49">
            <v>26</v>
          </cell>
          <cell r="G49">
            <v>10</v>
          </cell>
          <cell r="H49">
            <v>3099151.63</v>
          </cell>
          <cell r="I49">
            <v>602611.88</v>
          </cell>
          <cell r="J49">
            <v>0</v>
          </cell>
          <cell r="K49">
            <v>1950725</v>
          </cell>
          <cell r="L49">
            <v>0</v>
          </cell>
          <cell r="M49">
            <v>1.0196107500000001E-2</v>
          </cell>
          <cell r="N49">
            <v>1.7920238298864556E-2</v>
          </cell>
          <cell r="O49">
            <v>0.75755682243096745</v>
          </cell>
          <cell r="P49">
            <v>5652488.5099999998</v>
          </cell>
          <cell r="Q49">
            <v>34446062.824046969</v>
          </cell>
          <cell r="R49" t="str">
            <v>OK</v>
          </cell>
          <cell r="S49">
            <v>5700000</v>
          </cell>
          <cell r="T49">
            <v>45308</v>
          </cell>
          <cell r="U49" t="str">
            <v>PAGADO</v>
          </cell>
        </row>
        <row r="50">
          <cell r="A50" t="str">
            <v>20241</v>
          </cell>
          <cell r="B50" t="str">
            <v>SERFINANZAS</v>
          </cell>
          <cell r="C50" t="str">
            <v>INVERSIONES RUEDA S.A.S</v>
          </cell>
          <cell r="D50" t="str">
            <v>111000149580</v>
          </cell>
          <cell r="E50">
            <v>45304</v>
          </cell>
          <cell r="F50">
            <v>27</v>
          </cell>
          <cell r="G50">
            <v>9</v>
          </cell>
          <cell r="H50">
            <v>3162000.16</v>
          </cell>
          <cell r="I50">
            <v>529640.57999999996</v>
          </cell>
          <cell r="J50">
            <v>0</v>
          </cell>
          <cell r="K50">
            <v>0</v>
          </cell>
          <cell r="L50">
            <v>0</v>
          </cell>
          <cell r="M50">
            <v>1.0196107500000001E-2</v>
          </cell>
          <cell r="N50">
            <v>1.7920863822306683E-2</v>
          </cell>
          <cell r="O50">
            <v>0.75761817167057943</v>
          </cell>
          <cell r="P50">
            <v>3691640.74</v>
          </cell>
          <cell r="Q50">
            <v>31529909.677049365</v>
          </cell>
          <cell r="R50" t="str">
            <v>OK</v>
          </cell>
          <cell r="S50">
            <v>3757981.74</v>
          </cell>
          <cell r="T50">
            <v>45334</v>
          </cell>
          <cell r="U50" t="str">
            <v>PAGADO</v>
          </cell>
        </row>
        <row r="51">
          <cell r="A51" t="str">
            <v>20242</v>
          </cell>
          <cell r="B51" t="str">
            <v>SERFINANZAS</v>
          </cell>
          <cell r="C51" t="str">
            <v>INVERSIONES RUEDA S.A.S</v>
          </cell>
          <cell r="D51" t="str">
            <v>111000149580</v>
          </cell>
          <cell r="E51">
            <v>45335</v>
          </cell>
          <cell r="F51">
            <v>28</v>
          </cell>
          <cell r="G51">
            <v>8</v>
          </cell>
          <cell r="H51">
            <v>2953188.2919644732</v>
          </cell>
          <cell r="I51">
            <v>523981.47065915162</v>
          </cell>
          <cell r="J51">
            <v>0</v>
          </cell>
          <cell r="K51">
            <v>0</v>
          </cell>
          <cell r="L51">
            <v>0</v>
          </cell>
          <cell r="M51">
            <v>1.0196107500000001E-2</v>
          </cell>
          <cell r="N51">
            <v>1.7918125170999652E-2</v>
          </cell>
          <cell r="O51">
            <v>0.75734957394276692</v>
          </cell>
          <cell r="P51">
            <v>3477169.7626236249</v>
          </cell>
          <cell r="Q51">
            <v>28576721.38508489</v>
          </cell>
          <cell r="R51" t="str">
            <v>OK</v>
          </cell>
          <cell r="S51">
            <v>3760000</v>
          </cell>
          <cell r="T51">
            <v>45365</v>
          </cell>
          <cell r="U51" t="str">
            <v>PAGADO</v>
          </cell>
        </row>
        <row r="52">
          <cell r="A52" t="str">
            <v>20243</v>
          </cell>
          <cell r="B52" t="str">
            <v>SERFINANZAS</v>
          </cell>
          <cell r="C52" t="str">
            <v>INVERSIONES RUEDA S.A.S</v>
          </cell>
          <cell r="D52" t="str">
            <v>111000149580</v>
          </cell>
          <cell r="E52">
            <v>45364</v>
          </cell>
          <cell r="F52">
            <v>29</v>
          </cell>
          <cell r="G52">
            <v>7</v>
          </cell>
          <cell r="H52">
            <v>2990693.7832724219</v>
          </cell>
          <cell r="I52">
            <v>474904.76169341785</v>
          </cell>
          <cell r="J52">
            <v>0</v>
          </cell>
          <cell r="K52">
            <v>0</v>
          </cell>
          <cell r="L52">
            <v>0</v>
          </cell>
          <cell r="M52">
            <v>1.0196107500000001E-2</v>
          </cell>
          <cell r="N52">
            <v>1.7916718422377784E-2</v>
          </cell>
          <cell r="O52">
            <v>0.75721160475973615</v>
          </cell>
          <cell r="P52">
            <v>3465598.5449658399</v>
          </cell>
          <cell r="Q52">
            <v>25586027.601812467</v>
          </cell>
          <cell r="R52" t="str">
            <v>OK</v>
          </cell>
          <cell r="S52">
            <v>3766609.7</v>
          </cell>
          <cell r="T52">
            <v>45394</v>
          </cell>
          <cell r="U52" t="str">
            <v>PAGADO</v>
          </cell>
        </row>
        <row r="53">
          <cell r="A53" t="str">
            <v>20244</v>
          </cell>
          <cell r="B53" t="str">
            <v>SERFINANZAS</v>
          </cell>
          <cell r="C53" t="str">
            <v>INVERSIONES RUEDA S.A.S</v>
          </cell>
          <cell r="D53" t="str">
            <v>111000149580</v>
          </cell>
          <cell r="E53">
            <v>45395</v>
          </cell>
          <cell r="F53">
            <v>30</v>
          </cell>
          <cell r="G53">
            <v>6</v>
          </cell>
          <cell r="H53">
            <v>3028675.5943199815</v>
          </cell>
          <cell r="I53">
            <v>425203.98628818168</v>
          </cell>
          <cell r="J53">
            <v>0</v>
          </cell>
          <cell r="K53">
            <v>0</v>
          </cell>
          <cell r="L53">
            <v>0</v>
          </cell>
          <cell r="M53">
            <v>1.0196107500000001E-2</v>
          </cell>
          <cell r="N53">
            <v>1.7918986428637169E-2</v>
          </cell>
          <cell r="O53">
            <v>0.75743404320101249</v>
          </cell>
          <cell r="P53">
            <v>3453879.580608163</v>
          </cell>
          <cell r="Q53">
            <v>22557352.007492486</v>
          </cell>
          <cell r="R53" t="str">
            <v>OK</v>
          </cell>
          <cell r="S53">
            <v>3748304.78</v>
          </cell>
          <cell r="T53">
            <v>45422</v>
          </cell>
          <cell r="U53" t="str">
            <v>PAGADO</v>
          </cell>
        </row>
        <row r="54">
          <cell r="A54" t="str">
            <v>20245</v>
          </cell>
          <cell r="B54" t="str">
            <v>SERFINANZAS</v>
          </cell>
          <cell r="C54" t="str">
            <v>INVERSIONES RUEDA S.A.S</v>
          </cell>
          <cell r="D54" t="str">
            <v>111000149580</v>
          </cell>
          <cell r="E54">
            <v>45425</v>
          </cell>
          <cell r="F54">
            <v>31</v>
          </cell>
          <cell r="G54">
            <v>5</v>
          </cell>
          <cell r="H54">
            <v>3067139.7743678452</v>
          </cell>
          <cell r="I54">
            <v>374871.17430507374</v>
          </cell>
          <cell r="J54">
            <v>0</v>
          </cell>
          <cell r="K54">
            <v>0</v>
          </cell>
          <cell r="L54">
            <v>0</v>
          </cell>
          <cell r="M54">
            <v>1.0196107500000001E-2</v>
          </cell>
          <cell r="N54">
            <v>1.7918673461080323E-2</v>
          </cell>
          <cell r="O54">
            <v>0.75740334839352386</v>
          </cell>
          <cell r="P54">
            <v>3442010.9486729191</v>
          </cell>
          <cell r="Q54">
            <v>19490212.23312464</v>
          </cell>
          <cell r="R54" t="str">
            <v>OK</v>
          </cell>
          <cell r="S54">
            <v>3750256.49</v>
          </cell>
          <cell r="T54">
            <v>45454</v>
          </cell>
          <cell r="U54" t="str">
            <v>PAGADO</v>
          </cell>
        </row>
        <row r="55">
          <cell r="A55" t="str">
            <v>20246</v>
          </cell>
          <cell r="B55" t="str">
            <v>SERFINANZAS</v>
          </cell>
          <cell r="C55" t="str">
            <v>INVERSIONES RUEDA S.A.S</v>
          </cell>
          <cell r="D55" t="str">
            <v>111000149580</v>
          </cell>
          <cell r="E55">
            <v>45456</v>
          </cell>
          <cell r="F55">
            <v>32</v>
          </cell>
          <cell r="G55">
            <v>4</v>
          </cell>
          <cell r="H55">
            <v>3106092.4495023168</v>
          </cell>
          <cell r="I55">
            <v>323899.84524929617</v>
          </cell>
          <cell r="J55">
            <v>0</v>
          </cell>
          <cell r="K55">
            <v>0</v>
          </cell>
          <cell r="L55">
            <v>0</v>
          </cell>
          <cell r="M55">
            <v>1.0196107500000001E-2</v>
          </cell>
          <cell r="N55">
            <v>1.7918125870773731E-2</v>
          </cell>
          <cell r="O55">
            <v>0.75734964257425985</v>
          </cell>
          <cell r="P55">
            <v>3429992.2947516129</v>
          </cell>
          <cell r="Q55">
            <v>16384119.783622323</v>
          </cell>
          <cell r="R55" t="str">
            <v>OK</v>
          </cell>
          <cell r="S55">
            <v>3688182.26</v>
          </cell>
          <cell r="T55">
            <v>45461</v>
          </cell>
          <cell r="U55" t="str">
            <v>PAGADO</v>
          </cell>
        </row>
        <row r="56">
          <cell r="A56" t="str">
            <v>20247</v>
          </cell>
          <cell r="B56" t="str">
            <v>SERFINANZAS</v>
          </cell>
          <cell r="C56" t="str">
            <v>INVERSIONES RUEDA S.A.S</v>
          </cell>
          <cell r="D56" t="str">
            <v>111000149580</v>
          </cell>
          <cell r="E56">
            <v>45486</v>
          </cell>
          <cell r="F56">
            <v>33</v>
          </cell>
          <cell r="G56">
            <v>3</v>
          </cell>
          <cell r="H56">
            <v>3145539.8236109964</v>
          </cell>
          <cell r="I56">
            <v>272280.97864937974</v>
          </cell>
          <cell r="J56">
            <v>0</v>
          </cell>
          <cell r="K56">
            <v>0</v>
          </cell>
          <cell r="L56">
            <v>0</v>
          </cell>
          <cell r="M56">
            <v>1.0196107500000001E-2</v>
          </cell>
          <cell r="N56">
            <v>1.7918126045717249E-2</v>
          </cell>
          <cell r="O56">
            <v>0.75734965973213275</v>
          </cell>
          <cell r="P56">
            <v>3417820.802260376</v>
          </cell>
          <cell r="Q56">
            <v>13238579.960011326</v>
          </cell>
          <cell r="R56" t="str">
            <v>OK</v>
          </cell>
          <cell r="S56">
            <v>3720293.45</v>
          </cell>
          <cell r="T56">
            <v>45505</v>
          </cell>
          <cell r="U56" t="str">
            <v>PAGADO</v>
          </cell>
        </row>
        <row r="57">
          <cell r="A57" t="str">
            <v>20248</v>
          </cell>
          <cell r="B57" t="str">
            <v>SERFINANZAS</v>
          </cell>
          <cell r="C57" t="str">
            <v>INVERSIONES RUEDA S.A.S</v>
          </cell>
          <cell r="D57" t="str">
            <v>111000149580</v>
          </cell>
          <cell r="E57">
            <v>45517</v>
          </cell>
          <cell r="F57">
            <v>34</v>
          </cell>
          <cell r="G57">
            <v>2</v>
          </cell>
          <cell r="H57">
            <v>3185488.1793708559</v>
          </cell>
          <cell r="I57">
            <v>220006.49376826189</v>
          </cell>
          <cell r="J57">
            <v>0</v>
          </cell>
          <cell r="K57">
            <v>0</v>
          </cell>
          <cell r="L57">
            <v>0</v>
          </cell>
          <cell r="M57">
            <v>1.0196107500000001E-2</v>
          </cell>
          <cell r="N57">
            <v>1.7918477951552117E-2</v>
          </cell>
          <cell r="O57">
            <v>0.75738417347523224</v>
          </cell>
          <cell r="P57">
            <v>3405494.6731391177</v>
          </cell>
          <cell r="Q57">
            <v>10053091.78064047</v>
          </cell>
          <cell r="R57">
            <v>20</v>
          </cell>
          <cell r="U57" t="str">
            <v>PENDIENTE</v>
          </cell>
        </row>
        <row r="58">
          <cell r="A58" t="str">
            <v>20249</v>
          </cell>
          <cell r="B58" t="str">
            <v>SERFINANZAS</v>
          </cell>
          <cell r="C58" t="str">
            <v>INVERSIONES RUEDA S.A.S</v>
          </cell>
          <cell r="D58" t="str">
            <v>111000149580</v>
          </cell>
          <cell r="E58">
            <v>45548</v>
          </cell>
          <cell r="F58">
            <v>35</v>
          </cell>
          <cell r="G58">
            <v>1</v>
          </cell>
          <cell r="H58">
            <v>3225943.8792488659</v>
          </cell>
          <cell r="I58">
            <v>167068.20250611263</v>
          </cell>
          <cell r="J58">
            <v>0</v>
          </cell>
          <cell r="K58">
            <v>0</v>
          </cell>
          <cell r="L58">
            <v>0</v>
          </cell>
          <cell r="M58">
            <v>1.0196107500000001E-2</v>
          </cell>
          <cell r="N58">
            <v>1.7918350832280855E-2</v>
          </cell>
          <cell r="O58">
            <v>0.75737170604378723</v>
          </cell>
          <cell r="P58">
            <v>3393012.0817549787</v>
          </cell>
          <cell r="Q58">
            <v>6827147.901391604</v>
          </cell>
          <cell r="R58">
            <v>20</v>
          </cell>
          <cell r="U58" t="str">
            <v>PENDIENTE</v>
          </cell>
        </row>
        <row r="59">
          <cell r="A59" t="str">
            <v>202410</v>
          </cell>
          <cell r="B59" t="str">
            <v>SERFINANZAS</v>
          </cell>
          <cell r="C59" t="str">
            <v>INVERSIONES RUEDA S.A.S</v>
          </cell>
          <cell r="D59" t="str">
            <v>111000149580</v>
          </cell>
          <cell r="E59">
            <v>45578</v>
          </cell>
          <cell r="F59">
            <v>36</v>
          </cell>
          <cell r="G59">
            <v>0</v>
          </cell>
          <cell r="H59">
            <v>3266913.3665153263</v>
          </cell>
          <cell r="I59">
            <v>113457.56467386302</v>
          </cell>
          <cell r="J59">
            <v>0</v>
          </cell>
          <cell r="K59">
            <v>0</v>
          </cell>
          <cell r="L59">
            <v>0</v>
          </cell>
          <cell r="M59">
            <v>1.0196107500000001E-2</v>
          </cell>
          <cell r="N59">
            <v>1.7918270175080988E-2</v>
          </cell>
          <cell r="O59">
            <v>0.75736379545635302</v>
          </cell>
          <cell r="P59">
            <v>3380370.9311891892</v>
          </cell>
          <cell r="Q59">
            <v>3560234.5348762777</v>
          </cell>
          <cell r="R59">
            <v>-11</v>
          </cell>
          <cell r="U59" t="str">
            <v>PENDIENTE</v>
          </cell>
        </row>
        <row r="60">
          <cell r="A60" t="str">
            <v>20226</v>
          </cell>
          <cell r="B60" t="str">
            <v>SERFINANZAS</v>
          </cell>
          <cell r="C60" t="str">
            <v>LAMAR OPTICAL S.A.S</v>
          </cell>
          <cell r="D60" t="str">
            <v>111000176362</v>
          </cell>
          <cell r="E60">
            <v>44738</v>
          </cell>
          <cell r="F60">
            <v>1</v>
          </cell>
          <cell r="G60">
            <v>35</v>
          </cell>
          <cell r="H60">
            <v>702911.21</v>
          </cell>
          <cell r="I60">
            <v>470435</v>
          </cell>
          <cell r="J60">
            <v>0</v>
          </cell>
          <cell r="K60">
            <v>0</v>
          </cell>
          <cell r="L60">
            <v>0</v>
          </cell>
          <cell r="M60">
            <v>1.4334688333333333E-2</v>
          </cell>
          <cell r="N60">
            <v>1.4334663903955146E-2</v>
          </cell>
          <cell r="O60">
            <v>-1.7042141147172174E-6</v>
          </cell>
          <cell r="P60">
            <v>1173346.21</v>
          </cell>
          <cell r="Q60">
            <v>32115088.789999999</v>
          </cell>
          <cell r="R60" t="str">
            <v>OK</v>
          </cell>
          <cell r="S60">
            <v>1180000</v>
          </cell>
          <cell r="T60">
            <v>44742</v>
          </cell>
          <cell r="U60" t="str">
            <v>PAGADO</v>
          </cell>
        </row>
        <row r="61">
          <cell r="A61" t="str">
            <v>20227</v>
          </cell>
          <cell r="B61" t="str">
            <v>SERFINANZAS</v>
          </cell>
          <cell r="C61" t="str">
            <v>LAMAR OPTICAL S.A.S</v>
          </cell>
          <cell r="D61" t="str">
            <v>111000176362</v>
          </cell>
          <cell r="E61">
            <v>44768</v>
          </cell>
          <cell r="F61">
            <v>2</v>
          </cell>
          <cell r="G61">
            <v>34</v>
          </cell>
          <cell r="H61">
            <v>708571.15</v>
          </cell>
          <cell r="I61">
            <v>466730.34</v>
          </cell>
          <cell r="J61">
            <v>0</v>
          </cell>
          <cell r="K61">
            <v>0</v>
          </cell>
          <cell r="L61">
            <v>0</v>
          </cell>
          <cell r="M61">
            <v>1.4334688333333333E-2</v>
          </cell>
          <cell r="N61">
            <v>1.4533054635219648E-2</v>
          </cell>
          <cell r="O61">
            <v>1.3838201241183734E-2</v>
          </cell>
          <cell r="P61">
            <v>1175301.49</v>
          </cell>
          <cell r="Q61">
            <v>31406517.640000001</v>
          </cell>
          <cell r="R61" t="str">
            <v>OK</v>
          </cell>
          <cell r="S61">
            <v>1250000</v>
          </cell>
          <cell r="T61">
            <v>44786</v>
          </cell>
          <cell r="U61" t="str">
            <v>PAGADO</v>
          </cell>
        </row>
        <row r="62">
          <cell r="A62" t="str">
            <v>20228</v>
          </cell>
          <cell r="B62" t="str">
            <v>SERFINANZAS</v>
          </cell>
          <cell r="C62" t="str">
            <v>LAMAR OPTICAL S.A.S</v>
          </cell>
          <cell r="D62" t="str">
            <v>111000176362</v>
          </cell>
          <cell r="E62">
            <v>44799</v>
          </cell>
          <cell r="F62">
            <v>3</v>
          </cell>
          <cell r="G62">
            <v>33</v>
          </cell>
          <cell r="H62">
            <v>703100</v>
          </cell>
          <cell r="I62">
            <v>500563.23</v>
          </cell>
          <cell r="J62">
            <v>0</v>
          </cell>
          <cell r="K62">
            <v>0</v>
          </cell>
          <cell r="L62">
            <v>0</v>
          </cell>
          <cell r="M62">
            <v>1.4334688333333333E-2</v>
          </cell>
          <cell r="N62">
            <v>1.593819587824892E-2</v>
          </cell>
          <cell r="O62">
            <v>0.11186204454734128</v>
          </cell>
          <cell r="P62">
            <v>1203663.23</v>
          </cell>
          <cell r="Q62">
            <v>30703417.640000001</v>
          </cell>
          <cell r="R62" t="str">
            <v>OK</v>
          </cell>
          <cell r="S62">
            <v>1143954.7</v>
          </cell>
          <cell r="T62">
            <v>44805</v>
          </cell>
          <cell r="U62" t="str">
            <v>PAGADO</v>
          </cell>
        </row>
        <row r="63">
          <cell r="A63" t="str">
            <v>20229</v>
          </cell>
          <cell r="B63" t="str">
            <v>SERFINANZAS</v>
          </cell>
          <cell r="C63" t="str">
            <v>LAMAR OPTICAL S.A.S</v>
          </cell>
          <cell r="D63" t="str">
            <v>111000176362</v>
          </cell>
          <cell r="E63">
            <v>44830</v>
          </cell>
          <cell r="F63">
            <v>4</v>
          </cell>
          <cell r="G63">
            <v>32</v>
          </cell>
          <cell r="H63">
            <v>704532.9</v>
          </cell>
          <cell r="I63">
            <v>513976.46</v>
          </cell>
          <cell r="J63">
            <v>0</v>
          </cell>
          <cell r="K63">
            <v>0</v>
          </cell>
          <cell r="L63">
            <v>59708.530000000028</v>
          </cell>
          <cell r="M63">
            <v>1.4334688333333333E-2</v>
          </cell>
          <cell r="N63">
            <v>1.6740040669948039E-2</v>
          </cell>
          <cell r="O63">
            <v>0.16779941640038265</v>
          </cell>
          <cell r="P63">
            <v>1278217.8900000001</v>
          </cell>
          <cell r="Q63">
            <v>29998884.740000002</v>
          </cell>
          <cell r="R63" t="str">
            <v>OK</v>
          </cell>
          <cell r="S63">
            <v>1220844.5900000001</v>
          </cell>
          <cell r="T63">
            <v>44834</v>
          </cell>
          <cell r="U63" t="str">
            <v>PAGADO</v>
          </cell>
        </row>
        <row r="64">
          <cell r="A64" t="str">
            <v>202210</v>
          </cell>
          <cell r="B64" t="str">
            <v>SERFINANZAS</v>
          </cell>
          <cell r="C64" t="str">
            <v>LAMAR OPTICAL S.A.S</v>
          </cell>
          <cell r="D64" t="str">
            <v>111000176362</v>
          </cell>
          <cell r="E64">
            <v>44860</v>
          </cell>
          <cell r="F64">
            <v>5</v>
          </cell>
          <cell r="G64">
            <v>31</v>
          </cell>
          <cell r="H64">
            <v>712454.68</v>
          </cell>
          <cell r="I64">
            <v>511953.71</v>
          </cell>
          <cell r="J64">
            <v>0</v>
          </cell>
          <cell r="K64">
            <v>0</v>
          </cell>
          <cell r="L64">
            <v>57373.300000000047</v>
          </cell>
          <cell r="M64">
            <v>1.4334688333333333E-2</v>
          </cell>
          <cell r="N64">
            <v>1.7065758091912318E-2</v>
          </cell>
          <cell r="O64">
            <v>0.19052173964802988</v>
          </cell>
          <cell r="P64">
            <v>1281781.6900000002</v>
          </cell>
          <cell r="Q64">
            <v>29286430.060000002</v>
          </cell>
          <cell r="R64" t="str">
            <v>OK</v>
          </cell>
          <cell r="S64">
            <v>1237088.17</v>
          </cell>
          <cell r="T64">
            <v>44877</v>
          </cell>
          <cell r="U64" t="str">
            <v>PAGADO</v>
          </cell>
        </row>
        <row r="65">
          <cell r="A65" t="str">
            <v>202211</v>
          </cell>
          <cell r="B65" t="str">
            <v>SERFINANZAS</v>
          </cell>
          <cell r="C65" t="str">
            <v>LAMAR OPTICAL S.A.S</v>
          </cell>
          <cell r="D65" t="str">
            <v>111000176362</v>
          </cell>
          <cell r="E65">
            <v>44891</v>
          </cell>
          <cell r="F65">
            <v>6</v>
          </cell>
          <cell r="G65">
            <v>30</v>
          </cell>
          <cell r="H65">
            <v>720680.58</v>
          </cell>
          <cell r="I65">
            <v>509704.54</v>
          </cell>
          <cell r="J65">
            <v>0</v>
          </cell>
          <cell r="K65">
            <v>0</v>
          </cell>
          <cell r="L65">
            <v>44693.520000000251</v>
          </cell>
          <cell r="M65">
            <v>1.4334688333333333E-2</v>
          </cell>
          <cell r="N65">
            <v>1.7404119892924907E-2</v>
          </cell>
          <cell r="O65">
            <v>0.21412614548821662</v>
          </cell>
          <cell r="P65">
            <v>1275078.6400000001</v>
          </cell>
          <cell r="Q65">
            <v>28525382.798466966</v>
          </cell>
          <cell r="R65" t="str">
            <v>OK</v>
          </cell>
          <cell r="S65">
            <v>1232324.24</v>
          </cell>
          <cell r="T65">
            <v>44894</v>
          </cell>
          <cell r="U65" t="str">
            <v>PAGADO</v>
          </cell>
        </row>
        <row r="66">
          <cell r="A66" t="str">
            <v>202212</v>
          </cell>
          <cell r="B66" t="str">
            <v>SERFINANZAS</v>
          </cell>
          <cell r="C66" t="str">
            <v>LAMAR OPTICAL S.A.S</v>
          </cell>
          <cell r="D66" t="str">
            <v>111000176362</v>
          </cell>
          <cell r="E66">
            <v>44921</v>
          </cell>
          <cell r="F66">
            <v>7</v>
          </cell>
          <cell r="G66">
            <v>29</v>
          </cell>
          <cell r="H66">
            <v>723900.56</v>
          </cell>
          <cell r="I66">
            <v>520684.19</v>
          </cell>
          <cell r="J66">
            <v>0</v>
          </cell>
          <cell r="K66">
            <v>0</v>
          </cell>
          <cell r="L66">
            <v>42754.40000000014</v>
          </cell>
          <cell r="M66">
            <v>1.4334688333333333E-2</v>
          </cell>
          <cell r="N66">
            <v>1.8253363808600074E-2</v>
          </cell>
          <cell r="O66">
            <v>0.27337012037816022</v>
          </cell>
          <cell r="P66">
            <v>1287339.1500000001</v>
          </cell>
          <cell r="Q66">
            <v>27804702.218466967</v>
          </cell>
          <cell r="R66" t="str">
            <v>OK</v>
          </cell>
          <cell r="S66">
            <v>1263011.6000000001</v>
          </cell>
          <cell r="T66">
            <v>44946</v>
          </cell>
          <cell r="U66" t="str">
            <v>PAGADO</v>
          </cell>
        </row>
        <row r="67">
          <cell r="A67" t="str">
            <v>20231</v>
          </cell>
          <cell r="B67" t="str">
            <v>SERFINANZAS</v>
          </cell>
          <cell r="C67" t="str">
            <v>LAMAR OPTICAL S.A.S</v>
          </cell>
          <cell r="D67" t="str">
            <v>111000176362</v>
          </cell>
          <cell r="E67">
            <v>44952</v>
          </cell>
          <cell r="F67">
            <v>8</v>
          </cell>
          <cell r="G67">
            <v>28</v>
          </cell>
          <cell r="H67">
            <v>728789.74</v>
          </cell>
          <cell r="I67">
            <v>528516.1</v>
          </cell>
          <cell r="J67">
            <v>0</v>
          </cell>
          <cell r="K67">
            <v>0</v>
          </cell>
          <cell r="L67">
            <v>24327.550000000047</v>
          </cell>
          <cell r="M67">
            <v>1.4334688333333333E-2</v>
          </cell>
          <cell r="N67">
            <v>1.9008155377725173E-2</v>
          </cell>
          <cell r="O67">
            <v>0.32602501956909236</v>
          </cell>
          <cell r="P67">
            <v>1281633.3899999999</v>
          </cell>
          <cell r="Q67">
            <v>27012441.17854261</v>
          </cell>
          <cell r="R67" t="str">
            <v>OK</v>
          </cell>
          <cell r="S67">
            <v>1259486.24</v>
          </cell>
          <cell r="T67">
            <v>44952</v>
          </cell>
          <cell r="U67" t="str">
            <v>PAGADO</v>
          </cell>
        </row>
        <row r="68">
          <cell r="A68" t="str">
            <v>20232</v>
          </cell>
          <cell r="B68" t="str">
            <v>SERFINANZAS</v>
          </cell>
          <cell r="C68" t="str">
            <v>LAMAR OPTICAL S.A.S</v>
          </cell>
          <cell r="D68" t="str">
            <v>111000176362</v>
          </cell>
          <cell r="E68">
            <v>44983</v>
          </cell>
          <cell r="F68">
            <v>9</v>
          </cell>
          <cell r="G68">
            <v>27</v>
          </cell>
          <cell r="H68">
            <v>741317.37</v>
          </cell>
          <cell r="I68">
            <v>517986.45</v>
          </cell>
          <cell r="J68">
            <v>0</v>
          </cell>
          <cell r="K68">
            <v>0</v>
          </cell>
          <cell r="L68">
            <v>22147.149999999907</v>
          </cell>
          <cell r="M68">
            <v>1.4334688333333333E-2</v>
          </cell>
          <cell r="N68">
            <v>1.9175847402176434E-2</v>
          </cell>
          <cell r="O68">
            <v>0.33772335723446845</v>
          </cell>
          <cell r="P68">
            <v>1281450.97</v>
          </cell>
          <cell r="Q68">
            <v>26216267.38656202</v>
          </cell>
          <cell r="R68" t="str">
            <v>OK</v>
          </cell>
          <cell r="S68">
            <v>1278767.6000000001</v>
          </cell>
          <cell r="T68">
            <v>45008</v>
          </cell>
          <cell r="U68" t="str">
            <v>PAGADO</v>
          </cell>
        </row>
        <row r="69">
          <cell r="A69" t="str">
            <v>20233</v>
          </cell>
          <cell r="B69" t="str">
            <v>SERFINANZAS</v>
          </cell>
          <cell r="C69" t="str">
            <v>LAMAR OPTICAL S.A.S</v>
          </cell>
          <cell r="D69" t="str">
            <v>111000176362</v>
          </cell>
          <cell r="E69">
            <v>45011</v>
          </cell>
          <cell r="F69">
            <v>10</v>
          </cell>
          <cell r="G69">
            <v>26</v>
          </cell>
          <cell r="H69">
            <v>752227.12</v>
          </cell>
          <cell r="I69">
            <v>512019.4</v>
          </cell>
          <cell r="J69">
            <v>0</v>
          </cell>
          <cell r="K69">
            <v>0</v>
          </cell>
          <cell r="L69">
            <v>2683.3699999998789</v>
          </cell>
          <cell r="M69">
            <v>1.4334688333333333E-2</v>
          </cell>
          <cell r="N69">
            <v>1.9530598786250245E-2</v>
          </cell>
          <cell r="O69">
            <v>0.36247111427142387</v>
          </cell>
          <cell r="P69">
            <v>1266929.8899999999</v>
          </cell>
          <cell r="Q69">
            <v>25408132.860445559</v>
          </cell>
          <cell r="R69" t="str">
            <v>OK</v>
          </cell>
          <cell r="S69">
            <v>1278536.05</v>
          </cell>
          <cell r="T69">
            <v>45029</v>
          </cell>
          <cell r="U69" t="str">
            <v>PAGADO</v>
          </cell>
        </row>
        <row r="70">
          <cell r="A70" t="str">
            <v>20234</v>
          </cell>
          <cell r="B70" t="str">
            <v>SERFINANZAS</v>
          </cell>
          <cell r="C70" t="str">
            <v>LAMAR OPTICAL S.A.S</v>
          </cell>
          <cell r="D70" t="str">
            <v>111000176362</v>
          </cell>
          <cell r="E70">
            <v>45042</v>
          </cell>
          <cell r="F70">
            <v>11</v>
          </cell>
          <cell r="G70">
            <v>25</v>
          </cell>
          <cell r="H70">
            <v>774748.76</v>
          </cell>
          <cell r="I70">
            <v>477633.97</v>
          </cell>
          <cell r="J70">
            <v>0</v>
          </cell>
          <cell r="K70">
            <v>0</v>
          </cell>
          <cell r="L70">
            <v>0</v>
          </cell>
          <cell r="M70">
            <v>1.4334688333333333E-2</v>
          </cell>
          <cell r="N70">
            <v>1.8798467900943749E-2</v>
          </cell>
          <cell r="O70">
            <v>0.31139704357788611</v>
          </cell>
          <cell r="P70">
            <v>1252382.73</v>
          </cell>
          <cell r="Q70">
            <v>24587397.67132315</v>
          </cell>
          <cell r="R70" t="str">
            <v>OK</v>
          </cell>
          <cell r="S70">
            <v>1274157.33</v>
          </cell>
          <cell r="T70">
            <v>45066</v>
          </cell>
          <cell r="U70" t="str">
            <v>PAGADO</v>
          </cell>
        </row>
        <row r="71">
          <cell r="A71" t="str">
            <v>20235</v>
          </cell>
          <cell r="B71" t="str">
            <v>SERFINANZAS</v>
          </cell>
          <cell r="C71" t="str">
            <v>LAMAR OPTICAL S.A.S</v>
          </cell>
          <cell r="D71" t="str">
            <v>111000176362</v>
          </cell>
          <cell r="E71">
            <v>45072</v>
          </cell>
          <cell r="F71">
            <v>12</v>
          </cell>
          <cell r="G71">
            <v>24</v>
          </cell>
          <cell r="H71">
            <v>795099.67</v>
          </cell>
          <cell r="I71">
            <v>448612.53</v>
          </cell>
          <cell r="J71">
            <v>0</v>
          </cell>
          <cell r="K71">
            <v>0</v>
          </cell>
          <cell r="L71">
            <v>0</v>
          </cell>
          <cell r="M71">
            <v>1.4334688333333333E-2</v>
          </cell>
          <cell r="N71">
            <v>1.8245628756524614E-2</v>
          </cell>
          <cell r="O71">
            <v>0.27283051659357871</v>
          </cell>
          <cell r="P71">
            <v>1243712.2000000002</v>
          </cell>
          <cell r="Q71">
            <v>23754208.305943593</v>
          </cell>
          <cell r="R71" t="str">
            <v>OK</v>
          </cell>
          <cell r="S71">
            <v>1255078.52</v>
          </cell>
          <cell r="T71">
            <v>45086</v>
          </cell>
          <cell r="U71" t="str">
            <v>PAGADO</v>
          </cell>
        </row>
        <row r="72">
          <cell r="A72" t="str">
            <v>20236</v>
          </cell>
          <cell r="B72" t="str">
            <v>SERFINANZAS</v>
          </cell>
          <cell r="C72" t="str">
            <v>LAMAR OPTICAL S.A.S</v>
          </cell>
          <cell r="D72" t="str">
            <v>111000176362</v>
          </cell>
          <cell r="E72">
            <v>45103</v>
          </cell>
          <cell r="F72">
            <v>13</v>
          </cell>
          <cell r="G72">
            <v>23</v>
          </cell>
          <cell r="H72">
            <v>819782.4</v>
          </cell>
          <cell r="I72">
            <v>430112.25</v>
          </cell>
          <cell r="J72">
            <v>0</v>
          </cell>
          <cell r="K72">
            <v>0</v>
          </cell>
          <cell r="L72">
            <v>0</v>
          </cell>
          <cell r="M72">
            <v>1.4334688333333333E-2</v>
          </cell>
          <cell r="N72">
            <v>1.8106781100020102E-2</v>
          </cell>
          <cell r="O72">
            <v>0.26314438646812355</v>
          </cell>
          <cell r="P72">
            <v>1249894.6499999999</v>
          </cell>
          <cell r="Q72">
            <v>22910461.836912416</v>
          </cell>
          <cell r="R72" t="str">
            <v>OK</v>
          </cell>
          <cell r="S72">
            <v>1268288.18</v>
          </cell>
          <cell r="T72">
            <v>45133</v>
          </cell>
          <cell r="U72" t="str">
            <v>PAGADO</v>
          </cell>
        </row>
        <row r="73">
          <cell r="A73" t="str">
            <v>20237</v>
          </cell>
          <cell r="B73" t="str">
            <v>SERFINANZAS</v>
          </cell>
          <cell r="C73" t="str">
            <v>LAMAR OPTICAL S.A.S</v>
          </cell>
          <cell r="D73" t="str">
            <v>111000176362</v>
          </cell>
          <cell r="E73">
            <v>45133</v>
          </cell>
          <cell r="F73">
            <v>14</v>
          </cell>
          <cell r="G73">
            <v>22</v>
          </cell>
          <cell r="H73">
            <v>856135.82282441715</v>
          </cell>
          <cell r="I73">
            <v>440556.78200802748</v>
          </cell>
          <cell r="J73">
            <v>0</v>
          </cell>
          <cell r="K73">
            <v>0</v>
          </cell>
          <cell r="L73">
            <v>0</v>
          </cell>
          <cell r="M73">
            <v>1.4334688333333333E-2</v>
          </cell>
          <cell r="N73">
            <v>1.922950244932296E-2</v>
          </cell>
          <cell r="O73">
            <v>0.34146637877067865</v>
          </cell>
          <cell r="P73">
            <v>1296692.6048324446</v>
          </cell>
          <cell r="Q73">
            <v>22054326.014087997</v>
          </cell>
          <cell r="R73" t="str">
            <v>OK</v>
          </cell>
          <cell r="S73">
            <v>1275213.1299999999</v>
          </cell>
          <cell r="T73">
            <v>45163</v>
          </cell>
          <cell r="U73" t="str">
            <v>PAGADO</v>
          </cell>
        </row>
        <row r="74">
          <cell r="A74" t="str">
            <v>20238</v>
          </cell>
          <cell r="B74" t="str">
            <v>SERFINANZAS</v>
          </cell>
          <cell r="C74" t="str">
            <v>LAMAR OPTICAL S.A.S</v>
          </cell>
          <cell r="D74" t="str">
            <v>111000176362</v>
          </cell>
          <cell r="E74">
            <v>45164</v>
          </cell>
          <cell r="F74">
            <v>15</v>
          </cell>
          <cell r="G74">
            <v>21</v>
          </cell>
          <cell r="H74">
            <v>831827.72</v>
          </cell>
          <cell r="I74">
            <v>422561.68</v>
          </cell>
          <cell r="J74">
            <v>0</v>
          </cell>
          <cell r="K74">
            <v>1167828</v>
          </cell>
          <cell r="L74">
            <v>21479.474832444685</v>
          </cell>
          <cell r="M74">
            <v>1.4334688333333333E-2</v>
          </cell>
          <cell r="N74">
            <v>1.9160035982513066E-2</v>
          </cell>
          <cell r="O74">
            <v>0.33662033920605405</v>
          </cell>
          <cell r="P74">
            <v>2443696.8748324448</v>
          </cell>
          <cell r="Q74">
            <v>21185791.681557734</v>
          </cell>
          <cell r="R74" t="str">
            <v>OK</v>
          </cell>
          <cell r="S74">
            <v>2444104.64</v>
          </cell>
          <cell r="T74">
            <v>45191</v>
          </cell>
          <cell r="U74" t="str">
            <v>PAGADO</v>
          </cell>
        </row>
        <row r="75">
          <cell r="A75" t="str">
            <v>20239</v>
          </cell>
          <cell r="B75" t="str">
            <v>SERFINANZAS</v>
          </cell>
          <cell r="C75" t="str">
            <v>LAMAR OPTICAL S.A.S</v>
          </cell>
          <cell r="D75" t="str">
            <v>111000176362</v>
          </cell>
          <cell r="E75">
            <v>45195</v>
          </cell>
          <cell r="F75">
            <v>16</v>
          </cell>
          <cell r="G75">
            <v>20</v>
          </cell>
          <cell r="H75">
            <v>845399.43</v>
          </cell>
          <cell r="I75">
            <v>412005.05</v>
          </cell>
          <cell r="J75">
            <v>0</v>
          </cell>
          <cell r="K75">
            <v>0</v>
          </cell>
          <cell r="L75">
            <v>0</v>
          </cell>
          <cell r="M75">
            <v>1.4334688333333333E-2</v>
          </cell>
          <cell r="N75">
            <v>1.944723407993533E-2</v>
          </cell>
          <cell r="O75">
            <v>0.3566555217467462</v>
          </cell>
          <cell r="P75">
            <v>1257404.48</v>
          </cell>
          <cell r="Q75">
            <v>20304887.766875181</v>
          </cell>
          <cell r="R75" t="str">
            <v>OK</v>
          </cell>
          <cell r="S75">
            <v>1281127.52</v>
          </cell>
          <cell r="T75">
            <v>45225</v>
          </cell>
          <cell r="U75" t="str">
            <v>PAGADO</v>
          </cell>
        </row>
        <row r="76">
          <cell r="A76" t="str">
            <v>202310</v>
          </cell>
          <cell r="B76" t="str">
            <v>SERFINANZAS</v>
          </cell>
          <cell r="C76" t="str">
            <v>LAMAR OPTICAL S.A.S</v>
          </cell>
          <cell r="D76" t="str">
            <v>111000176362</v>
          </cell>
          <cell r="E76">
            <v>45225</v>
          </cell>
          <cell r="F76">
            <v>17</v>
          </cell>
          <cell r="G76">
            <v>19</v>
          </cell>
          <cell r="H76">
            <v>893280.77331998316</v>
          </cell>
          <cell r="I76">
            <v>389840.08792674303</v>
          </cell>
          <cell r="J76">
            <v>0</v>
          </cell>
          <cell r="K76">
            <v>0</v>
          </cell>
          <cell r="L76">
            <v>0</v>
          </cell>
          <cell r="M76">
            <v>1.4334688333333333E-2</v>
          </cell>
          <cell r="N76">
            <v>1.919932246868742E-2</v>
          </cell>
          <cell r="O76">
            <v>0.33936099775828765</v>
          </cell>
          <cell r="P76">
            <v>1283120.8612467262</v>
          </cell>
          <cell r="Q76">
            <v>19411606.993555199</v>
          </cell>
          <cell r="R76" t="str">
            <v>OK</v>
          </cell>
          <cell r="S76">
            <v>1350000</v>
          </cell>
          <cell r="T76">
            <v>45257</v>
          </cell>
          <cell r="U76" t="str">
            <v>PAGADO</v>
          </cell>
        </row>
        <row r="77">
          <cell r="A77" t="str">
            <v>202311</v>
          </cell>
          <cell r="B77" t="str">
            <v>SERFINANZAS</v>
          </cell>
          <cell r="C77" t="str">
            <v>LAMAR OPTICAL S.A.S</v>
          </cell>
          <cell r="D77" t="str">
            <v>111000176362</v>
          </cell>
          <cell r="E77">
            <v>45256</v>
          </cell>
          <cell r="F77">
            <v>18</v>
          </cell>
          <cell r="G77">
            <v>18</v>
          </cell>
          <cell r="H77">
            <v>906099.53118095291</v>
          </cell>
          <cell r="I77">
            <v>372595.31835832313</v>
          </cell>
          <cell r="J77">
            <v>0</v>
          </cell>
          <cell r="K77">
            <v>0</v>
          </cell>
          <cell r="L77">
            <v>0</v>
          </cell>
          <cell r="M77">
            <v>1.4334688333333333E-2</v>
          </cell>
          <cell r="N77">
            <v>1.9194460225885862E-2</v>
          </cell>
          <cell r="O77">
            <v>0.33902180358200051</v>
          </cell>
          <cell r="P77">
            <v>1278694.849539276</v>
          </cell>
          <cell r="Q77">
            <v>18505507.462374248</v>
          </cell>
          <cell r="R77" t="str">
            <v>OK</v>
          </cell>
          <cell r="S77">
            <v>1251000</v>
          </cell>
          <cell r="T77">
            <v>45286</v>
          </cell>
          <cell r="U77" t="str">
            <v>PAGADO</v>
          </cell>
        </row>
        <row r="78">
          <cell r="A78" t="str">
            <v>202312</v>
          </cell>
          <cell r="B78" t="str">
            <v>SERFINANZAS</v>
          </cell>
          <cell r="C78" t="str">
            <v>LAMAR OPTICAL S.A.S</v>
          </cell>
          <cell r="D78" t="str">
            <v>111000176362</v>
          </cell>
          <cell r="E78">
            <v>45286</v>
          </cell>
          <cell r="F78">
            <v>19</v>
          </cell>
          <cell r="G78">
            <v>17</v>
          </cell>
          <cell r="H78">
            <v>919037.41302114213</v>
          </cell>
          <cell r="I78">
            <v>355041.10841454822</v>
          </cell>
          <cell r="J78">
            <v>0</v>
          </cell>
          <cell r="K78">
            <v>0</v>
          </cell>
          <cell r="L78">
            <v>27694.84953927598</v>
          </cell>
          <cell r="M78">
            <v>1.4334688333333333E-2</v>
          </cell>
          <cell r="N78">
            <v>1.918569967002659E-2</v>
          </cell>
          <cell r="O78">
            <v>0.33841065978483131</v>
          </cell>
          <cell r="P78">
            <v>1301773.3709749663</v>
          </cell>
          <cell r="Q78">
            <v>17586470.049353104</v>
          </cell>
          <cell r="R78" t="str">
            <v>OK</v>
          </cell>
          <cell r="S78">
            <v>1219399.19</v>
          </cell>
          <cell r="T78">
            <v>45316</v>
          </cell>
          <cell r="U78" t="str">
            <v>PAGADO</v>
          </cell>
        </row>
        <row r="79">
          <cell r="A79" t="str">
            <v>20241</v>
          </cell>
          <cell r="B79" t="str">
            <v>SERFINANZAS</v>
          </cell>
          <cell r="C79" t="str">
            <v>LAMAR OPTICAL S.A.S</v>
          </cell>
          <cell r="D79" t="str">
            <v>111000176362</v>
          </cell>
          <cell r="E79">
            <v>45317</v>
          </cell>
          <cell r="F79">
            <v>20</v>
          </cell>
          <cell r="G79">
            <v>16</v>
          </cell>
          <cell r="H79">
            <v>917026.04</v>
          </cell>
          <cell r="I79">
            <v>331045</v>
          </cell>
          <cell r="J79">
            <v>0</v>
          </cell>
          <cell r="K79">
            <v>0</v>
          </cell>
          <cell r="L79">
            <v>82374.180974966381</v>
          </cell>
          <cell r="M79">
            <v>1.4334688333333333E-2</v>
          </cell>
          <cell r="N79">
            <v>1.8823845778657387E-2</v>
          </cell>
          <cell r="O79">
            <v>0.31316742582293466</v>
          </cell>
          <cell r="P79">
            <v>1330445.2209749664</v>
          </cell>
          <cell r="Q79">
            <v>16654351.137054166</v>
          </cell>
          <cell r="R79" t="str">
            <v>OK</v>
          </cell>
          <cell r="S79">
            <v>1271634.25</v>
          </cell>
          <cell r="T79">
            <v>45346</v>
          </cell>
          <cell r="U79" t="str">
            <v>PAGADO</v>
          </cell>
        </row>
        <row r="80">
          <cell r="A80" t="str">
            <v>20242</v>
          </cell>
          <cell r="B80" t="str">
            <v>SERFINANZAS</v>
          </cell>
          <cell r="C80" t="str">
            <v>LAMAR OPTICAL S.A.S</v>
          </cell>
          <cell r="D80" t="str">
            <v>111000176362</v>
          </cell>
          <cell r="E80">
            <v>45348</v>
          </cell>
          <cell r="F80">
            <v>21</v>
          </cell>
          <cell r="G80">
            <v>15</v>
          </cell>
          <cell r="H80">
            <v>939268.05</v>
          </cell>
          <cell r="I80">
            <v>301315.96999999997</v>
          </cell>
          <cell r="J80">
            <v>0</v>
          </cell>
          <cell r="K80">
            <v>0</v>
          </cell>
          <cell r="L80">
            <v>58810.970974966418</v>
          </cell>
          <cell r="M80">
            <v>1.4334688333333333E-2</v>
          </cell>
          <cell r="N80">
            <v>1.9100832035814315E-2</v>
          </cell>
          <cell r="O80">
            <v>0.33249022173701359</v>
          </cell>
          <cell r="P80">
            <v>1299394.9909749664</v>
          </cell>
          <cell r="Q80">
            <v>15708969.503518147</v>
          </cell>
          <cell r="R80" t="str">
            <v>OK</v>
          </cell>
          <cell r="S80">
            <v>1265000</v>
          </cell>
          <cell r="T80">
            <v>45378</v>
          </cell>
          <cell r="U80" t="str">
            <v>PAGADO</v>
          </cell>
        </row>
        <row r="81">
          <cell r="A81" t="str">
            <v>20243</v>
          </cell>
          <cell r="B81" t="str">
            <v>SERFINANZAS</v>
          </cell>
          <cell r="C81" t="str">
            <v>LAMAR OPTICAL S.A.S</v>
          </cell>
          <cell r="D81" t="str">
            <v>111000176362</v>
          </cell>
          <cell r="E81">
            <v>45377</v>
          </cell>
          <cell r="F81">
            <v>22</v>
          </cell>
          <cell r="G81">
            <v>14</v>
          </cell>
          <cell r="H81">
            <v>958873.71072897897</v>
          </cell>
          <cell r="I81">
            <v>299667.59214083152</v>
          </cell>
          <cell r="J81">
            <v>0</v>
          </cell>
          <cell r="K81">
            <v>0</v>
          </cell>
          <cell r="L81">
            <v>34394.990974966437</v>
          </cell>
          <cell r="M81">
            <v>1.4334688333333333E-2</v>
          </cell>
          <cell r="N81">
            <v>1.9076209427596039E-2</v>
          </cell>
          <cell r="O81">
            <v>0.33077252773169508</v>
          </cell>
          <cell r="P81">
            <v>1292936.2938447769</v>
          </cell>
          <cell r="Q81">
            <v>14750095.792789169</v>
          </cell>
          <cell r="R81" t="str">
            <v>OK</v>
          </cell>
          <cell r="S81">
            <v>1257801.43</v>
          </cell>
          <cell r="T81">
            <v>45407</v>
          </cell>
          <cell r="U81" t="str">
            <v>PAGADO</v>
          </cell>
        </row>
        <row r="82">
          <cell r="A82" t="str">
            <v>20244</v>
          </cell>
          <cell r="B82" t="str">
            <v>SERFINANZAS</v>
          </cell>
          <cell r="C82" t="str">
            <v>LAMAR OPTICAL S.A.S</v>
          </cell>
          <cell r="D82" t="str">
            <v>111000176362</v>
          </cell>
          <cell r="E82">
            <v>45408</v>
          </cell>
          <cell r="F82">
            <v>23</v>
          </cell>
          <cell r="G82">
            <v>13</v>
          </cell>
          <cell r="H82">
            <v>972540.89704658603</v>
          </cell>
          <cell r="I82">
            <v>280939.86376976222</v>
          </cell>
          <cell r="J82">
            <v>0</v>
          </cell>
          <cell r="K82">
            <v>0</v>
          </cell>
          <cell r="L82">
            <v>35134.863844776992</v>
          </cell>
          <cell r="M82">
            <v>1.4334688333333333E-2</v>
          </cell>
          <cell r="N82">
            <v>1.9046646728023583E-2</v>
          </cell>
          <cell r="O82">
            <v>0.32871020876911872</v>
          </cell>
          <cell r="P82">
            <v>1288615.6246611252</v>
          </cell>
          <cell r="Q82">
            <v>13777554.895742582</v>
          </cell>
          <cell r="R82" t="str">
            <v>OK</v>
          </cell>
          <cell r="S82">
            <v>1400000</v>
          </cell>
          <cell r="T82">
            <v>45439</v>
          </cell>
          <cell r="U82" t="str">
            <v>PAGADO</v>
          </cell>
        </row>
        <row r="83">
          <cell r="A83" t="str">
            <v>20245</v>
          </cell>
          <cell r="B83" t="str">
            <v>SERFINANZAS</v>
          </cell>
          <cell r="C83" t="str">
            <v>LAMAR OPTICAL S.A.S</v>
          </cell>
          <cell r="D83" t="str">
            <v>111000176362</v>
          </cell>
          <cell r="E83">
            <v>45438</v>
          </cell>
          <cell r="F83">
            <v>24</v>
          </cell>
          <cell r="G83">
            <v>12</v>
          </cell>
          <cell r="H83">
            <v>986396.67250406998</v>
          </cell>
          <cell r="I83">
            <v>261937.26848969553</v>
          </cell>
          <cell r="J83">
            <v>0</v>
          </cell>
          <cell r="K83">
            <v>0</v>
          </cell>
          <cell r="L83">
            <v>0</v>
          </cell>
          <cell r="M83">
            <v>1.4334688333333333E-2</v>
          </cell>
          <cell r="N83">
            <v>1.9011883492522832E-2</v>
          </cell>
          <cell r="O83">
            <v>0.32628509601519062</v>
          </cell>
          <cell r="P83">
            <v>1248333.9409937656</v>
          </cell>
          <cell r="Q83">
            <v>12791158.223238513</v>
          </cell>
          <cell r="R83" t="str">
            <v>OK</v>
          </cell>
          <cell r="S83">
            <v>1106711</v>
          </cell>
          <cell r="T83">
            <v>45456</v>
          </cell>
          <cell r="U83" t="str">
            <v>PAGADO</v>
          </cell>
        </row>
        <row r="84">
          <cell r="A84" t="str">
            <v>20246</v>
          </cell>
          <cell r="B84" t="str">
            <v>SERFINANZAS</v>
          </cell>
          <cell r="C84" t="str">
            <v>LAMAR OPTICAL S.A.S</v>
          </cell>
          <cell r="D84" t="str">
            <v>111000176362</v>
          </cell>
          <cell r="E84">
            <v>45469</v>
          </cell>
          <cell r="F84">
            <v>25</v>
          </cell>
          <cell r="G84">
            <v>11</v>
          </cell>
          <cell r="H84">
            <v>1000453.1287373255</v>
          </cell>
          <cell r="I84">
            <v>243785.31491213318</v>
          </cell>
          <cell r="J84">
            <v>0</v>
          </cell>
          <cell r="K84">
            <v>0</v>
          </cell>
          <cell r="L84">
            <v>141622.9409937656</v>
          </cell>
          <cell r="M84">
            <v>1.4334688333333333E-2</v>
          </cell>
          <cell r="N84">
            <v>1.9058892920989192E-2</v>
          </cell>
          <cell r="O84">
            <v>0.32956451356325456</v>
          </cell>
          <cell r="P84">
            <v>1385861.3846432243</v>
          </cell>
          <cell r="Q84">
            <v>11790705.094501188</v>
          </cell>
          <cell r="R84" t="str">
            <v>OK</v>
          </cell>
          <cell r="S84">
            <v>1233974.8600000001</v>
          </cell>
          <cell r="T84">
            <v>45471</v>
          </cell>
          <cell r="U84" t="str">
            <v>PAGADO</v>
          </cell>
        </row>
        <row r="85">
          <cell r="A85" t="str">
            <v>20247</v>
          </cell>
          <cell r="B85" t="str">
            <v>SERFINANZAS</v>
          </cell>
          <cell r="C85" t="str">
            <v>LAMAR OPTICAL S.A.S</v>
          </cell>
          <cell r="D85" t="str">
            <v>111000176362</v>
          </cell>
          <cell r="E85">
            <v>45499</v>
          </cell>
          <cell r="F85">
            <v>26</v>
          </cell>
          <cell r="G85">
            <v>10</v>
          </cell>
          <cell r="H85">
            <v>1014714.932224308</v>
          </cell>
          <cell r="I85">
            <v>224594.16292535307</v>
          </cell>
          <cell r="J85">
            <v>0</v>
          </cell>
          <cell r="K85">
            <v>0</v>
          </cell>
          <cell r="L85">
            <v>151886.5246432242</v>
          </cell>
          <cell r="M85">
            <v>1.4334688333333333E-2</v>
          </cell>
          <cell r="N85">
            <v>1.9048408142282914E-2</v>
          </cell>
          <cell r="O85">
            <v>0.3288330865198148</v>
          </cell>
          <cell r="P85">
            <v>1391195.6197928854</v>
          </cell>
          <cell r="Q85">
            <v>10775990.162276881</v>
          </cell>
          <cell r="R85" t="str">
            <v>OK</v>
          </cell>
          <cell r="S85">
            <v>1916707.6</v>
          </cell>
          <cell r="T85">
            <v>45514</v>
          </cell>
          <cell r="U85" t="str">
            <v>PAGADO</v>
          </cell>
        </row>
        <row r="86">
          <cell r="A86" t="str">
            <v>20248</v>
          </cell>
          <cell r="B86" t="str">
            <v>SERFINANZAS</v>
          </cell>
          <cell r="C86" t="str">
            <v>LAMAR OPTICAL S.A.S</v>
          </cell>
          <cell r="D86" t="str">
            <v>111000176362</v>
          </cell>
          <cell r="E86">
            <v>45530</v>
          </cell>
          <cell r="F86">
            <v>27</v>
          </cell>
          <cell r="G86">
            <v>9</v>
          </cell>
          <cell r="H86">
            <v>1029176.1437887509</v>
          </cell>
          <cell r="I86">
            <v>205190.56215401724</v>
          </cell>
          <cell r="J86">
            <v>0</v>
          </cell>
          <cell r="K86">
            <v>0</v>
          </cell>
          <cell r="L86">
            <v>0</v>
          </cell>
          <cell r="M86">
            <v>1.4334688333333333E-2</v>
          </cell>
          <cell r="N86">
            <v>1.9041457820954628E-2</v>
          </cell>
          <cell r="O86">
            <v>0.32834822621684445</v>
          </cell>
          <cell r="P86">
            <v>1234366.7059427681</v>
          </cell>
          <cell r="Q86">
            <v>9746814.0184881296</v>
          </cell>
          <cell r="R86">
            <v>7</v>
          </cell>
          <cell r="U86" t="str">
            <v>PENDIENTE</v>
          </cell>
        </row>
        <row r="87">
          <cell r="A87" t="str">
            <v>20249</v>
          </cell>
          <cell r="B87" t="str">
            <v>SERFINANZAS</v>
          </cell>
          <cell r="C87" t="str">
            <v>LAMAR OPTICAL S.A.S</v>
          </cell>
          <cell r="D87" t="str">
            <v>111000176362</v>
          </cell>
          <cell r="E87">
            <v>45561</v>
          </cell>
          <cell r="F87">
            <v>28</v>
          </cell>
          <cell r="G87">
            <v>8</v>
          </cell>
          <cell r="H87">
            <v>1043843.0482153675</v>
          </cell>
          <cell r="I87">
            <v>185580.90419369098</v>
          </cell>
          <cell r="J87">
            <v>0</v>
          </cell>
          <cell r="K87">
            <v>0</v>
          </cell>
          <cell r="L87">
            <v>0</v>
          </cell>
          <cell r="M87">
            <v>1.4334688333333333E-2</v>
          </cell>
          <cell r="N87">
            <v>1.9040160594187394E-2</v>
          </cell>
          <cell r="O87">
            <v>0.32825773057877639</v>
          </cell>
          <cell r="P87">
            <v>1229423.9524090583</v>
          </cell>
          <cell r="Q87">
            <v>8702970.9702727627</v>
          </cell>
          <cell r="R87">
            <v>7</v>
          </cell>
          <cell r="U87" t="str">
            <v>PENDIENTE</v>
          </cell>
        </row>
        <row r="88">
          <cell r="A88" t="str">
            <v>202410</v>
          </cell>
          <cell r="B88" t="str">
            <v>SERFINANZAS</v>
          </cell>
          <cell r="C88" t="str">
            <v>LAMAR OPTICAL S.A.S</v>
          </cell>
          <cell r="D88" t="str">
            <v>111000176362</v>
          </cell>
          <cell r="E88">
            <v>45591</v>
          </cell>
          <cell r="F88">
            <v>29</v>
          </cell>
          <cell r="G88">
            <v>7</v>
          </cell>
          <cell r="H88">
            <v>1058719.9645632715</v>
          </cell>
          <cell r="I88">
            <v>165767.48861927181</v>
          </cell>
          <cell r="J88">
            <v>0</v>
          </cell>
          <cell r="K88">
            <v>0</v>
          </cell>
          <cell r="L88">
            <v>0</v>
          </cell>
          <cell r="M88">
            <v>1.4334688333333333E-2</v>
          </cell>
          <cell r="N88">
            <v>1.9047229869603534E-2</v>
          </cell>
          <cell r="O88">
            <v>0.32875088921967266</v>
          </cell>
          <cell r="P88">
            <v>1224487.4531825434</v>
          </cell>
          <cell r="Q88">
            <v>7644251.0057094917</v>
          </cell>
          <cell r="R88">
            <v>-24</v>
          </cell>
          <cell r="U88" t="str">
            <v>PENDIENTE</v>
          </cell>
        </row>
        <row r="89">
          <cell r="A89" t="str">
            <v>202411</v>
          </cell>
          <cell r="B89" t="str">
            <v>SERFINANZAS</v>
          </cell>
          <cell r="C89" t="str">
            <v>LAMAR OPTICAL S.A.S</v>
          </cell>
          <cell r="D89" t="str">
            <v>111000176362</v>
          </cell>
          <cell r="E89">
            <v>45622</v>
          </cell>
          <cell r="F89">
            <v>30</v>
          </cell>
          <cell r="G89">
            <v>6</v>
          </cell>
          <cell r="H89">
            <v>1073809.333984399</v>
          </cell>
          <cell r="I89">
            <v>145579.51726362554</v>
          </cell>
          <cell r="J89">
            <v>0</v>
          </cell>
          <cell r="K89">
            <v>0</v>
          </cell>
          <cell r="L89">
            <v>0</v>
          </cell>
          <cell r="M89">
            <v>1.4334688333333333E-2</v>
          </cell>
          <cell r="N89">
            <v>1.9044314106757117E-2</v>
          </cell>
          <cell r="O89">
            <v>0.32854748313377713</v>
          </cell>
          <cell r="P89">
            <v>1219388.8512480245</v>
          </cell>
          <cell r="Q89">
            <v>6570441.6717250925</v>
          </cell>
          <cell r="R89">
            <v>-54</v>
          </cell>
          <cell r="U89" t="str">
            <v>PENDIENTE</v>
          </cell>
        </row>
        <row r="90">
          <cell r="A90" t="str">
            <v>202412</v>
          </cell>
          <cell r="B90" t="str">
            <v>SERFINANZAS</v>
          </cell>
          <cell r="C90" t="str">
            <v>LAMAR OPTICAL S.A.S</v>
          </cell>
          <cell r="D90" t="str">
            <v>111000176362</v>
          </cell>
          <cell r="E90">
            <v>45652</v>
          </cell>
          <cell r="F90">
            <v>31</v>
          </cell>
          <cell r="G90">
            <v>5</v>
          </cell>
          <cell r="H90">
            <v>1089113.0510275713</v>
          </cell>
          <cell r="I90">
            <v>125122.83011105296</v>
          </cell>
          <cell r="J90">
            <v>0</v>
          </cell>
          <cell r="K90">
            <v>0</v>
          </cell>
          <cell r="L90">
            <v>0</v>
          </cell>
          <cell r="M90">
            <v>1.4334688333333333E-2</v>
          </cell>
          <cell r="N90">
            <v>1.904329059787567E-2</v>
          </cell>
          <cell r="O90">
            <v>0.32847608228726766</v>
          </cell>
          <cell r="P90">
            <v>1214235.8811386242</v>
          </cell>
          <cell r="Q90">
            <v>5481328.6206975207</v>
          </cell>
          <cell r="R90">
            <v>-85</v>
          </cell>
          <cell r="U90" t="str">
            <v>PENDIENTE</v>
          </cell>
        </row>
        <row r="91">
          <cell r="A91" t="str">
            <v>20251</v>
          </cell>
          <cell r="B91" t="str">
            <v>SERFINANZAS</v>
          </cell>
          <cell r="C91" t="str">
            <v>LAMAR OPTICAL S.A.S</v>
          </cell>
          <cell r="D91" t="str">
            <v>111000176362</v>
          </cell>
          <cell r="E91">
            <v>45683</v>
          </cell>
          <cell r="F91">
            <v>32</v>
          </cell>
          <cell r="G91">
            <v>4</v>
          </cell>
          <cell r="H91">
            <v>1104634.9469692395</v>
          </cell>
          <cell r="I91">
            <v>104385.04529954407</v>
          </cell>
          <cell r="J91">
            <v>0</v>
          </cell>
          <cell r="K91">
            <v>0</v>
          </cell>
          <cell r="L91">
            <v>0</v>
          </cell>
          <cell r="M91">
            <v>1.4334688333333333E-2</v>
          </cell>
          <cell r="N91">
            <v>1.9043748792105929E-2</v>
          </cell>
          <cell r="O91">
            <v>0.32850804630487351</v>
          </cell>
          <cell r="P91">
            <v>1209019.9922687835</v>
          </cell>
          <cell r="Q91">
            <v>4376693.6737282816</v>
          </cell>
          <cell r="R91">
            <v>-115</v>
          </cell>
          <cell r="U91" t="str">
            <v>PENDIENTE</v>
          </cell>
        </row>
        <row r="92">
          <cell r="A92" t="str">
            <v>20252</v>
          </cell>
          <cell r="B92" t="str">
            <v>SERFINANZAS</v>
          </cell>
          <cell r="C92" t="str">
            <v>LAMAR OPTICAL S.A.S</v>
          </cell>
          <cell r="D92" t="str">
            <v>111000176362</v>
          </cell>
          <cell r="E92">
            <v>45714</v>
          </cell>
          <cell r="F92">
            <v>33</v>
          </cell>
          <cell r="G92">
            <v>3</v>
          </cell>
          <cell r="H92">
            <v>1120378.2533466527</v>
          </cell>
          <cell r="I92">
            <v>83352.580973263161</v>
          </cell>
          <cell r="J92">
            <v>0</v>
          </cell>
          <cell r="K92">
            <v>0</v>
          </cell>
          <cell r="L92">
            <v>0</v>
          </cell>
          <cell r="M92">
            <v>1.4334688333333333E-2</v>
          </cell>
          <cell r="N92">
            <v>1.9044645841585564E-2</v>
          </cell>
          <cell r="O92">
            <v>0.3285706252363978</v>
          </cell>
          <cell r="P92">
            <v>1203730.8343199159</v>
          </cell>
          <cell r="Q92">
            <v>3256315.4203816289</v>
          </cell>
          <cell r="R92">
            <v>-146</v>
          </cell>
          <cell r="U92" t="str">
            <v>PENDIENTE</v>
          </cell>
        </row>
        <row r="93">
          <cell r="A93" t="str">
            <v>20253</v>
          </cell>
          <cell r="B93" t="str">
            <v>SERFINANZAS</v>
          </cell>
          <cell r="C93" t="str">
            <v>LAMAR OPTICAL S.A.S</v>
          </cell>
          <cell r="D93" t="str">
            <v>111000176362</v>
          </cell>
          <cell r="E93">
            <v>45742</v>
          </cell>
          <cell r="F93">
            <v>34</v>
          </cell>
          <cell r="G93">
            <v>2</v>
          </cell>
          <cell r="H93">
            <v>1136345.9301713752</v>
          </cell>
          <cell r="I93">
            <v>62013.27032709153</v>
          </cell>
          <cell r="J93">
            <v>0</v>
          </cell>
          <cell r="K93">
            <v>0</v>
          </cell>
          <cell r="L93">
            <v>0</v>
          </cell>
          <cell r="M93">
            <v>1.4334688333333333E-2</v>
          </cell>
          <cell r="N93">
            <v>1.904399983458107E-2</v>
          </cell>
          <cell r="O93">
            <v>0.32852555924057891</v>
          </cell>
          <cell r="P93">
            <v>1198359.2004984666</v>
          </cell>
          <cell r="Q93">
            <v>2119969.4902102537</v>
          </cell>
          <cell r="R93">
            <v>-177</v>
          </cell>
          <cell r="U93" t="str">
            <v>PENDIENTE</v>
          </cell>
        </row>
        <row r="94">
          <cell r="A94" t="str">
            <v>20254</v>
          </cell>
          <cell r="B94" t="str">
            <v>SERFINANZAS</v>
          </cell>
          <cell r="C94" t="str">
            <v>LAMAR OPTICAL S.A.S</v>
          </cell>
          <cell r="D94" t="str">
            <v>111000176362</v>
          </cell>
          <cell r="E94">
            <v>45773</v>
          </cell>
          <cell r="F94">
            <v>35</v>
          </cell>
          <cell r="G94">
            <v>1</v>
          </cell>
          <cell r="H94">
            <v>1152541.0662324603</v>
          </cell>
          <cell r="I94">
            <v>40372.532059024779</v>
          </cell>
          <cell r="J94">
            <v>0</v>
          </cell>
          <cell r="K94">
            <v>0</v>
          </cell>
          <cell r="L94">
            <v>0</v>
          </cell>
          <cell r="M94">
            <v>1.4334688333333333E-2</v>
          </cell>
          <cell r="N94">
            <v>1.9043921266537058E-2</v>
          </cell>
          <cell r="O94">
            <v>0.32852007826727947</v>
          </cell>
          <cell r="P94">
            <v>1192913.5982914851</v>
          </cell>
          <cell r="Q94">
            <v>967428.42397779343</v>
          </cell>
          <cell r="R94">
            <v>-205</v>
          </cell>
          <cell r="U94" t="str">
            <v>PENDIENTE</v>
          </cell>
        </row>
        <row r="95">
          <cell r="A95" t="str">
            <v>20255</v>
          </cell>
          <cell r="B95" t="str">
            <v>SERFINANZAS</v>
          </cell>
          <cell r="C95" t="str">
            <v>LAMAR OPTICAL S.A.S</v>
          </cell>
          <cell r="D95" t="str">
            <v>111000176362</v>
          </cell>
          <cell r="E95">
            <v>45803</v>
          </cell>
          <cell r="F95">
            <v>36</v>
          </cell>
          <cell r="G95">
            <v>0</v>
          </cell>
          <cell r="H95">
            <v>880996.56</v>
          </cell>
          <cell r="I95">
            <v>18423.783268940417</v>
          </cell>
          <cell r="J95">
            <v>0</v>
          </cell>
          <cell r="K95">
            <v>0</v>
          </cell>
          <cell r="L95">
            <v>0</v>
          </cell>
          <cell r="M95">
            <v>1.4334688333333333E-2</v>
          </cell>
          <cell r="N95">
            <v>1.9044078933702406E-2</v>
          </cell>
          <cell r="O95">
            <v>0.32853107726228248</v>
          </cell>
          <cell r="P95">
            <v>899420.34326894046</v>
          </cell>
          <cell r="Q95">
            <v>86431.863977793371</v>
          </cell>
          <cell r="R95">
            <v>-236</v>
          </cell>
          <cell r="U95" t="str">
            <v>PENDIENTE</v>
          </cell>
        </row>
        <row r="96">
          <cell r="A96" t="str">
            <v>20226</v>
          </cell>
          <cell r="B96" t="str">
            <v>SERFINANZAS</v>
          </cell>
          <cell r="C96" t="str">
            <v>INVERSIONES RUEDA S.A.S</v>
          </cell>
          <cell r="D96" t="str">
            <v>111000176344</v>
          </cell>
          <cell r="E96">
            <v>44738</v>
          </cell>
          <cell r="F96">
            <v>1</v>
          </cell>
          <cell r="G96">
            <v>35</v>
          </cell>
          <cell r="H96">
            <v>351434.18</v>
          </cell>
          <cell r="I96">
            <v>235203.57</v>
          </cell>
          <cell r="J96">
            <v>0</v>
          </cell>
          <cell r="K96">
            <v>0</v>
          </cell>
          <cell r="L96">
            <v>0</v>
          </cell>
          <cell r="M96">
            <v>1.4334688333333333E-2</v>
          </cell>
          <cell r="N96">
            <v>1.4334688566552902E-2</v>
          </cell>
          <cell r="O96">
            <v>1.6269594560469613E-8</v>
          </cell>
          <cell r="P96">
            <v>586637.75</v>
          </cell>
          <cell r="Q96">
            <v>16056565.82</v>
          </cell>
          <cell r="R96" t="str">
            <v>OK</v>
          </cell>
          <cell r="S96">
            <v>590000</v>
          </cell>
          <cell r="T96">
            <v>44742</v>
          </cell>
          <cell r="U96" t="str">
            <v>PAGADO</v>
          </cell>
        </row>
        <row r="97">
          <cell r="A97" t="str">
            <v>20227</v>
          </cell>
          <cell r="B97" t="str">
            <v>SERFINANZAS</v>
          </cell>
          <cell r="C97" t="str">
            <v>INVERSIONES RUEDA S.A.S</v>
          </cell>
          <cell r="D97" t="str">
            <v>111000176344</v>
          </cell>
          <cell r="E97">
            <v>44768</v>
          </cell>
          <cell r="F97">
            <v>2</v>
          </cell>
          <cell r="G97">
            <v>34</v>
          </cell>
          <cell r="H97">
            <v>354263.98</v>
          </cell>
          <cell r="I97">
            <v>233314.99</v>
          </cell>
          <cell r="J97">
            <v>0</v>
          </cell>
          <cell r="K97">
            <v>0</v>
          </cell>
          <cell r="L97">
            <v>0</v>
          </cell>
          <cell r="M97">
            <v>1.4334688333333333E-2</v>
          </cell>
          <cell r="N97">
            <v>1.4530815157833046E-2</v>
          </cell>
          <cell r="O97">
            <v>1.3681973401796776E-2</v>
          </cell>
          <cell r="P97">
            <v>587578.97</v>
          </cell>
          <cell r="Q97">
            <v>15702301.84</v>
          </cell>
          <cell r="R97" t="str">
            <v>OK</v>
          </cell>
          <cell r="S97">
            <v>610000</v>
          </cell>
          <cell r="T97">
            <v>44786</v>
          </cell>
          <cell r="U97" t="str">
            <v>PAGADO</v>
          </cell>
        </row>
        <row r="98">
          <cell r="A98" t="str">
            <v>20228</v>
          </cell>
          <cell r="B98" t="str">
            <v>SERFINANZAS</v>
          </cell>
          <cell r="C98" t="str">
            <v>INVERSIONES RUEDA S.A.S</v>
          </cell>
          <cell r="D98" t="str">
            <v>111000176344</v>
          </cell>
          <cell r="E98">
            <v>44799</v>
          </cell>
          <cell r="F98">
            <v>3</v>
          </cell>
          <cell r="G98">
            <v>33</v>
          </cell>
          <cell r="H98">
            <v>351528.74</v>
          </cell>
          <cell r="I98">
            <v>250266.36</v>
          </cell>
          <cell r="J98">
            <v>0</v>
          </cell>
          <cell r="K98">
            <v>0</v>
          </cell>
          <cell r="L98">
            <v>0</v>
          </cell>
          <cell r="M98">
            <v>1.4334688333333333E-2</v>
          </cell>
          <cell r="N98">
            <v>1.5938195721245923E-2</v>
          </cell>
          <cell r="O98">
            <v>0.11186203359467917</v>
          </cell>
          <cell r="P98">
            <v>601795.1</v>
          </cell>
          <cell r="Q98">
            <v>15350773.1</v>
          </cell>
          <cell r="R98" t="str">
            <v>OK</v>
          </cell>
          <cell r="S98">
            <v>586868.43999999994</v>
          </cell>
          <cell r="T98">
            <v>44805</v>
          </cell>
          <cell r="U98" t="str">
            <v>PAGADO</v>
          </cell>
        </row>
        <row r="99">
          <cell r="A99" t="str">
            <v>20229</v>
          </cell>
          <cell r="B99" t="str">
            <v>SERFINANZAS</v>
          </cell>
          <cell r="C99" t="str">
            <v>INVERSIONES RUEDA S.A.S</v>
          </cell>
          <cell r="D99" t="str">
            <v>111000176344</v>
          </cell>
          <cell r="E99">
            <v>44830</v>
          </cell>
          <cell r="F99">
            <v>4</v>
          </cell>
          <cell r="G99">
            <v>32</v>
          </cell>
          <cell r="H99">
            <v>352244.98</v>
          </cell>
          <cell r="I99">
            <v>256972.57</v>
          </cell>
          <cell r="J99">
            <v>0</v>
          </cell>
          <cell r="K99">
            <v>0</v>
          </cell>
          <cell r="L99">
            <v>14926.660000000033</v>
          </cell>
          <cell r="M99">
            <v>1.4334688333333333E-2</v>
          </cell>
          <cell r="N99">
            <v>1.6740040929925544E-2</v>
          </cell>
          <cell r="O99">
            <v>0.1677994345366336</v>
          </cell>
          <cell r="P99">
            <v>624144.21000000008</v>
          </cell>
          <cell r="Q99">
            <v>14998528.119999999</v>
          </cell>
          <cell r="R99" t="str">
            <v>OK</v>
          </cell>
          <cell r="S99">
            <v>613392.42000000004</v>
          </cell>
          <cell r="T99">
            <v>44842</v>
          </cell>
          <cell r="U99" t="str">
            <v>PAGADO</v>
          </cell>
        </row>
        <row r="100">
          <cell r="A100" t="str">
            <v>202210</v>
          </cell>
          <cell r="B100" t="str">
            <v>SERFINANZAS</v>
          </cell>
          <cell r="C100" t="str">
            <v>INVERSIONES RUEDA S.A.S</v>
          </cell>
          <cell r="D100" t="str">
            <v>111000176344</v>
          </cell>
          <cell r="E100">
            <v>44860</v>
          </cell>
          <cell r="F100">
            <v>5</v>
          </cell>
          <cell r="G100">
            <v>31</v>
          </cell>
          <cell r="H100">
            <v>356205.62</v>
          </cell>
          <cell r="I100">
            <v>255961.26</v>
          </cell>
          <cell r="J100">
            <v>0</v>
          </cell>
          <cell r="K100">
            <v>0</v>
          </cell>
          <cell r="L100">
            <v>10751.790000000037</v>
          </cell>
          <cell r="M100">
            <v>1.4334688333333333E-2</v>
          </cell>
          <cell r="N100">
            <v>1.706575858324957E-2</v>
          </cell>
          <cell r="O100">
            <v>0.19052177392413272</v>
          </cell>
          <cell r="P100">
            <v>622918.67000000004</v>
          </cell>
          <cell r="Q100">
            <v>14642322.5</v>
          </cell>
          <cell r="R100" t="str">
            <v>OK</v>
          </cell>
          <cell r="S100">
            <v>700000</v>
          </cell>
          <cell r="T100">
            <v>44853</v>
          </cell>
          <cell r="U100" t="str">
            <v>PAGADO</v>
          </cell>
        </row>
        <row r="101">
          <cell r="A101" t="str">
            <v>202211</v>
          </cell>
          <cell r="B101" t="str">
            <v>SERFINANZAS</v>
          </cell>
          <cell r="C101" t="str">
            <v>INVERSIONES RUEDA S.A.S</v>
          </cell>
          <cell r="D101" t="str">
            <v>111000176344</v>
          </cell>
          <cell r="E101">
            <v>44891</v>
          </cell>
          <cell r="F101">
            <v>6</v>
          </cell>
          <cell r="G101">
            <v>30</v>
          </cell>
          <cell r="H101">
            <v>362284.54</v>
          </cell>
          <cell r="I101">
            <v>162049.22</v>
          </cell>
          <cell r="J101">
            <v>0</v>
          </cell>
          <cell r="K101">
            <v>0</v>
          </cell>
          <cell r="L101">
            <v>0</v>
          </cell>
          <cell r="M101">
            <v>1.4334688333333333E-2</v>
          </cell>
          <cell r="N101">
            <v>1.1067180087038787E-2</v>
          </cell>
          <cell r="O101">
            <v>-0.22794414292889842</v>
          </cell>
          <cell r="P101">
            <v>524333.76</v>
          </cell>
          <cell r="Q101">
            <v>14280037.960000001</v>
          </cell>
          <cell r="R101" t="str">
            <v>OK</v>
          </cell>
          <cell r="S101">
            <v>525308.55000000005</v>
          </cell>
          <cell r="T101">
            <v>44894</v>
          </cell>
          <cell r="U101" t="str">
            <v>PAGADO</v>
          </cell>
        </row>
        <row r="102">
          <cell r="A102" t="str">
            <v>202212</v>
          </cell>
          <cell r="B102" t="str">
            <v>SERFINANZAS</v>
          </cell>
          <cell r="C102" t="str">
            <v>INVERSIONES RUEDA S.A.S</v>
          </cell>
          <cell r="D102" t="str">
            <v>111000176344</v>
          </cell>
          <cell r="E102">
            <v>44921</v>
          </cell>
          <cell r="F102">
            <v>7</v>
          </cell>
          <cell r="G102">
            <v>29</v>
          </cell>
          <cell r="H102">
            <v>361878.4</v>
          </cell>
          <cell r="I102">
            <v>260290.39</v>
          </cell>
          <cell r="J102">
            <v>0</v>
          </cell>
          <cell r="K102">
            <v>325.52</v>
          </cell>
          <cell r="L102">
            <v>0</v>
          </cell>
          <cell r="M102">
            <v>1.4334688333333333E-2</v>
          </cell>
          <cell r="N102">
            <v>1.8227569893658743E-2</v>
          </cell>
          <cell r="O102">
            <v>0.27157071502371299</v>
          </cell>
          <cell r="P102">
            <v>622494.31000000006</v>
          </cell>
          <cell r="Q102">
            <v>13918159.560000001</v>
          </cell>
          <cell r="R102" t="str">
            <v>OK</v>
          </cell>
          <cell r="S102">
            <v>622838.35</v>
          </cell>
          <cell r="T102">
            <v>44922</v>
          </cell>
          <cell r="U102" t="str">
            <v>PAGADO</v>
          </cell>
        </row>
        <row r="103">
          <cell r="A103" t="str">
            <v>20231</v>
          </cell>
          <cell r="B103" t="str">
            <v>SERFINANZAS</v>
          </cell>
          <cell r="C103" t="str">
            <v>INVERSIONES RUEDA S.A.S</v>
          </cell>
          <cell r="D103" t="str">
            <v>111000176344</v>
          </cell>
          <cell r="E103">
            <v>44952</v>
          </cell>
          <cell r="F103">
            <v>8</v>
          </cell>
          <cell r="G103">
            <v>28</v>
          </cell>
          <cell r="H103">
            <v>364322.5</v>
          </cell>
          <cell r="I103">
            <v>264205.57</v>
          </cell>
          <cell r="J103">
            <v>0</v>
          </cell>
          <cell r="K103">
            <v>0</v>
          </cell>
          <cell r="L103">
            <v>0</v>
          </cell>
          <cell r="M103">
            <v>1.4334688333333333E-2</v>
          </cell>
          <cell r="N103">
            <v>1.8982795021211842E-2</v>
          </cell>
          <cell r="O103">
            <v>0.32425585961781822</v>
          </cell>
          <cell r="P103">
            <v>628528.07000000007</v>
          </cell>
          <cell r="Q103">
            <v>13553837.060000001</v>
          </cell>
          <cell r="R103" t="str">
            <v>OK</v>
          </cell>
          <cell r="S103">
            <v>628528.06999999995</v>
          </cell>
          <cell r="T103">
            <v>44952</v>
          </cell>
          <cell r="U103" t="str">
            <v>PAGADO</v>
          </cell>
        </row>
        <row r="104">
          <cell r="A104" t="str">
            <v>20232</v>
          </cell>
          <cell r="B104" t="str">
            <v>SERFINANZAS</v>
          </cell>
          <cell r="C104" t="str">
            <v>INVERSIONES RUEDA S.A.S</v>
          </cell>
          <cell r="D104" t="str">
            <v>111000176344</v>
          </cell>
          <cell r="E104">
            <v>44983</v>
          </cell>
          <cell r="F104">
            <v>9</v>
          </cell>
          <cell r="G104">
            <v>27</v>
          </cell>
          <cell r="H104">
            <v>370585.07</v>
          </cell>
          <cell r="I104">
            <v>258941.79</v>
          </cell>
          <cell r="J104">
            <v>0</v>
          </cell>
          <cell r="K104">
            <v>0</v>
          </cell>
          <cell r="L104">
            <v>1.1641532182693481E-10</v>
          </cell>
          <cell r="M104">
            <v>1.4334688333333333E-2</v>
          </cell>
          <cell r="N104">
            <v>1.9104685179091269E-2</v>
          </cell>
          <cell r="O104">
            <v>0.33275902027573001</v>
          </cell>
          <cell r="P104">
            <v>629526.8600000001</v>
          </cell>
          <cell r="Q104">
            <v>13183251.99</v>
          </cell>
          <cell r="R104" t="str">
            <v>OK</v>
          </cell>
          <cell r="S104">
            <v>639256.81999999995</v>
          </cell>
          <cell r="T104">
            <v>45008</v>
          </cell>
          <cell r="U104" t="str">
            <v>PAGADO</v>
          </cell>
        </row>
        <row r="105">
          <cell r="A105" t="str">
            <v>20233</v>
          </cell>
          <cell r="B105" t="str">
            <v>SERFINANZAS</v>
          </cell>
          <cell r="C105" t="str">
            <v>INVERSIONES RUEDA S.A.S</v>
          </cell>
          <cell r="D105" t="str">
            <v>111000176344</v>
          </cell>
          <cell r="E105">
            <v>45011</v>
          </cell>
          <cell r="F105">
            <v>10</v>
          </cell>
          <cell r="G105">
            <v>26</v>
          </cell>
          <cell r="H105">
            <v>376038.87</v>
          </cell>
          <cell r="I105">
            <v>255958.85</v>
          </cell>
          <cell r="J105">
            <v>0</v>
          </cell>
          <cell r="K105">
            <v>0</v>
          </cell>
          <cell r="L105">
            <v>0</v>
          </cell>
          <cell r="M105">
            <v>1.4334688333333333E-2</v>
          </cell>
          <cell r="N105">
            <v>1.9415456079740764E-2</v>
          </cell>
          <cell r="O105">
            <v>0.35443866153635217</v>
          </cell>
          <cell r="P105">
            <v>631997.72</v>
          </cell>
          <cell r="Q105">
            <v>12807213.120000001</v>
          </cell>
          <cell r="R105" t="str">
            <v>OK</v>
          </cell>
          <cell r="S105">
            <v>639141.06999999995</v>
          </cell>
          <cell r="T105">
            <v>45029</v>
          </cell>
          <cell r="U105" t="str">
            <v>PAGADO</v>
          </cell>
        </row>
        <row r="106">
          <cell r="A106" t="str">
            <v>20234</v>
          </cell>
          <cell r="B106" t="str">
            <v>SERFINANZAS</v>
          </cell>
          <cell r="C106" t="str">
            <v>INVERSIONES RUEDA S.A.S</v>
          </cell>
          <cell r="D106" t="str">
            <v>111000176344</v>
          </cell>
          <cell r="E106">
            <v>45042</v>
          </cell>
          <cell r="F106">
            <v>11</v>
          </cell>
          <cell r="G106">
            <v>25</v>
          </cell>
          <cell r="H106">
            <v>387297.45</v>
          </cell>
          <cell r="I106">
            <v>238769.55</v>
          </cell>
          <cell r="J106">
            <v>0</v>
          </cell>
          <cell r="K106">
            <v>0</v>
          </cell>
          <cell r="L106">
            <v>0</v>
          </cell>
          <cell r="M106">
            <v>1.4334688333333333E-2</v>
          </cell>
          <cell r="N106">
            <v>1.8643365091436846E-2</v>
          </cell>
          <cell r="O106">
            <v>0.30057694021043213</v>
          </cell>
          <cell r="P106">
            <v>626067</v>
          </cell>
          <cell r="Q106">
            <v>12419915.670000002</v>
          </cell>
          <cell r="R106" t="str">
            <v>OK</v>
          </cell>
          <cell r="S106">
            <v>634940.06000000006</v>
          </cell>
          <cell r="T106">
            <v>45064</v>
          </cell>
          <cell r="U106" t="str">
            <v>PAGADO</v>
          </cell>
        </row>
        <row r="107">
          <cell r="A107" t="str">
            <v>20235</v>
          </cell>
          <cell r="B107" t="str">
            <v>SERFINANZAS</v>
          </cell>
          <cell r="C107" t="str">
            <v>INVERSIONES RUEDA S.A.S</v>
          </cell>
          <cell r="D107" t="str">
            <v>111000176344</v>
          </cell>
          <cell r="E107">
            <v>45072</v>
          </cell>
          <cell r="F107">
            <v>12</v>
          </cell>
          <cell r="G107">
            <v>24</v>
          </cell>
          <cell r="H107">
            <v>397470.87</v>
          </cell>
          <cell r="I107">
            <v>224261.72</v>
          </cell>
          <cell r="J107">
            <v>0</v>
          </cell>
          <cell r="K107">
            <v>0</v>
          </cell>
          <cell r="L107">
            <v>0</v>
          </cell>
          <cell r="M107">
            <v>1.4334688333333333E-2</v>
          </cell>
          <cell r="N107">
            <v>1.8056621796692117E-2</v>
          </cell>
          <cell r="O107">
            <v>0.25964523098168391</v>
          </cell>
          <cell r="P107">
            <v>621732.59</v>
          </cell>
          <cell r="Q107">
            <v>12022444.800000003</v>
          </cell>
          <cell r="R107" t="str">
            <v>OK</v>
          </cell>
          <cell r="S107">
            <v>621720.31999999995</v>
          </cell>
          <cell r="T107">
            <v>45072</v>
          </cell>
          <cell r="U107" t="str">
            <v>PAGADO</v>
          </cell>
        </row>
        <row r="108">
          <cell r="A108" t="str">
            <v>20236</v>
          </cell>
          <cell r="B108" t="str">
            <v>SERFINANZAS</v>
          </cell>
          <cell r="C108" t="str">
            <v>INVERSIONES RUEDA S.A.S</v>
          </cell>
          <cell r="D108" t="str">
            <v>111000176344</v>
          </cell>
          <cell r="E108">
            <v>45103</v>
          </cell>
          <cell r="F108">
            <v>13</v>
          </cell>
          <cell r="G108">
            <v>23</v>
          </cell>
          <cell r="H108">
            <v>412172.98768318369</v>
          </cell>
          <cell r="I108">
            <v>200119.06859071954</v>
          </cell>
          <cell r="J108">
            <v>0</v>
          </cell>
          <cell r="K108">
            <v>0</v>
          </cell>
          <cell r="L108">
            <v>12.270000000018626</v>
          </cell>
          <cell r="M108">
            <v>1.4334688333333333E-2</v>
          </cell>
          <cell r="N108">
            <v>1.6645455389466168E-2</v>
          </cell>
          <cell r="O108">
            <v>0.16120106711769</v>
          </cell>
          <cell r="P108">
            <v>612304.32627390325</v>
          </cell>
          <cell r="Q108">
            <v>11610271.812316818</v>
          </cell>
          <cell r="R108" t="str">
            <v>OK</v>
          </cell>
          <cell r="S108">
            <v>622961.96</v>
          </cell>
          <cell r="T108">
            <v>45106</v>
          </cell>
          <cell r="U108" t="str">
            <v>PAGADO</v>
          </cell>
        </row>
        <row r="109">
          <cell r="A109" t="str">
            <v>20237</v>
          </cell>
          <cell r="B109" t="str">
            <v>SERFINANZAS</v>
          </cell>
          <cell r="C109" t="str">
            <v>INVERSIONES RUEDA S.A.S</v>
          </cell>
          <cell r="D109" t="str">
            <v>111000176344</v>
          </cell>
          <cell r="E109">
            <v>45133</v>
          </cell>
          <cell r="F109">
            <v>14</v>
          </cell>
          <cell r="G109">
            <v>22</v>
          </cell>
          <cell r="H109">
            <v>409809.8</v>
          </cell>
          <cell r="I109">
            <v>215013.41</v>
          </cell>
          <cell r="J109">
            <v>0</v>
          </cell>
          <cell r="K109">
            <v>0</v>
          </cell>
          <cell r="L109">
            <v>0</v>
          </cell>
          <cell r="M109">
            <v>1.4334688333333333E-2</v>
          </cell>
          <cell r="N109">
            <v>1.8519239986431832E-2</v>
          </cell>
          <cell r="O109">
            <v>0.29191786774797901</v>
          </cell>
          <cell r="P109">
            <v>624823.21</v>
          </cell>
          <cell r="Q109">
            <v>11200462.012316817</v>
          </cell>
          <cell r="R109" t="str">
            <v>OK</v>
          </cell>
          <cell r="S109">
            <v>633781.5</v>
          </cell>
          <cell r="T109">
            <v>45155</v>
          </cell>
          <cell r="U109" t="str">
            <v>PAGADO</v>
          </cell>
        </row>
        <row r="110">
          <cell r="A110" t="str">
            <v>20238</v>
          </cell>
          <cell r="B110" t="str">
            <v>SERFINANZAS</v>
          </cell>
          <cell r="C110" t="str">
            <v>INVERSIONES RUEDA S.A.S</v>
          </cell>
          <cell r="D110" t="str">
            <v>111000176344</v>
          </cell>
          <cell r="E110">
            <v>45164</v>
          </cell>
          <cell r="F110">
            <v>15</v>
          </cell>
          <cell r="G110">
            <v>21</v>
          </cell>
          <cell r="H110">
            <v>415831.26</v>
          </cell>
          <cell r="I110">
            <v>211238.87</v>
          </cell>
          <cell r="J110">
            <v>0</v>
          </cell>
          <cell r="K110">
            <v>565116</v>
          </cell>
          <cell r="L110">
            <v>0</v>
          </cell>
          <cell r="M110">
            <v>1.4334688333333333E-2</v>
          </cell>
          <cell r="N110">
            <v>1.8859835403906271E-2</v>
          </cell>
          <cell r="O110">
            <v>0.31567809256447776</v>
          </cell>
          <cell r="P110">
            <v>1192186.1299999999</v>
          </cell>
          <cell r="Q110">
            <v>10784630.752316818</v>
          </cell>
          <cell r="R110" t="str">
            <v>OK</v>
          </cell>
          <cell r="S110">
            <v>1203127.5900000001</v>
          </cell>
          <cell r="T110">
            <v>45191</v>
          </cell>
          <cell r="U110" t="str">
            <v>PAGADO</v>
          </cell>
        </row>
        <row r="111">
          <cell r="A111" t="str">
            <v>20239</v>
          </cell>
          <cell r="B111" t="str">
            <v>SERFINANZAS</v>
          </cell>
          <cell r="C111" t="str">
            <v>INVERSIONES RUEDA S.A.S</v>
          </cell>
          <cell r="D111" t="str">
            <v>111000176344</v>
          </cell>
          <cell r="E111">
            <v>45195</v>
          </cell>
          <cell r="F111">
            <v>16</v>
          </cell>
          <cell r="G111">
            <v>20</v>
          </cell>
          <cell r="H111">
            <v>422615.77</v>
          </cell>
          <cell r="I111">
            <v>205961.61</v>
          </cell>
          <cell r="J111">
            <v>0</v>
          </cell>
          <cell r="K111">
            <v>0</v>
          </cell>
          <cell r="L111">
            <v>0</v>
          </cell>
          <cell r="M111">
            <v>1.4334688333333333E-2</v>
          </cell>
          <cell r="N111">
            <v>1.9097696966189973E-2</v>
          </cell>
          <cell r="O111">
            <v>0.33227151662453114</v>
          </cell>
          <cell r="P111">
            <v>628577.38</v>
          </cell>
          <cell r="Q111">
            <v>10362014.982316818</v>
          </cell>
          <cell r="R111" t="str">
            <v>OK</v>
          </cell>
          <cell r="S111">
            <v>640436.55000000005</v>
          </cell>
          <cell r="T111">
            <v>45225</v>
          </cell>
          <cell r="U111" t="str">
            <v>PAGADO</v>
          </cell>
        </row>
        <row r="112">
          <cell r="A112" t="str">
            <v>202310</v>
          </cell>
          <cell r="B112" t="str">
            <v>SERFINANZAS</v>
          </cell>
          <cell r="C112" t="str">
            <v>INVERSIONES RUEDA S.A.S</v>
          </cell>
          <cell r="D112" t="str">
            <v>111000176344</v>
          </cell>
          <cell r="E112">
            <v>45225</v>
          </cell>
          <cell r="F112">
            <v>17</v>
          </cell>
          <cell r="G112">
            <v>19</v>
          </cell>
          <cell r="H112">
            <v>438907.91408557771</v>
          </cell>
          <cell r="I112">
            <v>171771.17319832181</v>
          </cell>
          <cell r="J112">
            <v>0</v>
          </cell>
          <cell r="K112">
            <v>0</v>
          </cell>
          <cell r="L112">
            <v>0</v>
          </cell>
          <cell r="M112">
            <v>1.4334688333333333E-2</v>
          </cell>
          <cell r="N112">
            <v>1.6577004906039607E-2</v>
          </cell>
          <cell r="O112">
            <v>0.15642590341445217</v>
          </cell>
          <cell r="P112">
            <v>610679.08728389954</v>
          </cell>
          <cell r="Q112">
            <v>9923107.0682312399</v>
          </cell>
          <cell r="R112" t="str">
            <v>OK</v>
          </cell>
          <cell r="S112">
            <v>680000</v>
          </cell>
          <cell r="T112">
            <v>45257</v>
          </cell>
          <cell r="U112" t="str">
            <v>PAGADO</v>
          </cell>
        </row>
        <row r="113">
          <cell r="A113" t="str">
            <v>202311</v>
          </cell>
          <cell r="B113" t="str">
            <v>SERFINANZAS</v>
          </cell>
          <cell r="C113" t="str">
            <v>INVERSIONES RUEDA S.A.S</v>
          </cell>
          <cell r="D113" t="str">
            <v>111000176344</v>
          </cell>
          <cell r="E113">
            <v>45256</v>
          </cell>
          <cell r="F113">
            <v>18</v>
          </cell>
          <cell r="G113">
            <v>18</v>
          </cell>
          <cell r="H113">
            <v>445858.32814066269</v>
          </cell>
          <cell r="I113">
            <v>164409.44202546094</v>
          </cell>
          <cell r="J113">
            <v>0</v>
          </cell>
          <cell r="K113">
            <v>0</v>
          </cell>
          <cell r="L113">
            <v>0</v>
          </cell>
          <cell r="M113">
            <v>1.4334688333333333E-2</v>
          </cell>
          <cell r="N113">
            <v>1.6568343049710374E-2</v>
          </cell>
          <cell r="O113">
            <v>0.15582164498009954</v>
          </cell>
          <cell r="P113">
            <v>610267.77016612364</v>
          </cell>
          <cell r="Q113">
            <v>9477248.7400905769</v>
          </cell>
          <cell r="R113" t="str">
            <v>OK</v>
          </cell>
          <cell r="S113">
            <v>594451.62</v>
          </cell>
          <cell r="T113">
            <v>45286</v>
          </cell>
          <cell r="U113" t="str">
            <v>PAGADO</v>
          </cell>
        </row>
        <row r="114">
          <cell r="A114" t="str">
            <v>202312</v>
          </cell>
          <cell r="B114" t="str">
            <v>SERFINANZAS</v>
          </cell>
          <cell r="C114" t="str">
            <v>INVERSIONES RUEDA S.A.S</v>
          </cell>
          <cell r="D114" t="str">
            <v>111000176344</v>
          </cell>
          <cell r="E114">
            <v>45286</v>
          </cell>
          <cell r="F114">
            <v>19</v>
          </cell>
          <cell r="G114">
            <v>17</v>
          </cell>
          <cell r="H114">
            <v>452918.80686759978</v>
          </cell>
          <cell r="I114">
            <v>156936.25334510914</v>
          </cell>
          <cell r="J114">
            <v>0</v>
          </cell>
          <cell r="K114">
            <v>0</v>
          </cell>
          <cell r="L114">
            <v>15816.15016612364</v>
          </cell>
          <cell r="M114">
            <v>1.4334688333333333E-2</v>
          </cell>
          <cell r="N114">
            <v>1.6559262888314701E-2</v>
          </cell>
          <cell r="O114">
            <v>0.15518820522999643</v>
          </cell>
          <cell r="P114">
            <v>625671.21037883253</v>
          </cell>
          <cell r="Q114">
            <v>9024329.9332229774</v>
          </cell>
          <cell r="R114" t="str">
            <v>OK</v>
          </cell>
          <cell r="S114">
            <v>635368.59</v>
          </cell>
          <cell r="T114">
            <v>45316</v>
          </cell>
          <cell r="U114" t="str">
            <v>PAGADO</v>
          </cell>
        </row>
        <row r="115">
          <cell r="A115" t="str">
            <v>20241</v>
          </cell>
          <cell r="B115" t="str">
            <v>SERFINANZAS</v>
          </cell>
          <cell r="C115" t="str">
            <v>INVERSIONES RUEDA S.A.S</v>
          </cell>
          <cell r="D115" t="str">
            <v>111000176344</v>
          </cell>
          <cell r="E115">
            <v>45317</v>
          </cell>
          <cell r="F115">
            <v>20</v>
          </cell>
          <cell r="G115">
            <v>16</v>
          </cell>
          <cell r="H115">
            <v>458421.95</v>
          </cell>
          <cell r="I115">
            <v>165489.63</v>
          </cell>
          <cell r="J115">
            <v>0</v>
          </cell>
          <cell r="K115">
            <v>0</v>
          </cell>
          <cell r="L115">
            <v>0</v>
          </cell>
          <cell r="M115">
            <v>1.4334688333333333E-2</v>
          </cell>
          <cell r="N115">
            <v>1.8338162636402693E-2</v>
          </cell>
          <cell r="O115">
            <v>0.27928575843255921</v>
          </cell>
          <cell r="P115">
            <v>623911.58000000007</v>
          </cell>
          <cell r="Q115">
            <v>8565907.9832229782</v>
          </cell>
          <cell r="R115" t="str">
            <v>OK</v>
          </cell>
          <cell r="S115">
            <v>635690.84</v>
          </cell>
          <cell r="T115">
            <v>45346</v>
          </cell>
          <cell r="U115" t="str">
            <v>PAGADO</v>
          </cell>
        </row>
        <row r="116">
          <cell r="A116" t="str">
            <v>20242</v>
          </cell>
          <cell r="B116" t="str">
            <v>SERFINANZAS</v>
          </cell>
          <cell r="C116" t="str">
            <v>INVERSIONES RUEDA S.A.S</v>
          </cell>
          <cell r="D116" t="str">
            <v>111000176344</v>
          </cell>
          <cell r="E116">
            <v>45348</v>
          </cell>
          <cell r="F116">
            <v>21</v>
          </cell>
          <cell r="G116">
            <v>15</v>
          </cell>
          <cell r="H116">
            <v>467376.95774237759</v>
          </cell>
          <cell r="I116">
            <v>141624.04795585407</v>
          </cell>
          <cell r="J116">
            <v>0</v>
          </cell>
          <cell r="K116">
            <v>0</v>
          </cell>
          <cell r="L116">
            <v>0</v>
          </cell>
          <cell r="M116">
            <v>1.4334688333333333E-2</v>
          </cell>
          <cell r="N116">
            <v>1.6533454273993626E-2</v>
          </cell>
          <cell r="O116">
            <v>0.15338777443436746</v>
          </cell>
          <cell r="P116">
            <v>609001.00569823163</v>
          </cell>
          <cell r="Q116">
            <v>8098531.025480601</v>
          </cell>
          <cell r="R116" t="str">
            <v>OK</v>
          </cell>
          <cell r="S116">
            <v>640000</v>
          </cell>
          <cell r="T116">
            <v>45378</v>
          </cell>
          <cell r="U116" t="str">
            <v>PAGADO</v>
          </cell>
        </row>
        <row r="117">
          <cell r="A117" t="str">
            <v>20243</v>
          </cell>
          <cell r="B117" t="str">
            <v>SERFINANZAS</v>
          </cell>
          <cell r="C117" t="str">
            <v>INVERSIONES RUEDA S.A.S</v>
          </cell>
          <cell r="D117" t="str">
            <v>111000176344</v>
          </cell>
          <cell r="E117">
            <v>45377</v>
          </cell>
          <cell r="F117">
            <v>22</v>
          </cell>
          <cell r="G117">
            <v>14</v>
          </cell>
          <cell r="H117">
            <v>474778.19903209858</v>
          </cell>
          <cell r="I117">
            <v>133786.97943815938</v>
          </cell>
          <cell r="J117">
            <v>0</v>
          </cell>
          <cell r="K117">
            <v>0</v>
          </cell>
          <cell r="L117">
            <v>0</v>
          </cell>
          <cell r="M117">
            <v>1.4334688333333333E-2</v>
          </cell>
          <cell r="N117">
            <v>1.6519907007483483E-2</v>
          </cell>
          <cell r="O117">
            <v>0.15244270564772067</v>
          </cell>
          <cell r="P117">
            <v>608565.1784702579</v>
          </cell>
          <cell r="Q117">
            <v>7623752.826448502</v>
          </cell>
          <cell r="R117" t="str">
            <v>OK</v>
          </cell>
          <cell r="S117">
            <v>621150.19999999995</v>
          </cell>
          <cell r="T117">
            <v>45407</v>
          </cell>
          <cell r="U117" t="str">
            <v>PAGADO</v>
          </cell>
        </row>
        <row r="118">
          <cell r="A118" t="str">
            <v>20244</v>
          </cell>
          <cell r="B118" t="str">
            <v>SERFINANZAS</v>
          </cell>
          <cell r="C118" t="str">
            <v>INVERSIONES RUEDA S.A.S</v>
          </cell>
          <cell r="D118" t="str">
            <v>111000176344</v>
          </cell>
          <cell r="E118">
            <v>45408</v>
          </cell>
          <cell r="F118">
            <v>23</v>
          </cell>
          <cell r="G118">
            <v>13</v>
          </cell>
          <cell r="H118">
            <v>482296.64415851119</v>
          </cell>
          <cell r="I118">
            <v>125824.97483707647</v>
          </cell>
          <cell r="J118">
            <v>0</v>
          </cell>
          <cell r="K118">
            <v>0</v>
          </cell>
          <cell r="L118">
            <v>0</v>
          </cell>
          <cell r="M118">
            <v>1.4334688333333333E-2</v>
          </cell>
          <cell r="N118">
            <v>1.6504335555129951E-2</v>
          </cell>
          <cell r="O118">
            <v>0.15135642794209936</v>
          </cell>
          <cell r="P118">
            <v>608121.61899558769</v>
          </cell>
          <cell r="Q118">
            <v>7141456.1822899906</v>
          </cell>
          <cell r="R118" t="str">
            <v>OK</v>
          </cell>
          <cell r="S118">
            <v>700000</v>
          </cell>
          <cell r="T118">
            <v>45439</v>
          </cell>
          <cell r="U118" t="str">
            <v>PAGADO</v>
          </cell>
        </row>
        <row r="119">
          <cell r="A119" t="str">
            <v>20245</v>
          </cell>
          <cell r="B119" t="str">
            <v>SERFINANZAS</v>
          </cell>
          <cell r="C119" t="str">
            <v>INVERSIONES RUEDA S.A.S</v>
          </cell>
          <cell r="D119" t="str">
            <v>111000176344</v>
          </cell>
          <cell r="E119">
            <v>45438</v>
          </cell>
          <cell r="F119">
            <v>24</v>
          </cell>
          <cell r="G119">
            <v>12</v>
          </cell>
          <cell r="H119">
            <v>489934.14912641211</v>
          </cell>
          <cell r="I119">
            <v>117737.27884223957</v>
          </cell>
          <cell r="J119">
            <v>0</v>
          </cell>
          <cell r="K119">
            <v>0</v>
          </cell>
          <cell r="L119">
            <v>0</v>
          </cell>
          <cell r="M119">
            <v>1.4334688333333333E-2</v>
          </cell>
          <cell r="N119">
            <v>1.6486452599711359E-2</v>
          </cell>
          <cell r="O119">
            <v>0.15010889782475401</v>
          </cell>
          <cell r="P119">
            <v>607671.42796865164</v>
          </cell>
          <cell r="Q119">
            <v>6651522.0331635782</v>
          </cell>
          <cell r="R119" t="str">
            <v>OK</v>
          </cell>
          <cell r="S119">
            <v>553106.9</v>
          </cell>
          <cell r="T119">
            <v>45456</v>
          </cell>
          <cell r="U119" t="str">
            <v>PAGADO</v>
          </cell>
        </row>
        <row r="120">
          <cell r="A120" t="str">
            <v>20246</v>
          </cell>
          <cell r="B120" t="str">
            <v>SERFINANZAS</v>
          </cell>
          <cell r="C120" t="str">
            <v>INVERSIONES RUEDA S.A.S</v>
          </cell>
          <cell r="D120" t="str">
            <v>111000176344</v>
          </cell>
          <cell r="E120">
            <v>45469</v>
          </cell>
          <cell r="F120">
            <v>25</v>
          </cell>
          <cell r="G120">
            <v>11</v>
          </cell>
          <cell r="H120">
            <v>497692.59933173325</v>
          </cell>
          <cell r="I120">
            <v>109521.50688676687</v>
          </cell>
          <cell r="J120">
            <v>0</v>
          </cell>
          <cell r="K120">
            <v>0</v>
          </cell>
          <cell r="L120">
            <v>54564.527968651615</v>
          </cell>
          <cell r="M120">
            <v>1.4334688333333333E-2</v>
          </cell>
          <cell r="N120">
            <v>1.646563092487819E-2</v>
          </cell>
          <cell r="O120">
            <v>0.14865636015187333</v>
          </cell>
          <cell r="P120">
            <v>661778.63418715168</v>
          </cell>
          <cell r="Q120">
            <v>6153829.4338318454</v>
          </cell>
          <cell r="R120" t="str">
            <v>OK</v>
          </cell>
          <cell r="S120">
            <v>616861.9</v>
          </cell>
          <cell r="T120">
            <v>45471</v>
          </cell>
          <cell r="U120" t="str">
            <v>PAGADO</v>
          </cell>
        </row>
        <row r="121">
          <cell r="A121" t="str">
            <v>20247</v>
          </cell>
          <cell r="B121" t="str">
            <v>SERFINANZAS</v>
          </cell>
          <cell r="C121" t="str">
            <v>INVERSIONES RUEDA S.A.S</v>
          </cell>
          <cell r="D121" t="str">
            <v>111000176344</v>
          </cell>
          <cell r="E121">
            <v>45499</v>
          </cell>
          <cell r="F121">
            <v>26</v>
          </cell>
          <cell r="G121">
            <v>10</v>
          </cell>
          <cell r="H121">
            <v>505573.91002697079</v>
          </cell>
          <cell r="I121">
            <v>101175.51913470616</v>
          </cell>
          <cell r="J121">
            <v>0</v>
          </cell>
          <cell r="K121">
            <v>0</v>
          </cell>
          <cell r="L121">
            <v>44916.734187151655</v>
          </cell>
          <cell r="M121">
            <v>1.4334688333333333E-2</v>
          </cell>
          <cell r="N121">
            <v>1.6441066529805742E-2</v>
          </cell>
          <cell r="O121">
            <v>0.14694272714491596</v>
          </cell>
          <cell r="P121">
            <v>651666.16334882856</v>
          </cell>
          <cell r="Q121">
            <v>5648255.5238048751</v>
          </cell>
          <cell r="R121" t="str">
            <v>OK</v>
          </cell>
          <cell r="S121">
            <v>958163.74</v>
          </cell>
          <cell r="T121">
            <v>45516</v>
          </cell>
          <cell r="U121" t="str">
            <v>PAGADO</v>
          </cell>
        </row>
        <row r="122">
          <cell r="A122" t="str">
            <v>20248</v>
          </cell>
          <cell r="B122" t="str">
            <v>SERFINANZAS</v>
          </cell>
          <cell r="C122" t="str">
            <v>INVERSIONES RUEDA S.A.S</v>
          </cell>
          <cell r="D122" t="str">
            <v>111000176344</v>
          </cell>
          <cell r="E122">
            <v>45530</v>
          </cell>
          <cell r="F122">
            <v>27</v>
          </cell>
          <cell r="G122">
            <v>9</v>
          </cell>
          <cell r="H122">
            <v>513580.02679398487</v>
          </cell>
          <cell r="I122">
            <v>92697.437542889587</v>
          </cell>
          <cell r="J122">
            <v>0</v>
          </cell>
          <cell r="K122">
            <v>0</v>
          </cell>
          <cell r="L122">
            <v>0</v>
          </cell>
          <cell r="M122">
            <v>1.4334688333333333E-2</v>
          </cell>
          <cell r="N122">
            <v>1.6411693336502088E-2</v>
          </cell>
          <cell r="O122">
            <v>0.14489362830016805</v>
          </cell>
          <cell r="P122">
            <v>606277.46433687443</v>
          </cell>
          <cell r="Q122">
            <v>5134675.4970108904</v>
          </cell>
          <cell r="R122">
            <v>7</v>
          </cell>
          <cell r="U122" t="str">
            <v>PENDIENTE</v>
          </cell>
        </row>
        <row r="123">
          <cell r="A123" t="str">
            <v>20249</v>
          </cell>
          <cell r="B123" t="str">
            <v>SERFINANZAS</v>
          </cell>
          <cell r="C123" t="str">
            <v>INVERSIONES RUEDA S.A.S</v>
          </cell>
          <cell r="D123" t="str">
            <v>111000176344</v>
          </cell>
          <cell r="E123">
            <v>45561</v>
          </cell>
          <cell r="F123">
            <v>28</v>
          </cell>
          <cell r="G123">
            <v>8</v>
          </cell>
          <cell r="H123">
            <v>521712.92602428637</v>
          </cell>
          <cell r="I123">
            <v>84085.088181936124</v>
          </cell>
          <cell r="J123">
            <v>0</v>
          </cell>
          <cell r="K123">
            <v>0</v>
          </cell>
          <cell r="L123">
            <v>0</v>
          </cell>
          <cell r="M123">
            <v>1.4334688333333333E-2</v>
          </cell>
          <cell r="N123">
            <v>1.6375930325272858E-2</v>
          </cell>
          <cell r="O123">
            <v>0.14239877034458415</v>
          </cell>
          <cell r="P123">
            <v>605798.01420622249</v>
          </cell>
          <cell r="Q123">
            <v>4612962.5709866043</v>
          </cell>
          <cell r="R123">
            <v>7</v>
          </cell>
          <cell r="U123" t="str">
            <v>PENDIENTE</v>
          </cell>
        </row>
        <row r="124">
          <cell r="A124" t="str">
            <v>202410</v>
          </cell>
          <cell r="B124" t="str">
            <v>SERFINANZAS</v>
          </cell>
          <cell r="C124" t="str">
            <v>INVERSIONES RUEDA S.A.S</v>
          </cell>
          <cell r="D124" t="str">
            <v>111000176344</v>
          </cell>
          <cell r="E124">
            <v>45591</v>
          </cell>
          <cell r="F124">
            <v>29</v>
          </cell>
          <cell r="G124">
            <v>7</v>
          </cell>
          <cell r="H124">
            <v>529974.61540692917</v>
          </cell>
          <cell r="I124">
            <v>75336.343494719651</v>
          </cell>
          <cell r="J124">
            <v>0</v>
          </cell>
          <cell r="K124">
            <v>0</v>
          </cell>
          <cell r="L124">
            <v>0</v>
          </cell>
          <cell r="M124">
            <v>1.4334688333333333E-2</v>
          </cell>
          <cell r="N124">
            <v>1.6331444778795806E-2</v>
          </cell>
          <cell r="O124">
            <v>0.1392954209418904</v>
          </cell>
          <cell r="P124">
            <v>605310.95890164888</v>
          </cell>
          <cell r="Q124">
            <v>4082987.9555796753</v>
          </cell>
          <cell r="R124">
            <v>-24</v>
          </cell>
          <cell r="U124" t="str">
            <v>PENDIENTE</v>
          </cell>
        </row>
        <row r="125">
          <cell r="A125" t="str">
            <v>202411</v>
          </cell>
          <cell r="B125" t="str">
            <v>SERFINANZAS</v>
          </cell>
          <cell r="C125" t="str">
            <v>INVERSIONES RUEDA S.A.S</v>
          </cell>
          <cell r="D125" t="str">
            <v>111000176344</v>
          </cell>
          <cell r="E125">
            <v>45622</v>
          </cell>
          <cell r="F125">
            <v>30</v>
          </cell>
          <cell r="G125">
            <v>6</v>
          </cell>
          <cell r="H125">
            <v>538367.13442412869</v>
          </cell>
          <cell r="I125">
            <v>66449.067131486532</v>
          </cell>
          <cell r="J125">
            <v>0</v>
          </cell>
          <cell r="K125">
            <v>0</v>
          </cell>
          <cell r="L125">
            <v>0</v>
          </cell>
          <cell r="M125">
            <v>1.4334688333333333E-2</v>
          </cell>
          <cell r="N125">
            <v>1.627461747485183E-2</v>
          </cell>
          <cell r="O125">
            <v>0.13533110008450344</v>
          </cell>
          <cell r="P125">
            <v>604816.20155561517</v>
          </cell>
          <cell r="Q125">
            <v>3544620.8211555467</v>
          </cell>
          <cell r="R125">
            <v>-54</v>
          </cell>
          <cell r="U125" t="str">
            <v>PENDIENTE</v>
          </cell>
        </row>
        <row r="126">
          <cell r="A126" t="str">
            <v>202412</v>
          </cell>
          <cell r="B126" t="str">
            <v>SERFINANZAS</v>
          </cell>
          <cell r="C126" t="str">
            <v>INVERSIONES RUEDA S.A.S</v>
          </cell>
          <cell r="D126" t="str">
            <v>111000176344</v>
          </cell>
          <cell r="E126">
            <v>45652</v>
          </cell>
          <cell r="F126">
            <v>31</v>
          </cell>
          <cell r="G126">
            <v>5</v>
          </cell>
          <cell r="H126">
            <v>546892.55485472886</v>
          </cell>
          <cell r="I126">
            <v>57421.051456614266</v>
          </cell>
          <cell r="J126">
            <v>0</v>
          </cell>
          <cell r="K126">
            <v>0</v>
          </cell>
          <cell r="L126">
            <v>0</v>
          </cell>
          <cell r="M126">
            <v>1.4334688333333333E-2</v>
          </cell>
          <cell r="N126">
            <v>1.6199490538989444E-2</v>
          </cell>
          <cell r="O126">
            <v>0.13009018140420747</v>
          </cell>
          <cell r="P126">
            <v>604313.60631134314</v>
          </cell>
          <cell r="Q126">
            <v>2997728.266300818</v>
          </cell>
          <cell r="R126">
            <v>-85</v>
          </cell>
          <cell r="U126" t="str">
            <v>PENDIENTE</v>
          </cell>
        </row>
        <row r="127">
          <cell r="A127" t="str">
            <v>20251</v>
          </cell>
          <cell r="B127" t="str">
            <v>SERFINANZAS</v>
          </cell>
          <cell r="C127" t="str">
            <v>INVERSIONES RUEDA S.A.S</v>
          </cell>
          <cell r="D127" t="str">
            <v>111000176344</v>
          </cell>
          <cell r="E127">
            <v>45683</v>
          </cell>
          <cell r="F127">
            <v>32</v>
          </cell>
          <cell r="G127">
            <v>4</v>
          </cell>
          <cell r="H127">
            <v>555552.9812856419</v>
          </cell>
          <cell r="I127">
            <v>48250.069853463989</v>
          </cell>
          <cell r="J127">
            <v>0</v>
          </cell>
          <cell r="K127">
            <v>0</v>
          </cell>
          <cell r="L127">
            <v>0</v>
          </cell>
          <cell r="M127">
            <v>1.4334688333333333E-2</v>
          </cell>
          <cell r="N127">
            <v>1.6095544881726168E-2</v>
          </cell>
          <cell r="O127">
            <v>0.12283884430875314</v>
          </cell>
          <cell r="P127">
            <v>603803.05113910593</v>
          </cell>
          <cell r="Q127">
            <v>2442175.2850151761</v>
          </cell>
          <cell r="R127">
            <v>-115</v>
          </cell>
          <cell r="U127" t="str">
            <v>PENDIENTE</v>
          </cell>
        </row>
        <row r="128">
          <cell r="A128" t="str">
            <v>20252</v>
          </cell>
          <cell r="B128" t="str">
            <v>SERFINANZAS</v>
          </cell>
          <cell r="C128" t="str">
            <v>INVERSIONES RUEDA S.A.S</v>
          </cell>
          <cell r="D128" t="str">
            <v>111000176344</v>
          </cell>
          <cell r="E128">
            <v>45714</v>
          </cell>
          <cell r="F128">
            <v>33</v>
          </cell>
          <cell r="G128">
            <v>3</v>
          </cell>
          <cell r="H128">
            <v>564350.55163138697</v>
          </cell>
          <cell r="I128">
            <v>38933.860656747769</v>
          </cell>
          <cell r="J128">
            <v>0</v>
          </cell>
          <cell r="K128">
            <v>0</v>
          </cell>
          <cell r="L128">
            <v>0</v>
          </cell>
          <cell r="M128">
            <v>1.4334688333333333E-2</v>
          </cell>
          <cell r="N128">
            <v>1.5942287556360159E-2</v>
          </cell>
          <cell r="O128">
            <v>0.11214748347814285</v>
          </cell>
          <cell r="P128">
            <v>603284.41228813468</v>
          </cell>
          <cell r="Q128">
            <v>1877824.7333837892</v>
          </cell>
          <cell r="R128">
            <v>-146</v>
          </cell>
          <cell r="U128" t="str">
            <v>PENDIENTE</v>
          </cell>
        </row>
        <row r="129">
          <cell r="A129" t="str">
            <v>20253</v>
          </cell>
          <cell r="B129" t="str">
            <v>SERFINANZAS</v>
          </cell>
          <cell r="C129" t="str">
            <v>INVERSIONES RUEDA S.A.S</v>
          </cell>
          <cell r="D129" t="str">
            <v>111000176344</v>
          </cell>
          <cell r="E129">
            <v>45742</v>
          </cell>
          <cell r="F129">
            <v>34</v>
          </cell>
          <cell r="G129">
            <v>2</v>
          </cell>
          <cell r="H129">
            <v>573287.43766185618</v>
          </cell>
          <cell r="I129">
            <v>29470.122255204245</v>
          </cell>
          <cell r="J129">
            <v>0</v>
          </cell>
          <cell r="K129">
            <v>0</v>
          </cell>
          <cell r="L129">
            <v>0</v>
          </cell>
          <cell r="M129">
            <v>1.4334688333333333E-2</v>
          </cell>
          <cell r="N129">
            <v>1.5693755509386589E-2</v>
          </cell>
          <cell r="O129">
            <v>9.4809677367936329E-2</v>
          </cell>
          <cell r="P129">
            <v>602757.55991706043</v>
          </cell>
          <cell r="Q129">
            <v>1304537.295721933</v>
          </cell>
          <cell r="R129">
            <v>-177</v>
          </cell>
          <cell r="U129" t="str">
            <v>PENDIENTE</v>
          </cell>
        </row>
        <row r="130">
          <cell r="A130" t="str">
            <v>20254</v>
          </cell>
          <cell r="B130" t="str">
            <v>SERFINANZAS</v>
          </cell>
          <cell r="C130" t="str">
            <v>INVERSIONES RUEDA S.A.S</v>
          </cell>
          <cell r="D130" t="str">
            <v>111000176344</v>
          </cell>
          <cell r="E130">
            <v>45773</v>
          </cell>
          <cell r="F130">
            <v>35</v>
          </cell>
          <cell r="G130">
            <v>1</v>
          </cell>
          <cell r="H130">
            <v>582365.84553843806</v>
          </cell>
          <cell r="I130">
            <v>19856.51892628524</v>
          </cell>
          <cell r="J130">
            <v>0</v>
          </cell>
          <cell r="K130">
            <v>0</v>
          </cell>
          <cell r="L130">
            <v>0</v>
          </cell>
          <cell r="M130">
            <v>1.4334688333333333E-2</v>
          </cell>
          <cell r="N130">
            <v>1.5221120156090754E-2</v>
          </cell>
          <cell r="O130">
            <v>6.183823478715933E-2</v>
          </cell>
          <cell r="P130">
            <v>602222.36446472327</v>
          </cell>
          <cell r="Q130">
            <v>722171.45018349495</v>
          </cell>
          <cell r="R130">
            <v>-205</v>
          </cell>
          <cell r="U130" t="str">
            <v>PENDIENTE</v>
          </cell>
        </row>
        <row r="131">
          <cell r="A131" t="str">
            <v>20255</v>
          </cell>
          <cell r="B131" t="str">
            <v>SERFINANZAS</v>
          </cell>
          <cell r="C131" t="str">
            <v>INVERSIONES RUEDA S.A.S</v>
          </cell>
          <cell r="D131" t="str">
            <v>111000176344</v>
          </cell>
          <cell r="E131">
            <v>45803</v>
          </cell>
          <cell r="F131">
            <v>36</v>
          </cell>
          <cell r="G131">
            <v>0</v>
          </cell>
          <cell r="H131">
            <v>601736.78007239755</v>
          </cell>
          <cell r="I131">
            <v>10090.67755455113</v>
          </cell>
          <cell r="J131">
            <v>0</v>
          </cell>
          <cell r="K131">
            <v>0</v>
          </cell>
          <cell r="L131">
            <v>0</v>
          </cell>
          <cell r="M131">
            <v>1.4334688333333333E-2</v>
          </cell>
          <cell r="N131">
            <v>1.3972689659757682E-2</v>
          </cell>
          <cell r="O131">
            <v>-2.5253334091252855E-2</v>
          </cell>
          <cell r="P131">
            <v>611827.45762694872</v>
          </cell>
          <cell r="Q131">
            <v>120434.6701110974</v>
          </cell>
          <cell r="R131">
            <v>-236</v>
          </cell>
          <cell r="U131" t="str">
            <v>PENDIENTE</v>
          </cell>
        </row>
        <row r="132">
          <cell r="A132" t="str">
            <v>202211</v>
          </cell>
          <cell r="B132" t="str">
            <v>SERFINANZAS</v>
          </cell>
          <cell r="C132" t="str">
            <v>INVERSIONES RUEDA S.A.S</v>
          </cell>
          <cell r="D132" t="str">
            <v>111000194235</v>
          </cell>
          <cell r="E132">
            <v>44890</v>
          </cell>
          <cell r="F132">
            <v>1</v>
          </cell>
          <cell r="G132">
            <v>35</v>
          </cell>
          <cell r="H132">
            <v>267919.49</v>
          </cell>
          <cell r="I132">
            <v>238028.37</v>
          </cell>
          <cell r="J132">
            <v>0</v>
          </cell>
          <cell r="K132">
            <v>0</v>
          </cell>
          <cell r="L132">
            <v>0</v>
          </cell>
          <cell r="M132">
            <v>1.7808333333333332E-2</v>
          </cell>
          <cell r="N132">
            <v>1.7816494760479043E-2</v>
          </cell>
          <cell r="O132">
            <v>4.5829258656304717E-4</v>
          </cell>
          <cell r="P132">
            <v>505947.86</v>
          </cell>
          <cell r="Q132">
            <v>13092080.51</v>
          </cell>
          <cell r="R132" t="str">
            <v>OK</v>
          </cell>
          <cell r="S132">
            <v>506909.47</v>
          </cell>
          <cell r="T132">
            <v>44894</v>
          </cell>
          <cell r="U132" t="str">
            <v>PAGADO</v>
          </cell>
        </row>
        <row r="133">
          <cell r="A133" t="str">
            <v>202212</v>
          </cell>
          <cell r="B133" t="str">
            <v>SERFINANZAS</v>
          </cell>
          <cell r="C133" t="str">
            <v>INVERSIONES RUEDA S.A.S</v>
          </cell>
          <cell r="D133" t="str">
            <v>111000194235</v>
          </cell>
          <cell r="E133">
            <v>44920</v>
          </cell>
          <cell r="F133">
            <v>2</v>
          </cell>
          <cell r="G133">
            <v>34</v>
          </cell>
          <cell r="H133">
            <v>268589.83</v>
          </cell>
          <cell r="I133">
            <v>243987.95</v>
          </cell>
          <cell r="J133">
            <v>0</v>
          </cell>
          <cell r="K133">
            <v>0</v>
          </cell>
          <cell r="L133">
            <v>0</v>
          </cell>
          <cell r="M133">
            <v>1.7808333333333332E-2</v>
          </cell>
          <cell r="N133">
            <v>1.8636300763170299E-2</v>
          </cell>
          <cell r="O133">
            <v>4.6493257641757602E-2</v>
          </cell>
          <cell r="P133">
            <v>512577.78</v>
          </cell>
          <cell r="Q133">
            <v>12819387.633810185</v>
          </cell>
          <cell r="R133" t="str">
            <v>OK</v>
          </cell>
          <cell r="S133">
            <v>513329.67</v>
          </cell>
          <cell r="T133">
            <v>44922</v>
          </cell>
          <cell r="U133" t="str">
            <v>PAGADO</v>
          </cell>
        </row>
        <row r="134">
          <cell r="A134" t="str">
            <v>20231</v>
          </cell>
          <cell r="B134" t="str">
            <v>SERFINANZAS</v>
          </cell>
          <cell r="C134" t="str">
            <v>INVERSIONES RUEDA S.A.S</v>
          </cell>
          <cell r="D134" t="str">
            <v>111000194235</v>
          </cell>
          <cell r="E134">
            <v>44951</v>
          </cell>
          <cell r="F134">
            <v>3</v>
          </cell>
          <cell r="G134">
            <v>33</v>
          </cell>
          <cell r="H134">
            <v>272331.39</v>
          </cell>
          <cell r="I134">
            <v>242292.15</v>
          </cell>
          <cell r="J134">
            <v>0</v>
          </cell>
          <cell r="K134">
            <v>0</v>
          </cell>
          <cell r="L134">
            <v>0</v>
          </cell>
          <cell r="M134">
            <v>1.7808333333333332E-2</v>
          </cell>
          <cell r="N134">
            <v>1.8900446489422976E-2</v>
          </cell>
          <cell r="O134">
            <v>6.1325961034514265E-2</v>
          </cell>
          <cell r="P134">
            <v>514623.54000000004</v>
          </cell>
          <cell r="Q134">
            <v>12541836.326420514</v>
          </cell>
          <cell r="R134" t="str">
            <v>OK</v>
          </cell>
          <cell r="S134">
            <v>514891.89</v>
          </cell>
          <cell r="T134">
            <v>44952</v>
          </cell>
          <cell r="U134" t="str">
            <v>PAGADO</v>
          </cell>
        </row>
        <row r="135">
          <cell r="A135" t="str">
            <v>20232</v>
          </cell>
          <cell r="B135" t="str">
            <v>SERFINANZAS</v>
          </cell>
          <cell r="C135" t="str">
            <v>INVERSIONES RUEDA S.A.S</v>
          </cell>
          <cell r="D135" t="str">
            <v>111000194235</v>
          </cell>
          <cell r="E135">
            <v>44982</v>
          </cell>
          <cell r="F135">
            <v>4</v>
          </cell>
          <cell r="G135">
            <v>32</v>
          </cell>
          <cell r="H135">
            <v>274526.12</v>
          </cell>
          <cell r="I135">
            <v>244867.74</v>
          </cell>
          <cell r="J135">
            <v>0</v>
          </cell>
          <cell r="K135">
            <v>0</v>
          </cell>
          <cell r="L135">
            <v>0</v>
          </cell>
          <cell r="M135">
            <v>1.7808333333333332E-2</v>
          </cell>
          <cell r="N135">
            <v>1.9524073957508433E-2</v>
          </cell>
          <cell r="O135">
            <v>9.6344817454848908E-2</v>
          </cell>
          <cell r="P135">
            <v>519393.86</v>
          </cell>
          <cell r="Q135">
            <v>12259340.02761697</v>
          </cell>
          <cell r="R135" t="str">
            <v>OK</v>
          </cell>
          <cell r="S135">
            <v>526883.6</v>
          </cell>
          <cell r="T135">
            <v>45008</v>
          </cell>
          <cell r="U135" t="str">
            <v>PAGADO</v>
          </cell>
        </row>
        <row r="136">
          <cell r="A136" t="str">
            <v>20233</v>
          </cell>
          <cell r="B136" t="str">
            <v>SERFINANZAS</v>
          </cell>
          <cell r="C136" t="str">
            <v>INVERSIONES RUEDA S.A.S</v>
          </cell>
          <cell r="D136" t="str">
            <v>111000194235</v>
          </cell>
          <cell r="E136">
            <v>45010</v>
          </cell>
          <cell r="F136">
            <v>5</v>
          </cell>
          <cell r="G136">
            <v>31</v>
          </cell>
          <cell r="H136">
            <v>278429.27</v>
          </cell>
          <cell r="I136">
            <v>243310.48</v>
          </cell>
          <cell r="J136">
            <v>0</v>
          </cell>
          <cell r="K136">
            <v>0</v>
          </cell>
          <cell r="L136">
            <v>0</v>
          </cell>
          <cell r="M136">
            <v>1.7808333333333332E-2</v>
          </cell>
          <cell r="N136">
            <v>1.984694767025692E-2</v>
          </cell>
          <cell r="O136">
            <v>0.11447530202659362</v>
          </cell>
          <cell r="P136">
            <v>521739.75</v>
          </cell>
          <cell r="Q136">
            <v>11971810.634985939</v>
          </cell>
          <cell r="R136" t="str">
            <v>OK</v>
          </cell>
          <cell r="S136">
            <v>527321.49</v>
          </cell>
          <cell r="T136">
            <v>45029</v>
          </cell>
          <cell r="U136" t="str">
            <v>PAGADO</v>
          </cell>
        </row>
        <row r="137">
          <cell r="A137" t="str">
            <v>20234</v>
          </cell>
          <cell r="B137" t="str">
            <v>SERFINANZAS</v>
          </cell>
          <cell r="C137" t="str">
            <v>INVERSIONES RUEDA S.A.S</v>
          </cell>
          <cell r="D137" t="str">
            <v>111000194235</v>
          </cell>
          <cell r="E137">
            <v>45041</v>
          </cell>
          <cell r="F137">
            <v>6</v>
          </cell>
          <cell r="G137">
            <v>30</v>
          </cell>
          <cell r="H137">
            <v>287509.11</v>
          </cell>
          <cell r="I137">
            <v>228569</v>
          </cell>
          <cell r="J137">
            <v>0</v>
          </cell>
          <cell r="K137">
            <v>0</v>
          </cell>
          <cell r="L137">
            <v>0</v>
          </cell>
          <cell r="M137">
            <v>1.7808333333333332E-2</v>
          </cell>
          <cell r="N137">
            <v>1.9092266572613429E-2</v>
          </cell>
          <cell r="O137">
            <v>7.2097327427988578E-2</v>
          </cell>
          <cell r="P137">
            <v>516078.11</v>
          </cell>
          <cell r="Q137">
            <v>11679158.476437613</v>
          </cell>
          <cell r="R137" t="str">
            <v>OK</v>
          </cell>
          <cell r="S137">
            <v>516991.41</v>
          </cell>
          <cell r="T137">
            <v>45045</v>
          </cell>
          <cell r="U137" t="str">
            <v>PAGADO</v>
          </cell>
        </row>
        <row r="138">
          <cell r="A138" t="str">
            <v>20235</v>
          </cell>
          <cell r="B138" t="str">
            <v>SERFINANZAS</v>
          </cell>
          <cell r="C138" t="str">
            <v>INVERSIONES RUEDA S.A.S</v>
          </cell>
          <cell r="D138" t="str">
            <v>111000194235</v>
          </cell>
          <cell r="E138">
            <v>45071</v>
          </cell>
          <cell r="F138">
            <v>7</v>
          </cell>
          <cell r="G138">
            <v>29</v>
          </cell>
          <cell r="H138">
            <v>297866.19419774483</v>
          </cell>
          <cell r="I138">
            <v>208081.66580225513</v>
          </cell>
          <cell r="J138">
            <v>0</v>
          </cell>
          <cell r="K138">
            <v>0</v>
          </cell>
          <cell r="L138">
            <v>0</v>
          </cell>
          <cell r="M138">
            <v>1.7808333333333332E-2</v>
          </cell>
          <cell r="N138">
            <v>1.7816494760479043E-2</v>
          </cell>
          <cell r="O138">
            <v>4.5829258656304717E-4</v>
          </cell>
          <cell r="P138">
            <v>505947.86</v>
          </cell>
          <cell r="Q138">
            <v>11381292.282239869</v>
          </cell>
          <cell r="R138" t="str">
            <v>OK</v>
          </cell>
          <cell r="S138">
            <v>517658.88</v>
          </cell>
          <cell r="T138">
            <v>45089</v>
          </cell>
          <cell r="U138" t="str">
            <v>PAGADO</v>
          </cell>
        </row>
        <row r="139">
          <cell r="A139" t="str">
            <v>20236</v>
          </cell>
          <cell r="B139" t="str">
            <v>SERFINANZAS</v>
          </cell>
          <cell r="C139" t="str">
            <v>INVERSIONES RUEDA S.A.S</v>
          </cell>
          <cell r="D139" t="str">
            <v>111000194235</v>
          </cell>
          <cell r="E139">
            <v>45102</v>
          </cell>
          <cell r="F139">
            <v>8</v>
          </cell>
          <cell r="G139">
            <v>28</v>
          </cell>
          <cell r="H139">
            <v>303173.12568599277</v>
          </cell>
          <cell r="I139">
            <v>202774.73431400719</v>
          </cell>
          <cell r="J139">
            <v>0</v>
          </cell>
          <cell r="K139">
            <v>0</v>
          </cell>
          <cell r="L139">
            <v>0</v>
          </cell>
          <cell r="M139">
            <v>1.7808333333333332E-2</v>
          </cell>
          <cell r="N139">
            <v>1.7816494760479043E-2</v>
          </cell>
          <cell r="O139">
            <v>4.5829258656304717E-4</v>
          </cell>
          <cell r="P139">
            <v>505947.86</v>
          </cell>
          <cell r="Q139">
            <v>11078119.156553876</v>
          </cell>
          <cell r="R139" t="str">
            <v>OK</v>
          </cell>
          <cell r="S139">
            <v>513138.47</v>
          </cell>
          <cell r="T139">
            <v>45106</v>
          </cell>
          <cell r="U139" t="str">
            <v>PAGADO</v>
          </cell>
        </row>
        <row r="140">
          <cell r="A140" t="str">
            <v>20237</v>
          </cell>
          <cell r="B140" t="str">
            <v>SERFINANZAS</v>
          </cell>
          <cell r="C140" t="str">
            <v>INVERSIONES RUEDA S.A.S</v>
          </cell>
          <cell r="D140" t="str">
            <v>111000194235</v>
          </cell>
          <cell r="E140">
            <v>45132</v>
          </cell>
          <cell r="F140">
            <v>9</v>
          </cell>
          <cell r="G140">
            <v>27</v>
          </cell>
          <cell r="H140">
            <v>304588.77</v>
          </cell>
          <cell r="I140">
            <v>210518.01</v>
          </cell>
          <cell r="J140">
            <v>0</v>
          </cell>
          <cell r="K140">
            <v>0</v>
          </cell>
          <cell r="L140">
            <v>0</v>
          </cell>
          <cell r="M140">
            <v>1.7808333333333332E-2</v>
          </cell>
          <cell r="N140">
            <v>1.9003046187263332E-2</v>
          </cell>
          <cell r="O140">
            <v>6.7087291750865807E-2</v>
          </cell>
          <cell r="P140">
            <v>515106.78</v>
          </cell>
          <cell r="Q140">
            <v>10769544.548462581</v>
          </cell>
          <cell r="R140" t="str">
            <v>OK</v>
          </cell>
          <cell r="S140">
            <v>522071.49</v>
          </cell>
          <cell r="T140">
            <v>45155</v>
          </cell>
          <cell r="U140" t="str">
            <v>PAGADO</v>
          </cell>
        </row>
        <row r="141">
          <cell r="A141" t="str">
            <v>20238</v>
          </cell>
          <cell r="B141" t="str">
            <v>SERFINANZAS</v>
          </cell>
          <cell r="C141" t="str">
            <v>INVERSIONES RUEDA S.A.S</v>
          </cell>
          <cell r="D141" t="str">
            <v>111000194235</v>
          </cell>
          <cell r="E141">
            <v>45163</v>
          </cell>
          <cell r="F141">
            <v>10</v>
          </cell>
          <cell r="G141">
            <v>26</v>
          </cell>
          <cell r="H141">
            <v>309020.28999999998</v>
          </cell>
          <cell r="I141">
            <v>208113.66</v>
          </cell>
          <cell r="J141">
            <v>0</v>
          </cell>
          <cell r="K141">
            <v>0</v>
          </cell>
          <cell r="L141">
            <v>0</v>
          </cell>
          <cell r="M141">
            <v>1.7808333333333332E-2</v>
          </cell>
          <cell r="N141">
            <v>1.9324276812589025E-2</v>
          </cell>
          <cell r="O141">
            <v>8.5125511235696338E-2</v>
          </cell>
          <cell r="P141">
            <v>517133.94999999995</v>
          </cell>
          <cell r="Q141">
            <v>10455472.222483011</v>
          </cell>
          <cell r="R141" t="str">
            <v>OK</v>
          </cell>
          <cell r="S141">
            <v>525267.42000000004</v>
          </cell>
          <cell r="T141">
            <v>45190</v>
          </cell>
          <cell r="U141" t="str">
            <v>PAGADO</v>
          </cell>
        </row>
        <row r="142">
          <cell r="A142" t="str">
            <v>20239</v>
          </cell>
          <cell r="B142" t="str">
            <v>SERFINANZAS</v>
          </cell>
          <cell r="C142" t="str">
            <v>INVERSIONES RUEDA S.A.S</v>
          </cell>
          <cell r="D142" t="str">
            <v>111000194235</v>
          </cell>
          <cell r="E142">
            <v>45194</v>
          </cell>
          <cell r="F142">
            <v>11</v>
          </cell>
          <cell r="G142">
            <v>25</v>
          </cell>
          <cell r="H142">
            <v>313980.86</v>
          </cell>
          <cell r="I142">
            <v>204643.92</v>
          </cell>
          <cell r="J142">
            <v>0</v>
          </cell>
          <cell r="K142">
            <v>0</v>
          </cell>
          <cell r="L142">
            <v>0</v>
          </cell>
          <cell r="M142">
            <v>1.7808333333333332E-2</v>
          </cell>
          <cell r="N142">
            <v>1.9572900739953405E-2</v>
          </cell>
          <cell r="O142">
            <v>9.9086611508848232E-2</v>
          </cell>
          <cell r="P142">
            <v>518624.78</v>
          </cell>
          <cell r="Q142">
            <v>10135804.228553213</v>
          </cell>
          <cell r="R142" t="str">
            <v>OK</v>
          </cell>
          <cell r="S142">
            <v>527500</v>
          </cell>
          <cell r="T142">
            <v>45224</v>
          </cell>
          <cell r="U142" t="str">
            <v>PAGADO</v>
          </cell>
        </row>
        <row r="143">
          <cell r="A143" t="str">
            <v>202310</v>
          </cell>
          <cell r="B143" t="str">
            <v>SERFINANZAS</v>
          </cell>
          <cell r="C143" t="str">
            <v>INVERSIONES RUEDA S.A.S</v>
          </cell>
          <cell r="D143" t="str">
            <v>111000194235</v>
          </cell>
          <cell r="E143">
            <v>45224</v>
          </cell>
          <cell r="F143">
            <v>12</v>
          </cell>
          <cell r="G143">
            <v>24</v>
          </cell>
          <cell r="H143">
            <v>325363.3570687403</v>
          </cell>
          <cell r="I143">
            <v>180584.50293125966</v>
          </cell>
          <cell r="J143">
            <v>0</v>
          </cell>
          <cell r="K143">
            <v>0</v>
          </cell>
          <cell r="L143">
            <v>0</v>
          </cell>
          <cell r="M143">
            <v>1.7808333333333332E-2</v>
          </cell>
          <cell r="N143">
            <v>1.7816494760479043E-2</v>
          </cell>
          <cell r="O143">
            <v>4.5829258656304717E-4</v>
          </cell>
          <cell r="P143">
            <v>505947.86</v>
          </cell>
          <cell r="Q143">
            <v>9810440.8714844733</v>
          </cell>
          <cell r="R143" t="str">
            <v>OK</v>
          </cell>
          <cell r="S143">
            <v>523826.84</v>
          </cell>
          <cell r="T143">
            <v>45254</v>
          </cell>
          <cell r="U143" t="str">
            <v>PAGADO</v>
          </cell>
        </row>
        <row r="144">
          <cell r="A144" t="str">
            <v>202311</v>
          </cell>
          <cell r="B144" t="str">
            <v>SERFINANZAS</v>
          </cell>
          <cell r="C144" t="str">
            <v>INVERSIONES RUEDA S.A.S</v>
          </cell>
          <cell r="D144" t="str">
            <v>111000194235</v>
          </cell>
          <cell r="E144">
            <v>45255</v>
          </cell>
          <cell r="F144">
            <v>13</v>
          </cell>
          <cell r="G144">
            <v>23</v>
          </cell>
          <cell r="H144">
            <v>331160.19161520741</v>
          </cell>
          <cell r="I144">
            <v>174787.66838479257</v>
          </cell>
          <cell r="J144">
            <v>0</v>
          </cell>
          <cell r="K144">
            <v>0</v>
          </cell>
          <cell r="L144">
            <v>0</v>
          </cell>
          <cell r="M144">
            <v>1.7808333333333332E-2</v>
          </cell>
          <cell r="N144">
            <v>1.7816494760479043E-2</v>
          </cell>
          <cell r="O144">
            <v>4.5829258656304717E-4</v>
          </cell>
          <cell r="P144">
            <v>505947.86</v>
          </cell>
          <cell r="Q144">
            <v>9479280.6798692662</v>
          </cell>
          <cell r="R144" t="str">
            <v>OK</v>
          </cell>
          <cell r="S144">
            <v>1003167.96</v>
          </cell>
          <cell r="T144">
            <v>45286</v>
          </cell>
          <cell r="U144" t="str">
            <v>PAGADO</v>
          </cell>
        </row>
        <row r="145">
          <cell r="A145" t="str">
            <v>202312</v>
          </cell>
          <cell r="B145" t="str">
            <v>SERFINANZAS</v>
          </cell>
          <cell r="C145" t="str">
            <v>INVERSIONES RUEDA S.A.S</v>
          </cell>
          <cell r="D145" t="str">
            <v>111000194235</v>
          </cell>
          <cell r="E145">
            <v>45285</v>
          </cell>
          <cell r="F145">
            <v>14</v>
          </cell>
          <cell r="G145">
            <v>22</v>
          </cell>
          <cell r="H145">
            <v>337060.30543399899</v>
          </cell>
          <cell r="I145">
            <v>168887.554566001</v>
          </cell>
          <cell r="J145">
            <v>0</v>
          </cell>
          <cell r="K145">
            <v>0</v>
          </cell>
          <cell r="L145">
            <v>0</v>
          </cell>
          <cell r="M145">
            <v>1.7808333333333332E-2</v>
          </cell>
          <cell r="N145">
            <v>1.7816494760479043E-2</v>
          </cell>
          <cell r="O145">
            <v>4.5829258656304717E-4</v>
          </cell>
          <cell r="P145">
            <v>505947.86</v>
          </cell>
          <cell r="Q145">
            <v>9142220.3744352665</v>
          </cell>
          <cell r="R145" t="str">
            <v>OK</v>
          </cell>
          <cell r="S145">
            <v>522381.21</v>
          </cell>
          <cell r="T145">
            <v>45315</v>
          </cell>
          <cell r="U145" t="str">
            <v>PAGADO</v>
          </cell>
        </row>
        <row r="146">
          <cell r="A146" t="str">
            <v>20241</v>
          </cell>
          <cell r="B146" t="str">
            <v>SERFINANZAS</v>
          </cell>
          <cell r="C146" t="str">
            <v>INVERSIONES RUEDA S.A.S</v>
          </cell>
          <cell r="D146" t="str">
            <v>111000194235</v>
          </cell>
          <cell r="E146">
            <v>45316</v>
          </cell>
          <cell r="F146">
            <v>15</v>
          </cell>
          <cell r="G146">
            <v>21</v>
          </cell>
          <cell r="H146">
            <v>343065.53859972931</v>
          </cell>
          <cell r="I146">
            <v>162882.32140027068</v>
          </cell>
          <cell r="J146">
            <v>0</v>
          </cell>
          <cell r="K146">
            <v>0</v>
          </cell>
          <cell r="L146">
            <v>0</v>
          </cell>
          <cell r="M146">
            <v>1.7808333333333332E-2</v>
          </cell>
          <cell r="N146">
            <v>1.7816494760479043E-2</v>
          </cell>
          <cell r="O146">
            <v>4.5829258656304717E-4</v>
          </cell>
          <cell r="P146">
            <v>505947.86</v>
          </cell>
          <cell r="Q146">
            <v>8799154.8358355369</v>
          </cell>
          <cell r="R146" t="str">
            <v>OK</v>
          </cell>
          <cell r="S146">
            <v>600000</v>
          </cell>
          <cell r="T146">
            <v>45346</v>
          </cell>
          <cell r="U146" t="str">
            <v>PAGADO</v>
          </cell>
        </row>
        <row r="147">
          <cell r="A147" t="str">
            <v>20242</v>
          </cell>
          <cell r="B147" t="str">
            <v>SERFINANZAS</v>
          </cell>
          <cell r="C147" t="str">
            <v>INVERSIONES RUEDA S.A.S</v>
          </cell>
          <cell r="D147" t="str">
            <v>111000194235</v>
          </cell>
          <cell r="E147">
            <v>45347</v>
          </cell>
          <cell r="F147">
            <v>16</v>
          </cell>
          <cell r="G147">
            <v>20</v>
          </cell>
          <cell r="H147">
            <v>349177.76397069229</v>
          </cell>
          <cell r="I147">
            <v>156770.09602930766</v>
          </cell>
          <cell r="J147">
            <v>0</v>
          </cell>
          <cell r="K147">
            <v>0</v>
          </cell>
          <cell r="L147">
            <v>0</v>
          </cell>
          <cell r="M147">
            <v>1.7808333333333332E-2</v>
          </cell>
          <cell r="N147">
            <v>1.7816494760479043E-2</v>
          </cell>
          <cell r="O147">
            <v>4.5829258656304717E-4</v>
          </cell>
          <cell r="P147">
            <v>505947.86</v>
          </cell>
          <cell r="Q147">
            <v>8449977.0718648452</v>
          </cell>
          <cell r="R147" t="str">
            <v>OK</v>
          </cell>
          <cell r="S147">
            <v>949881.13</v>
          </cell>
          <cell r="T147">
            <v>45377</v>
          </cell>
          <cell r="U147" t="str">
            <v>PAGADO</v>
          </cell>
        </row>
        <row r="148">
          <cell r="A148" t="str">
            <v>20243</v>
          </cell>
          <cell r="B148" t="str">
            <v>SERFINANZAS</v>
          </cell>
          <cell r="C148" t="str">
            <v>INVERSIONES RUEDA S.A.S</v>
          </cell>
          <cell r="D148" t="str">
            <v>111000194235</v>
          </cell>
          <cell r="E148">
            <v>45376</v>
          </cell>
          <cell r="F148">
            <v>17</v>
          </cell>
          <cell r="G148">
            <v>19</v>
          </cell>
          <cell r="H148">
            <v>355398.88777295192</v>
          </cell>
          <cell r="I148">
            <v>150548.97222704807</v>
          </cell>
          <cell r="J148">
            <v>0</v>
          </cell>
          <cell r="K148">
            <v>0</v>
          </cell>
          <cell r="L148">
            <v>0</v>
          </cell>
          <cell r="M148">
            <v>1.7808333333333332E-2</v>
          </cell>
          <cell r="N148">
            <v>1.7816494760479043E-2</v>
          </cell>
          <cell r="O148">
            <v>4.5829258656304717E-4</v>
          </cell>
          <cell r="P148">
            <v>505947.86</v>
          </cell>
          <cell r="Q148">
            <v>8094578.184091893</v>
          </cell>
          <cell r="R148" t="str">
            <v>OK</v>
          </cell>
          <cell r="S148">
            <v>0</v>
          </cell>
          <cell r="T148">
            <v>45377</v>
          </cell>
          <cell r="U148" t="str">
            <v>PAGADO</v>
          </cell>
        </row>
        <row r="149">
          <cell r="A149" t="str">
            <v>20244</v>
          </cell>
          <cell r="B149" t="str">
            <v>SERFINANZAS</v>
          </cell>
          <cell r="C149" t="str">
            <v>INVERSIONES RUEDA S.A.S</v>
          </cell>
          <cell r="D149" t="str">
            <v>111000194235</v>
          </cell>
          <cell r="E149">
            <v>45407</v>
          </cell>
          <cell r="F149">
            <v>18</v>
          </cell>
          <cell r="G149">
            <v>18</v>
          </cell>
          <cell r="H149">
            <v>361730.85019483883</v>
          </cell>
          <cell r="I149">
            <v>144217.00980516119</v>
          </cell>
          <cell r="J149">
            <v>0</v>
          </cell>
          <cell r="K149">
            <v>0</v>
          </cell>
          <cell r="L149">
            <v>505947.86</v>
          </cell>
          <cell r="M149">
            <v>1.7808333333333332E-2</v>
          </cell>
          <cell r="N149">
            <v>1.7816494760479043E-2</v>
          </cell>
          <cell r="O149">
            <v>4.5829258656304717E-4</v>
          </cell>
          <cell r="P149">
            <v>1011895.72</v>
          </cell>
          <cell r="Q149">
            <v>7732847.3338970542</v>
          </cell>
          <cell r="R149" t="str">
            <v>OK</v>
          </cell>
          <cell r="S149">
            <v>570000</v>
          </cell>
          <cell r="T149">
            <v>45439</v>
          </cell>
          <cell r="U149" t="str">
            <v>PAGADO</v>
          </cell>
        </row>
        <row r="150">
          <cell r="A150" t="str">
            <v>20245</v>
          </cell>
          <cell r="B150" t="str">
            <v>SERFINANZAS</v>
          </cell>
          <cell r="C150" t="str">
            <v>INVERSIONES RUEDA S.A.S</v>
          </cell>
          <cell r="D150" t="str">
            <v>111000194235</v>
          </cell>
          <cell r="E150">
            <v>45437</v>
          </cell>
          <cell r="F150">
            <v>19</v>
          </cell>
          <cell r="G150">
            <v>17</v>
          </cell>
          <cell r="H150">
            <v>368175.62599203875</v>
          </cell>
          <cell r="I150">
            <v>137772.2340079612</v>
          </cell>
          <cell r="J150">
            <v>0</v>
          </cell>
          <cell r="K150">
            <v>0</v>
          </cell>
          <cell r="L150">
            <v>441895.72</v>
          </cell>
          <cell r="M150">
            <v>1.7808333333333332E-2</v>
          </cell>
          <cell r="N150">
            <v>1.7816494760479043E-2</v>
          </cell>
          <cell r="O150">
            <v>4.5829258656304717E-4</v>
          </cell>
          <cell r="P150">
            <v>947843.58</v>
          </cell>
          <cell r="Q150">
            <v>7364671.707905015</v>
          </cell>
          <cell r="R150" t="str">
            <v>OK</v>
          </cell>
          <cell r="S150">
            <v>458324.42</v>
          </cell>
          <cell r="T150">
            <v>45456</v>
          </cell>
          <cell r="U150" t="str">
            <v>PAGADO</v>
          </cell>
        </row>
        <row r="151">
          <cell r="A151" t="str">
            <v>20246</v>
          </cell>
          <cell r="B151" t="str">
            <v>SERFINANZAS</v>
          </cell>
          <cell r="C151" t="str">
            <v>INVERSIONES RUEDA S.A.S</v>
          </cell>
          <cell r="D151" t="str">
            <v>111000194235</v>
          </cell>
          <cell r="E151">
            <v>45468</v>
          </cell>
          <cell r="F151">
            <v>20</v>
          </cell>
          <cell r="G151">
            <v>16</v>
          </cell>
          <cell r="H151">
            <v>374735.225103462</v>
          </cell>
          <cell r="I151">
            <v>131212.63489653796</v>
          </cell>
          <cell r="J151">
            <v>0</v>
          </cell>
          <cell r="K151">
            <v>0</v>
          </cell>
          <cell r="L151">
            <v>489519.16</v>
          </cell>
          <cell r="M151">
            <v>1.7808333333333332E-2</v>
          </cell>
          <cell r="N151">
            <v>1.7816494760479046E-2</v>
          </cell>
          <cell r="O151">
            <v>4.5829258656326921E-4</v>
          </cell>
          <cell r="P151">
            <v>995467.02</v>
          </cell>
          <cell r="Q151">
            <v>6989936.4828015529</v>
          </cell>
          <cell r="R151" t="str">
            <v>OK</v>
          </cell>
          <cell r="S151">
            <v>506518.49</v>
          </cell>
          <cell r="T151">
            <v>45471</v>
          </cell>
          <cell r="U151" t="str">
            <v>PAGADO</v>
          </cell>
        </row>
        <row r="152">
          <cell r="A152" t="str">
            <v>20247</v>
          </cell>
          <cell r="B152" t="str">
            <v>SERFINANZAS</v>
          </cell>
          <cell r="C152" t="str">
            <v>INVERSIONES RUEDA S.A.S</v>
          </cell>
          <cell r="D152" t="str">
            <v>111000194235</v>
          </cell>
          <cell r="E152">
            <v>45498</v>
          </cell>
          <cell r="F152">
            <v>21</v>
          </cell>
          <cell r="G152">
            <v>15</v>
          </cell>
          <cell r="H152">
            <v>381411.6932780848</v>
          </cell>
          <cell r="I152">
            <v>124536.16672191517</v>
          </cell>
          <cell r="J152">
            <v>0</v>
          </cell>
          <cell r="K152">
            <v>0</v>
          </cell>
          <cell r="L152">
            <v>488948.53</v>
          </cell>
          <cell r="M152">
            <v>1.7808333333333332E-2</v>
          </cell>
          <cell r="N152">
            <v>1.7816494760479043E-2</v>
          </cell>
          <cell r="O152">
            <v>4.5829258656304717E-4</v>
          </cell>
          <cell r="P152">
            <v>994896.39</v>
          </cell>
          <cell r="Q152">
            <v>6608524.7895234684</v>
          </cell>
          <cell r="R152" t="str">
            <v>OK</v>
          </cell>
          <cell r="S152">
            <v>510312.26</v>
          </cell>
          <cell r="T152">
            <v>45515</v>
          </cell>
          <cell r="U152" t="str">
            <v>PAGADO</v>
          </cell>
        </row>
        <row r="153">
          <cell r="A153" t="str">
            <v>20248</v>
          </cell>
          <cell r="B153" t="str">
            <v>SERFINANZAS</v>
          </cell>
          <cell r="C153" t="str">
            <v>INVERSIONES RUEDA S.A.S</v>
          </cell>
          <cell r="D153" t="str">
            <v>111000194235</v>
          </cell>
          <cell r="E153">
            <v>45529</v>
          </cell>
          <cell r="F153">
            <v>22</v>
          </cell>
          <cell r="G153">
            <v>14</v>
          </cell>
          <cell r="H153">
            <v>388207.11271295924</v>
          </cell>
          <cell r="I153">
            <v>117740.74728704075</v>
          </cell>
          <cell r="J153">
            <v>0</v>
          </cell>
          <cell r="K153">
            <v>0</v>
          </cell>
          <cell r="L153">
            <v>484584.13</v>
          </cell>
          <cell r="M153">
            <v>1.7808333333333332E-2</v>
          </cell>
          <cell r="N153">
            <v>1.7816494760479043E-2</v>
          </cell>
          <cell r="O153">
            <v>4.5829258656304717E-4</v>
          </cell>
          <cell r="P153">
            <v>990531.99</v>
          </cell>
          <cell r="Q153">
            <v>6220317.6768105095</v>
          </cell>
          <cell r="R153">
            <v>8</v>
          </cell>
          <cell r="U153" t="str">
            <v>PENDIENTE</v>
          </cell>
        </row>
        <row r="154">
          <cell r="A154" t="str">
            <v>20249</v>
          </cell>
          <cell r="B154" t="str">
            <v>SERFINANZAS</v>
          </cell>
          <cell r="C154" t="str">
            <v>INVERSIONES RUEDA S.A.S</v>
          </cell>
          <cell r="D154" t="str">
            <v>111000194235</v>
          </cell>
          <cell r="E154">
            <v>45560</v>
          </cell>
          <cell r="F154">
            <v>23</v>
          </cell>
          <cell r="G154">
            <v>13</v>
          </cell>
          <cell r="H154">
            <v>395123.6027025904</v>
          </cell>
          <cell r="I154">
            <v>110824.25729740961</v>
          </cell>
          <cell r="J154">
            <v>0</v>
          </cell>
          <cell r="K154">
            <v>0</v>
          </cell>
          <cell r="L154">
            <v>0</v>
          </cell>
          <cell r="M154">
            <v>1.7808333333333332E-2</v>
          </cell>
          <cell r="N154">
            <v>1.7816494760479043E-2</v>
          </cell>
          <cell r="O154">
            <v>4.5829258656304717E-4</v>
          </cell>
          <cell r="P154">
            <v>505947.86</v>
          </cell>
          <cell r="Q154">
            <v>5825194.0741079189</v>
          </cell>
          <cell r="R154">
            <v>8</v>
          </cell>
          <cell r="U154" t="str">
            <v>PENDIENTE</v>
          </cell>
        </row>
        <row r="155">
          <cell r="A155" t="str">
            <v>202410</v>
          </cell>
          <cell r="B155" t="str">
            <v>SERFINANZAS</v>
          </cell>
          <cell r="C155" t="str">
            <v>INVERSIONES RUEDA S.A.S</v>
          </cell>
          <cell r="D155" t="str">
            <v>111000194235</v>
          </cell>
          <cell r="E155">
            <v>45590</v>
          </cell>
          <cell r="F155">
            <v>24</v>
          </cell>
          <cell r="G155">
            <v>12</v>
          </cell>
          <cell r="H155">
            <v>402163.32029988267</v>
          </cell>
          <cell r="I155">
            <v>103784.53970011731</v>
          </cell>
          <cell r="J155">
            <v>0</v>
          </cell>
          <cell r="K155">
            <v>0</v>
          </cell>
          <cell r="L155">
            <v>0</v>
          </cell>
          <cell r="M155">
            <v>1.7808333333333332E-2</v>
          </cell>
          <cell r="N155">
            <v>1.7816494760479043E-2</v>
          </cell>
          <cell r="O155">
            <v>4.5829258656304717E-4</v>
          </cell>
          <cell r="P155">
            <v>505947.86</v>
          </cell>
          <cell r="Q155">
            <v>5423030.7538080364</v>
          </cell>
          <cell r="R155">
            <v>-23</v>
          </cell>
          <cell r="U155" t="str">
            <v>PENDIENTE</v>
          </cell>
        </row>
        <row r="156">
          <cell r="A156" t="str">
            <v>202411</v>
          </cell>
          <cell r="B156" t="str">
            <v>SERFINANZAS</v>
          </cell>
          <cell r="C156" t="str">
            <v>INVERSIONES RUEDA S.A.S</v>
          </cell>
          <cell r="D156" t="str">
            <v>111000194235</v>
          </cell>
          <cell r="E156">
            <v>45621</v>
          </cell>
          <cell r="F156">
            <v>25</v>
          </cell>
          <cell r="G156">
            <v>11</v>
          </cell>
          <cell r="H156">
            <v>409328.46098886238</v>
          </cell>
          <cell r="I156">
            <v>96619.39901113759</v>
          </cell>
          <cell r="J156">
            <v>0</v>
          </cell>
          <cell r="K156">
            <v>0</v>
          </cell>
          <cell r="L156">
            <v>0</v>
          </cell>
          <cell r="M156">
            <v>1.7808333333333332E-2</v>
          </cell>
          <cell r="N156">
            <v>1.7816494760479043E-2</v>
          </cell>
          <cell r="O156">
            <v>4.5829258656304717E-4</v>
          </cell>
          <cell r="P156">
            <v>505947.86</v>
          </cell>
          <cell r="Q156">
            <v>5013702.292819174</v>
          </cell>
          <cell r="R156">
            <v>-53</v>
          </cell>
          <cell r="U156" t="str">
            <v>PENDIENTE</v>
          </cell>
        </row>
        <row r="157">
          <cell r="A157" t="str">
            <v>202412</v>
          </cell>
          <cell r="B157" t="str">
            <v>SERFINANZAS</v>
          </cell>
          <cell r="C157" t="str">
            <v>INVERSIONES RUEDA S.A.S</v>
          </cell>
          <cell r="D157" t="str">
            <v>111000194235</v>
          </cell>
          <cell r="E157">
            <v>45651</v>
          </cell>
          <cell r="F157">
            <v>26</v>
          </cell>
          <cell r="G157">
            <v>10</v>
          </cell>
          <cell r="H157">
            <v>416621.25936938543</v>
          </cell>
          <cell r="I157">
            <v>89326.600630614572</v>
          </cell>
          <cell r="J157">
            <v>0</v>
          </cell>
          <cell r="K157">
            <v>0</v>
          </cell>
          <cell r="L157">
            <v>0</v>
          </cell>
          <cell r="M157">
            <v>1.7808333333333332E-2</v>
          </cell>
          <cell r="N157">
            <v>1.7816494760479043E-2</v>
          </cell>
          <cell r="O157">
            <v>4.5829258656304717E-4</v>
          </cell>
          <cell r="P157">
            <v>505947.86</v>
          </cell>
          <cell r="Q157">
            <v>4597081.0334497886</v>
          </cell>
          <cell r="R157">
            <v>-84</v>
          </cell>
          <cell r="U157" t="str">
            <v>PENDIENTE</v>
          </cell>
        </row>
        <row r="158">
          <cell r="A158" t="str">
            <v>20251</v>
          </cell>
          <cell r="B158" t="str">
            <v>SERFINANZAS</v>
          </cell>
          <cell r="C158" t="str">
            <v>INVERSIONES RUEDA S.A.S</v>
          </cell>
          <cell r="D158" t="str">
            <v>111000194235</v>
          </cell>
          <cell r="E158">
            <v>45682</v>
          </cell>
          <cell r="F158">
            <v>27</v>
          </cell>
          <cell r="G158">
            <v>9</v>
          </cell>
          <cell r="H158">
            <v>424043.98985404422</v>
          </cell>
          <cell r="I158">
            <v>81903.870145955749</v>
          </cell>
          <cell r="J158">
            <v>0</v>
          </cell>
          <cell r="K158">
            <v>0</v>
          </cell>
          <cell r="L158">
            <v>0</v>
          </cell>
          <cell r="M158">
            <v>1.7808333333333332E-2</v>
          </cell>
          <cell r="N158">
            <v>1.7816494760479043E-2</v>
          </cell>
          <cell r="O158">
            <v>4.5829258656304717E-4</v>
          </cell>
          <cell r="P158">
            <v>505947.86</v>
          </cell>
          <cell r="Q158">
            <v>4173037.0435957443</v>
          </cell>
          <cell r="R158">
            <v>-114</v>
          </cell>
          <cell r="U158" t="str">
            <v>PENDIENTE</v>
          </cell>
        </row>
        <row r="159">
          <cell r="A159" t="str">
            <v>20252</v>
          </cell>
          <cell r="B159" t="str">
            <v>SERFINANZAS</v>
          </cell>
          <cell r="C159" t="str">
            <v>INVERSIONES RUEDA S.A.S</v>
          </cell>
          <cell r="D159" t="str">
            <v>111000194235</v>
          </cell>
          <cell r="E159">
            <v>45713</v>
          </cell>
          <cell r="F159">
            <v>28</v>
          </cell>
          <cell r="G159">
            <v>8</v>
          </cell>
          <cell r="H159">
            <v>431598.96737749147</v>
          </cell>
          <cell r="I159">
            <v>74348.892622508531</v>
          </cell>
          <cell r="J159">
            <v>0</v>
          </cell>
          <cell r="K159">
            <v>0</v>
          </cell>
          <cell r="L159">
            <v>0</v>
          </cell>
          <cell r="M159">
            <v>1.7808333333333332E-2</v>
          </cell>
          <cell r="N159">
            <v>1.7816494760479043E-2</v>
          </cell>
          <cell r="O159">
            <v>4.5829258656304717E-4</v>
          </cell>
          <cell r="P159">
            <v>505947.86</v>
          </cell>
          <cell r="Q159">
            <v>3741438.076218253</v>
          </cell>
          <cell r="R159">
            <v>-145</v>
          </cell>
          <cell r="U159" t="str">
            <v>PENDIENTE</v>
          </cell>
        </row>
        <row r="160">
          <cell r="A160" t="str">
            <v>20253</v>
          </cell>
          <cell r="B160" t="str">
            <v>SERFINANZAS</v>
          </cell>
          <cell r="C160" t="str">
            <v>INVERSIONES RUEDA S.A.S</v>
          </cell>
          <cell r="D160" t="str">
            <v>111000194235</v>
          </cell>
          <cell r="E160">
            <v>45741</v>
          </cell>
          <cell r="F160">
            <v>29</v>
          </cell>
          <cell r="G160">
            <v>7</v>
          </cell>
          <cell r="H160">
            <v>439288.54811840068</v>
          </cell>
          <cell r="I160">
            <v>66659.311881599293</v>
          </cell>
          <cell r="J160">
            <v>0</v>
          </cell>
          <cell r="K160">
            <v>0</v>
          </cell>
          <cell r="L160">
            <v>0</v>
          </cell>
          <cell r="M160">
            <v>1.7808333333333332E-2</v>
          </cell>
          <cell r="N160">
            <v>1.7816494760479043E-2</v>
          </cell>
          <cell r="O160">
            <v>4.5829258656304717E-4</v>
          </cell>
          <cell r="P160">
            <v>505947.86</v>
          </cell>
          <cell r="Q160">
            <v>3302149.5280998521</v>
          </cell>
          <cell r="R160">
            <v>-176</v>
          </cell>
          <cell r="U160" t="str">
            <v>PENDIENTE</v>
          </cell>
        </row>
        <row r="161">
          <cell r="A161" t="str">
            <v>20254</v>
          </cell>
          <cell r="B161" t="str">
            <v>SERFINANZAS</v>
          </cell>
          <cell r="C161" t="str">
            <v>INVERSIONES RUEDA S.A.S</v>
          </cell>
          <cell r="D161" t="str">
            <v>111000194235</v>
          </cell>
          <cell r="E161">
            <v>45772</v>
          </cell>
          <cell r="F161">
            <v>30</v>
          </cell>
          <cell r="G161">
            <v>6</v>
          </cell>
          <cell r="H161">
            <v>447115.13023429061</v>
          </cell>
          <cell r="I161">
            <v>58832.729765709359</v>
          </cell>
          <cell r="J161">
            <v>0</v>
          </cell>
          <cell r="K161">
            <v>0</v>
          </cell>
          <cell r="L161">
            <v>0</v>
          </cell>
          <cell r="M161">
            <v>1.7808333333333332E-2</v>
          </cell>
          <cell r="N161">
            <v>1.7816494760479043E-2</v>
          </cell>
          <cell r="O161">
            <v>4.5829258656304717E-4</v>
          </cell>
          <cell r="P161">
            <v>505947.86</v>
          </cell>
          <cell r="Q161">
            <v>2855034.3978655618</v>
          </cell>
          <cell r="R161">
            <v>-204</v>
          </cell>
          <cell r="U161" t="str">
            <v>PENDIENTE</v>
          </cell>
        </row>
        <row r="162">
          <cell r="A162" t="str">
            <v>20255</v>
          </cell>
          <cell r="B162" t="str">
            <v>SERFINANZAS</v>
          </cell>
          <cell r="C162" t="str">
            <v>INVERSIONES RUEDA S.A.S</v>
          </cell>
          <cell r="D162" t="str">
            <v>111000194235</v>
          </cell>
          <cell r="E162">
            <v>45802</v>
          </cell>
          <cell r="F162">
            <v>31</v>
          </cell>
          <cell r="G162">
            <v>5</v>
          </cell>
          <cell r="H162">
            <v>455081.15460944077</v>
          </cell>
          <cell r="I162">
            <v>50866.705390559218</v>
          </cell>
          <cell r="J162">
            <v>0</v>
          </cell>
          <cell r="K162">
            <v>0</v>
          </cell>
          <cell r="L162">
            <v>0</v>
          </cell>
          <cell r="M162">
            <v>1.7808333333333332E-2</v>
          </cell>
          <cell r="N162">
            <v>1.7816494760479043E-2</v>
          </cell>
          <cell r="O162">
            <v>4.5829258656304717E-4</v>
          </cell>
          <cell r="P162">
            <v>505947.86</v>
          </cell>
          <cell r="Q162">
            <v>2399953.2432561209</v>
          </cell>
          <cell r="R162">
            <v>-235</v>
          </cell>
          <cell r="U162" t="str">
            <v>PENDIENTE</v>
          </cell>
        </row>
        <row r="163">
          <cell r="A163" t="str">
            <v>20256</v>
          </cell>
          <cell r="B163" t="str">
            <v>SERFINANZAS</v>
          </cell>
          <cell r="C163" t="str">
            <v>INVERSIONES RUEDA S.A.S</v>
          </cell>
          <cell r="D163" t="str">
            <v>111000194235</v>
          </cell>
          <cell r="E163">
            <v>45833</v>
          </cell>
          <cell r="F163">
            <v>32</v>
          </cell>
          <cell r="G163">
            <v>4</v>
          </cell>
          <cell r="H163">
            <v>463189.10561613261</v>
          </cell>
          <cell r="I163">
            <v>42758.754383867366</v>
          </cell>
          <cell r="J163">
            <v>0</v>
          </cell>
          <cell r="K163">
            <v>0</v>
          </cell>
          <cell r="L163">
            <v>0</v>
          </cell>
          <cell r="M163">
            <v>1.7808333333333332E-2</v>
          </cell>
          <cell r="N163">
            <v>1.7816494760479043E-2</v>
          </cell>
          <cell r="O163">
            <v>4.5829258656304717E-4</v>
          </cell>
          <cell r="P163">
            <v>505947.86</v>
          </cell>
          <cell r="Q163">
            <v>1936764.1376399882</v>
          </cell>
          <cell r="R163">
            <v>-265</v>
          </cell>
          <cell r="U163" t="str">
            <v>PENDIENTE</v>
          </cell>
        </row>
        <row r="164">
          <cell r="A164" t="str">
            <v>20257</v>
          </cell>
          <cell r="B164" t="str">
            <v>SERFINANZAS</v>
          </cell>
          <cell r="C164" t="str">
            <v>INVERSIONES RUEDA S.A.S</v>
          </cell>
          <cell r="D164" t="str">
            <v>111000194235</v>
          </cell>
          <cell r="E164">
            <v>45863</v>
          </cell>
          <cell r="F164">
            <v>33</v>
          </cell>
          <cell r="G164">
            <v>3</v>
          </cell>
          <cell r="H164">
            <v>471441.5118894534</v>
          </cell>
          <cell r="I164">
            <v>34506.348110546562</v>
          </cell>
          <cell r="J164">
            <v>0</v>
          </cell>
          <cell r="K164">
            <v>0</v>
          </cell>
          <cell r="L164">
            <v>0</v>
          </cell>
          <cell r="M164">
            <v>1.7808333333333332E-2</v>
          </cell>
          <cell r="N164">
            <v>1.7816494760479043E-2</v>
          </cell>
          <cell r="O164">
            <v>4.5829258656304717E-4</v>
          </cell>
          <cell r="P164">
            <v>505947.86</v>
          </cell>
          <cell r="Q164">
            <v>1465322.6257505347</v>
          </cell>
          <cell r="R164">
            <v>-296</v>
          </cell>
          <cell r="U164" t="str">
            <v>PENDIENTE</v>
          </cell>
        </row>
        <row r="165">
          <cell r="A165" t="str">
            <v>20258</v>
          </cell>
          <cell r="B165" t="str">
            <v>SERFINANZAS</v>
          </cell>
          <cell r="C165" t="str">
            <v>INVERSIONES RUEDA S.A.S</v>
          </cell>
          <cell r="D165" t="str">
            <v>111000194235</v>
          </cell>
          <cell r="E165">
            <v>45894</v>
          </cell>
          <cell r="F165">
            <v>34</v>
          </cell>
          <cell r="G165">
            <v>2</v>
          </cell>
          <cell r="H165">
            <v>479840.94711590419</v>
          </cell>
          <cell r="I165">
            <v>26106.912884095796</v>
          </cell>
          <cell r="J165">
            <v>0</v>
          </cell>
          <cell r="K165">
            <v>0</v>
          </cell>
          <cell r="L165">
            <v>0</v>
          </cell>
          <cell r="M165">
            <v>1.7808333333333332E-2</v>
          </cell>
          <cell r="N165">
            <v>1.7816494760479043E-2</v>
          </cell>
          <cell r="O165">
            <v>4.5829258656304717E-4</v>
          </cell>
          <cell r="P165">
            <v>505947.86</v>
          </cell>
          <cell r="Q165">
            <v>985481.67863463052</v>
          </cell>
          <cell r="R165">
            <v>-326</v>
          </cell>
          <cell r="U165" t="str">
            <v>PENDIENTE</v>
          </cell>
        </row>
        <row r="166">
          <cell r="A166" t="str">
            <v>20259</v>
          </cell>
          <cell r="B166" t="str">
            <v>SERFINANZAS</v>
          </cell>
          <cell r="C166" t="str">
            <v>INVERSIONES RUEDA S.A.S</v>
          </cell>
          <cell r="D166" t="str">
            <v>111000194235</v>
          </cell>
          <cell r="E166">
            <v>45925</v>
          </cell>
          <cell r="F166">
            <v>35</v>
          </cell>
          <cell r="G166">
            <v>1</v>
          </cell>
          <cell r="H166">
            <v>488390.03083605802</v>
          </cell>
          <cell r="I166">
            <v>17557.829163941988</v>
          </cell>
          <cell r="J166">
            <v>0</v>
          </cell>
          <cell r="K166">
            <v>0</v>
          </cell>
          <cell r="L166">
            <v>0</v>
          </cell>
          <cell r="M166">
            <v>1.7808333333333332E-2</v>
          </cell>
          <cell r="N166">
            <v>1.7816494760479043E-2</v>
          </cell>
          <cell r="O166">
            <v>4.5829258656304717E-4</v>
          </cell>
          <cell r="P166">
            <v>505947.86</v>
          </cell>
          <cell r="Q166">
            <v>497091.64779857249</v>
          </cell>
          <cell r="R166">
            <v>-357</v>
          </cell>
          <cell r="U166" t="str">
            <v>PENDIENTE</v>
          </cell>
        </row>
        <row r="167">
          <cell r="A167" t="str">
            <v>202510</v>
          </cell>
          <cell r="B167" t="str">
            <v>SERFINANZAS</v>
          </cell>
          <cell r="C167" t="str">
            <v>INVERSIONES RUEDA S.A.S</v>
          </cell>
          <cell r="D167" t="str">
            <v>111000194235</v>
          </cell>
          <cell r="E167">
            <v>45955</v>
          </cell>
          <cell r="F167">
            <v>36</v>
          </cell>
          <cell r="G167">
            <v>0</v>
          </cell>
          <cell r="H167">
            <v>497091.64779857249</v>
          </cell>
          <cell r="I167">
            <v>8856.43073848116</v>
          </cell>
          <cell r="J167">
            <v>0</v>
          </cell>
          <cell r="K167">
            <v>0</v>
          </cell>
          <cell r="L167">
            <v>0</v>
          </cell>
          <cell r="M167">
            <v>1.7808333333333332E-2</v>
          </cell>
          <cell r="N167">
            <v>1.7816494760479043E-2</v>
          </cell>
          <cell r="O167">
            <v>4.5829258656304717E-4</v>
          </cell>
          <cell r="P167">
            <v>505948.07853705366</v>
          </cell>
          <cell r="Q167">
            <v>0</v>
          </cell>
          <cell r="R167">
            <v>-388</v>
          </cell>
          <cell r="U167" t="str">
            <v>PENDIENTE</v>
          </cell>
        </row>
        <row r="168">
          <cell r="A168" t="str">
            <v>202211</v>
          </cell>
          <cell r="B168" t="str">
            <v>SERFINANZAS</v>
          </cell>
          <cell r="C168" t="str">
            <v>LAMAR OPTICAL S.A.S</v>
          </cell>
          <cell r="D168" t="str">
            <v>111000194208</v>
          </cell>
          <cell r="E168">
            <v>44890</v>
          </cell>
          <cell r="F168">
            <v>1</v>
          </cell>
          <cell r="G168">
            <v>35</v>
          </cell>
          <cell r="H168">
            <v>1538351.19</v>
          </cell>
          <cell r="I168">
            <v>1366721.15</v>
          </cell>
          <cell r="J168">
            <v>0</v>
          </cell>
          <cell r="K168">
            <v>0</v>
          </cell>
          <cell r="L168">
            <v>0</v>
          </cell>
          <cell r="M168">
            <v>1.7808333333333332E-2</v>
          </cell>
          <cell r="N168">
            <v>1.7816495026788854E-2</v>
          </cell>
          <cell r="O168">
            <v>4.5830754078735048E-4</v>
          </cell>
          <cell r="P168">
            <v>2905072.34</v>
          </cell>
          <cell r="Q168">
            <v>75172648.810000002</v>
          </cell>
          <cell r="R168" t="str">
            <v>OK</v>
          </cell>
          <cell r="S168">
            <v>2911977.22</v>
          </cell>
          <cell r="T168">
            <v>44895</v>
          </cell>
          <cell r="U168" t="str">
            <v>PAGADO</v>
          </cell>
        </row>
        <row r="169">
          <cell r="A169" t="str">
            <v>202212</v>
          </cell>
          <cell r="B169" t="str">
            <v>SERFINANZAS</v>
          </cell>
          <cell r="C169" t="str">
            <v>LAMAR OPTICAL S.A.S</v>
          </cell>
          <cell r="D169" t="str">
            <v>111000194208</v>
          </cell>
          <cell r="E169">
            <v>44920</v>
          </cell>
          <cell r="F169">
            <v>2</v>
          </cell>
          <cell r="G169">
            <v>34</v>
          </cell>
          <cell r="H169">
            <v>1542200.17</v>
          </cell>
          <cell r="I169">
            <v>1400940.1</v>
          </cell>
          <cell r="J169">
            <v>0</v>
          </cell>
          <cell r="K169">
            <v>0</v>
          </cell>
          <cell r="L169">
            <v>0</v>
          </cell>
          <cell r="M169">
            <v>1.7808333333333332E-2</v>
          </cell>
          <cell r="N169">
            <v>1.8636300864439369E-2</v>
          </cell>
          <cell r="O169">
            <v>4.6493263328369006E-2</v>
          </cell>
          <cell r="P169">
            <v>2943140.27</v>
          </cell>
          <cell r="Q169">
            <v>73630448.640000001</v>
          </cell>
          <cell r="R169" t="str">
            <v>OK</v>
          </cell>
          <cell r="S169">
            <v>2982495.35</v>
          </cell>
          <cell r="T169">
            <v>44946</v>
          </cell>
          <cell r="U169" t="str">
            <v>PAGADO</v>
          </cell>
        </row>
        <row r="170">
          <cell r="A170" t="str">
            <v>20231</v>
          </cell>
          <cell r="B170" t="str">
            <v>SERFINANZAS</v>
          </cell>
          <cell r="C170" t="str">
            <v>LAMAR OPTICAL S.A.S</v>
          </cell>
          <cell r="D170" t="str">
            <v>111000194208</v>
          </cell>
          <cell r="E170">
            <v>44951</v>
          </cell>
          <cell r="F170">
            <v>3</v>
          </cell>
          <cell r="G170">
            <v>33</v>
          </cell>
          <cell r="H170">
            <v>1563683.62</v>
          </cell>
          <cell r="I170">
            <v>1391203.08</v>
          </cell>
          <cell r="J170">
            <v>0</v>
          </cell>
          <cell r="K170">
            <v>0</v>
          </cell>
          <cell r="L170">
            <v>0</v>
          </cell>
          <cell r="M170">
            <v>1.7808333333333332E-2</v>
          </cell>
          <cell r="N170">
            <v>1.8894399065826472E-2</v>
          </cell>
          <cell r="O170">
            <v>6.0986377117069113E-2</v>
          </cell>
          <cell r="P170">
            <v>2954886.7</v>
          </cell>
          <cell r="Q170">
            <v>72066765.019999996</v>
          </cell>
          <cell r="R170" t="str">
            <v>OK</v>
          </cell>
          <cell r="S170">
            <v>2961072.68</v>
          </cell>
          <cell r="T170">
            <v>44952</v>
          </cell>
          <cell r="U170" t="str">
            <v>PAGADO</v>
          </cell>
        </row>
        <row r="171">
          <cell r="A171" t="str">
            <v>20232</v>
          </cell>
          <cell r="B171" t="str">
            <v>SERFINANZAS</v>
          </cell>
          <cell r="C171" t="str">
            <v>LAMAR OPTICAL S.A.S</v>
          </cell>
          <cell r="D171" t="str">
            <v>111000194208</v>
          </cell>
          <cell r="E171">
            <v>44982</v>
          </cell>
          <cell r="F171">
            <v>4</v>
          </cell>
          <cell r="G171">
            <v>32</v>
          </cell>
          <cell r="H171">
            <v>1576285.36</v>
          </cell>
          <cell r="I171">
            <v>1405991.72</v>
          </cell>
          <cell r="J171">
            <v>0</v>
          </cell>
          <cell r="K171">
            <v>0</v>
          </cell>
          <cell r="L171">
            <v>0</v>
          </cell>
          <cell r="M171">
            <v>1.7808333333333332E-2</v>
          </cell>
          <cell r="N171">
            <v>1.9509571709092375E-2</v>
          </cell>
          <cell r="O171">
            <v>9.5530465648612672E-2</v>
          </cell>
          <cell r="P171">
            <v>2982277.08</v>
          </cell>
          <cell r="Q171">
            <v>70490479.659999996</v>
          </cell>
          <cell r="R171" t="str">
            <v>OK</v>
          </cell>
          <cell r="S171">
            <v>3353913</v>
          </cell>
          <cell r="T171">
            <v>44999</v>
          </cell>
          <cell r="U171" t="str">
            <v>PAGADO</v>
          </cell>
        </row>
        <row r="172">
          <cell r="A172" t="str">
            <v>20233</v>
          </cell>
          <cell r="B172" t="str">
            <v>SERFINANZAS</v>
          </cell>
          <cell r="C172" t="str">
            <v>LAMAR OPTICAL S.A.S</v>
          </cell>
          <cell r="D172" t="str">
            <v>111000194208</v>
          </cell>
          <cell r="E172">
            <v>45010</v>
          </cell>
          <cell r="F172">
            <v>5</v>
          </cell>
          <cell r="G172">
            <v>31</v>
          </cell>
          <cell r="H172">
            <v>1598696.67</v>
          </cell>
          <cell r="I172">
            <v>1397050.17</v>
          </cell>
          <cell r="J172">
            <v>0</v>
          </cell>
          <cell r="K172">
            <v>0</v>
          </cell>
          <cell r="L172">
            <v>0</v>
          </cell>
          <cell r="M172">
            <v>1.7808333333333332E-2</v>
          </cell>
          <cell r="N172">
            <v>1.9818990830229231E-2</v>
          </cell>
          <cell r="O172">
            <v>0.11290542799602621</v>
          </cell>
          <cell r="P172">
            <v>2995746.84</v>
          </cell>
          <cell r="Q172">
            <v>68891782.989999995</v>
          </cell>
          <cell r="R172" t="str">
            <v>OK</v>
          </cell>
          <cell r="S172">
            <v>3027796.11</v>
          </cell>
          <cell r="T172">
            <v>45029</v>
          </cell>
          <cell r="U172" t="str">
            <v>PAGADO</v>
          </cell>
        </row>
        <row r="173">
          <cell r="A173" t="str">
            <v>20234</v>
          </cell>
          <cell r="B173" t="str">
            <v>SERFINANZAS</v>
          </cell>
          <cell r="C173" t="str">
            <v>LAMAR OPTICAL S.A.S</v>
          </cell>
          <cell r="D173" t="str">
            <v>111000194208</v>
          </cell>
          <cell r="E173">
            <v>45041</v>
          </cell>
          <cell r="F173">
            <v>6</v>
          </cell>
          <cell r="G173">
            <v>30</v>
          </cell>
          <cell r="H173">
            <v>1680362.2693996336</v>
          </cell>
          <cell r="I173">
            <v>1224710.0706003662</v>
          </cell>
          <cell r="J173">
            <v>0</v>
          </cell>
          <cell r="K173">
            <v>0</v>
          </cell>
          <cell r="L173">
            <v>0</v>
          </cell>
          <cell r="M173">
            <v>1.7808333333333332E-2</v>
          </cell>
          <cell r="N173">
            <v>1.7777302567102079E-2</v>
          </cell>
          <cell r="O173">
            <v>-1.7424857032055652E-3</v>
          </cell>
          <cell r="P173">
            <v>2905072.34</v>
          </cell>
          <cell r="Q173">
            <v>67211420.720600367</v>
          </cell>
          <cell r="R173" t="str">
            <v>OK</v>
          </cell>
          <cell r="S173">
            <v>2968482.62</v>
          </cell>
          <cell r="T173">
            <v>45045</v>
          </cell>
          <cell r="U173" t="str">
            <v>PAGADO</v>
          </cell>
        </row>
        <row r="174">
          <cell r="A174" t="str">
            <v>20235</v>
          </cell>
          <cell r="B174" t="str">
            <v>SERFINANZAS</v>
          </cell>
          <cell r="C174" t="str">
            <v>LAMAR OPTICAL S.A.S</v>
          </cell>
          <cell r="D174" t="str">
            <v>111000194208</v>
          </cell>
          <cell r="E174">
            <v>45071</v>
          </cell>
          <cell r="F174">
            <v>7</v>
          </cell>
          <cell r="G174">
            <v>29</v>
          </cell>
          <cell r="H174">
            <v>1710300.4349680988</v>
          </cell>
          <cell r="I174">
            <v>1194771.9050319011</v>
          </cell>
          <cell r="J174">
            <v>0</v>
          </cell>
          <cell r="K174">
            <v>0</v>
          </cell>
          <cell r="L174">
            <v>0</v>
          </cell>
          <cell r="M174">
            <v>1.7808333333333332E-2</v>
          </cell>
          <cell r="N174">
            <v>1.7776322717512536E-2</v>
          </cell>
          <cell r="O174">
            <v>-1.7975076736057582E-3</v>
          </cell>
          <cell r="P174">
            <v>2905072.34</v>
          </cell>
          <cell r="Q174">
            <v>65501120.285632268</v>
          </cell>
          <cell r="R174" t="str">
            <v>OK</v>
          </cell>
          <cell r="S174">
            <v>2961916.52</v>
          </cell>
          <cell r="T174">
            <v>45084</v>
          </cell>
          <cell r="U174" t="str">
            <v>PAGADO</v>
          </cell>
        </row>
        <row r="175">
          <cell r="A175" t="str">
            <v>20236</v>
          </cell>
          <cell r="B175" t="str">
            <v>SERFINANZAS</v>
          </cell>
          <cell r="C175" t="str">
            <v>LAMAR OPTICAL S.A.S</v>
          </cell>
          <cell r="D175" t="str">
            <v>111000194208</v>
          </cell>
          <cell r="E175">
            <v>45102</v>
          </cell>
          <cell r="F175">
            <v>8</v>
          </cell>
          <cell r="G175">
            <v>28</v>
          </cell>
          <cell r="H175">
            <v>1729023.11</v>
          </cell>
          <cell r="I175">
            <v>1210329.0549999999</v>
          </cell>
          <cell r="J175">
            <v>0</v>
          </cell>
          <cell r="K175">
            <v>0</v>
          </cell>
          <cell r="L175">
            <v>0</v>
          </cell>
          <cell r="M175">
            <v>1.7808333333333332E-2</v>
          </cell>
          <cell r="N175">
            <v>1.8477990143101211E-2</v>
          </cell>
          <cell r="O175">
            <v>3.7603564423090985E-2</v>
          </cell>
          <cell r="P175">
            <v>2939352.165</v>
          </cell>
          <cell r="Q175">
            <v>63772097.175632268</v>
          </cell>
          <cell r="R175" t="str">
            <v>OK</v>
          </cell>
          <cell r="S175">
            <v>2939362</v>
          </cell>
          <cell r="T175">
            <v>45086</v>
          </cell>
          <cell r="U175" t="str">
            <v>PAGADO</v>
          </cell>
        </row>
        <row r="176">
          <cell r="A176" t="str">
            <v>20237</v>
          </cell>
          <cell r="B176" t="str">
            <v>SERFINANZAS</v>
          </cell>
          <cell r="C176" t="str">
            <v>LAMAR OPTICAL S.A.S</v>
          </cell>
          <cell r="D176" t="str">
            <v>111000194208</v>
          </cell>
          <cell r="E176">
            <v>45132</v>
          </cell>
          <cell r="F176">
            <v>9</v>
          </cell>
          <cell r="G176">
            <v>27</v>
          </cell>
          <cell r="H176">
            <v>1748900.37</v>
          </cell>
          <cell r="I176">
            <v>1208761.04</v>
          </cell>
          <cell r="J176">
            <v>0</v>
          </cell>
          <cell r="K176">
            <v>0</v>
          </cell>
          <cell r="L176">
            <v>0</v>
          </cell>
          <cell r="M176">
            <v>1.7808333333333332E-2</v>
          </cell>
          <cell r="N176">
            <v>1.8954387475622732E-2</v>
          </cell>
          <cell r="O176">
            <v>6.4354935458459606E-2</v>
          </cell>
          <cell r="P176">
            <v>2957661.41</v>
          </cell>
          <cell r="Q176">
            <v>62023196.805632271</v>
          </cell>
          <cell r="R176" t="str">
            <v>OK</v>
          </cell>
          <cell r="S176">
            <v>3009911.74</v>
          </cell>
          <cell r="T176">
            <v>45162</v>
          </cell>
          <cell r="U176" t="str">
            <v>PAGADO</v>
          </cell>
        </row>
        <row r="177">
          <cell r="A177" t="str">
            <v>20238</v>
          </cell>
          <cell r="B177" t="str">
            <v>SERFINANZAS</v>
          </cell>
          <cell r="C177" t="str">
            <v>LAMAR OPTICAL S.A.S</v>
          </cell>
          <cell r="D177" t="str">
            <v>111000194208</v>
          </cell>
          <cell r="E177">
            <v>45163</v>
          </cell>
          <cell r="F177">
            <v>10</v>
          </cell>
          <cell r="G177">
            <v>26</v>
          </cell>
          <cell r="H177">
            <v>1774345.4</v>
          </cell>
          <cell r="I177">
            <v>1194955.04</v>
          </cell>
          <cell r="J177">
            <v>0</v>
          </cell>
          <cell r="K177">
            <v>0</v>
          </cell>
          <cell r="L177">
            <v>0</v>
          </cell>
          <cell r="M177">
            <v>1.7808333333333332E-2</v>
          </cell>
          <cell r="N177">
            <v>1.9266260069514624E-2</v>
          </cell>
          <cell r="O177">
            <v>8.1867668854354259E-2</v>
          </cell>
          <cell r="P177">
            <v>2969300.44</v>
          </cell>
          <cell r="Q177">
            <v>60248851.405632272</v>
          </cell>
          <cell r="R177" t="str">
            <v>OK</v>
          </cell>
          <cell r="S177">
            <v>3017742.39</v>
          </cell>
          <cell r="T177">
            <v>45191</v>
          </cell>
          <cell r="U177" t="str">
            <v>PAGADO</v>
          </cell>
        </row>
        <row r="178">
          <cell r="A178" t="str">
            <v>20239</v>
          </cell>
          <cell r="B178" t="str">
            <v>SERFINANZAS</v>
          </cell>
          <cell r="C178" t="str">
            <v>LAMAR OPTICAL S.A.S</v>
          </cell>
          <cell r="D178" t="str">
            <v>111000194208</v>
          </cell>
          <cell r="E178">
            <v>45194</v>
          </cell>
          <cell r="F178">
            <v>11</v>
          </cell>
          <cell r="G178">
            <v>25</v>
          </cell>
          <cell r="H178">
            <v>1802828.27</v>
          </cell>
          <cell r="I178">
            <v>1175032.92</v>
          </cell>
          <cell r="J178">
            <v>0</v>
          </cell>
          <cell r="K178">
            <v>0</v>
          </cell>
          <cell r="L178">
            <v>0</v>
          </cell>
          <cell r="M178">
            <v>1.7808333333333332E-2</v>
          </cell>
          <cell r="N178">
            <v>1.950299288012906E-2</v>
          </cell>
          <cell r="O178">
            <v>9.5161041467237917E-2</v>
          </cell>
          <cell r="P178">
            <v>2977861.19</v>
          </cell>
          <cell r="Q178">
            <v>58446023.135632269</v>
          </cell>
          <cell r="R178" t="str">
            <v>OK</v>
          </cell>
          <cell r="S178">
            <v>3028000</v>
          </cell>
          <cell r="T178">
            <v>45224</v>
          </cell>
          <cell r="U178" t="str">
            <v>PAGADO</v>
          </cell>
        </row>
        <row r="179">
          <cell r="A179" t="str">
            <v>202310</v>
          </cell>
          <cell r="B179" t="str">
            <v>SERFINANZAS</v>
          </cell>
          <cell r="C179" t="str">
            <v>LAMAR OPTICAL S.A.S</v>
          </cell>
          <cell r="D179" t="str">
            <v>111000194208</v>
          </cell>
          <cell r="E179">
            <v>45224</v>
          </cell>
          <cell r="F179">
            <v>12</v>
          </cell>
          <cell r="G179">
            <v>24</v>
          </cell>
          <cell r="H179">
            <v>1868184.7821506176</v>
          </cell>
          <cell r="I179">
            <v>1036887.5578493823</v>
          </cell>
          <cell r="J179">
            <v>0</v>
          </cell>
          <cell r="K179">
            <v>0</v>
          </cell>
          <cell r="L179">
            <v>0</v>
          </cell>
          <cell r="M179">
            <v>1.7808333333333332E-2</v>
          </cell>
          <cell r="N179">
            <v>1.7740942877210619E-2</v>
          </cell>
          <cell r="O179">
            <v>-3.7842090476020163E-3</v>
          </cell>
          <cell r="P179">
            <v>2905072.34</v>
          </cell>
          <cell r="Q179">
            <v>56577838.35348165</v>
          </cell>
          <cell r="R179" t="str">
            <v>OK</v>
          </cell>
          <cell r="S179">
            <v>3007952.28</v>
          </cell>
          <cell r="T179">
            <v>45254</v>
          </cell>
          <cell r="U179" t="str">
            <v>PAGADO</v>
          </cell>
        </row>
        <row r="180">
          <cell r="A180" t="str">
            <v>202311</v>
          </cell>
          <cell r="B180" t="str">
            <v>SERFINANZAS</v>
          </cell>
          <cell r="C180" t="str">
            <v>LAMAR OPTICAL S.A.S</v>
          </cell>
          <cell r="D180" t="str">
            <v>111000194208</v>
          </cell>
          <cell r="E180">
            <v>45255</v>
          </cell>
          <cell r="F180">
            <v>13</v>
          </cell>
          <cell r="G180">
            <v>23</v>
          </cell>
          <cell r="H180">
            <v>1901469.2865334107</v>
          </cell>
          <cell r="I180">
            <v>1003603.0534665891</v>
          </cell>
          <cell r="J180">
            <v>0</v>
          </cell>
          <cell r="K180">
            <v>0</v>
          </cell>
          <cell r="L180">
            <v>0</v>
          </cell>
          <cell r="M180">
            <v>1.7808333333333332E-2</v>
          </cell>
          <cell r="N180">
            <v>1.7738448174643456E-2</v>
          </cell>
          <cell r="O180">
            <v>-3.9242952937693643E-3</v>
          </cell>
          <cell r="P180">
            <v>2905072.34</v>
          </cell>
          <cell r="Q180">
            <v>54676369.066948242</v>
          </cell>
          <cell r="R180" t="str">
            <v>OK</v>
          </cell>
          <cell r="S180">
            <v>3000000</v>
          </cell>
          <cell r="T180">
            <v>45286</v>
          </cell>
          <cell r="U180" t="str">
            <v>PAGADO</v>
          </cell>
        </row>
        <row r="181">
          <cell r="A181" t="str">
            <v>202312</v>
          </cell>
          <cell r="B181" t="str">
            <v>SERFINANZAS</v>
          </cell>
          <cell r="C181" t="str">
            <v>LAMAR OPTICAL S.A.S</v>
          </cell>
          <cell r="D181" t="str">
            <v>111000194208</v>
          </cell>
          <cell r="E181">
            <v>45285</v>
          </cell>
          <cell r="F181">
            <v>14</v>
          </cell>
          <cell r="G181">
            <v>22</v>
          </cell>
          <cell r="H181">
            <v>1935346.804114145</v>
          </cell>
          <cell r="I181">
            <v>969725.53588585486</v>
          </cell>
          <cell r="J181">
            <v>0</v>
          </cell>
          <cell r="K181">
            <v>2749237</v>
          </cell>
          <cell r="L181">
            <v>0</v>
          </cell>
          <cell r="M181">
            <v>1.7808333333333332E-2</v>
          </cell>
          <cell r="N181">
            <v>1.7735733963944803E-2</v>
          </cell>
          <cell r="O181">
            <v>-4.0767076867681551E-3</v>
          </cell>
          <cell r="P181">
            <v>5654309.3399999999</v>
          </cell>
          <cell r="Q181">
            <v>52741022.262834094</v>
          </cell>
          <cell r="R181" t="str">
            <v>OK</v>
          </cell>
          <cell r="S181">
            <v>5761077.1400000006</v>
          </cell>
          <cell r="T181">
            <v>45315</v>
          </cell>
          <cell r="U181" t="str">
            <v>PAGADO</v>
          </cell>
        </row>
        <row r="182">
          <cell r="A182" t="str">
            <v>20241</v>
          </cell>
          <cell r="B182" t="str">
            <v>SERFINANZAS</v>
          </cell>
          <cell r="C182" t="str">
            <v>LAMAR OPTICAL S.A.S</v>
          </cell>
          <cell r="D182" t="str">
            <v>111000194208</v>
          </cell>
          <cell r="E182">
            <v>45316</v>
          </cell>
          <cell r="F182">
            <v>15</v>
          </cell>
          <cell r="G182">
            <v>21</v>
          </cell>
          <cell r="H182">
            <v>1963091.33</v>
          </cell>
          <cell r="I182">
            <v>987681.23</v>
          </cell>
          <cell r="J182">
            <v>0</v>
          </cell>
          <cell r="K182">
            <v>0</v>
          </cell>
          <cell r="L182">
            <v>0</v>
          </cell>
          <cell r="M182">
            <v>1.7808333333333332E-2</v>
          </cell>
          <cell r="N182">
            <v>1.8727002011411635E-2</v>
          </cell>
          <cell r="O182">
            <v>5.1586448932801288E-2</v>
          </cell>
          <cell r="P182">
            <v>2950772.56</v>
          </cell>
          <cell r="Q182">
            <v>50777930.932834096</v>
          </cell>
          <cell r="R182" t="str">
            <v>OK</v>
          </cell>
          <cell r="S182">
            <v>3050000</v>
          </cell>
          <cell r="T182">
            <v>45346</v>
          </cell>
          <cell r="U182" t="str">
            <v>PAGADO</v>
          </cell>
        </row>
        <row r="183">
          <cell r="A183" t="str">
            <v>20242</v>
          </cell>
          <cell r="B183" t="str">
            <v>SERFINANZAS</v>
          </cell>
          <cell r="C183" t="str">
            <v>LAMAR OPTICAL S.A.S</v>
          </cell>
          <cell r="D183" t="str">
            <v>111000194208</v>
          </cell>
          <cell r="E183">
            <v>45347</v>
          </cell>
          <cell r="F183">
            <v>16</v>
          </cell>
          <cell r="G183">
            <v>20</v>
          </cell>
          <cell r="H183">
            <v>2015435.33</v>
          </cell>
          <cell r="I183">
            <v>913142.76</v>
          </cell>
          <cell r="J183">
            <v>0</v>
          </cell>
          <cell r="K183">
            <v>0</v>
          </cell>
          <cell r="L183">
            <v>0</v>
          </cell>
          <cell r="M183">
            <v>1.7808333333333332E-2</v>
          </cell>
          <cell r="N183">
            <v>1.7983063571610444E-2</v>
          </cell>
          <cell r="O183">
            <v>9.8117120230478694E-3</v>
          </cell>
          <cell r="P183">
            <v>2928578.09</v>
          </cell>
          <cell r="Q183">
            <v>48762495.602834098</v>
          </cell>
          <cell r="R183" t="str">
            <v>OK</v>
          </cell>
          <cell r="S183">
            <v>2940000</v>
          </cell>
          <cell r="T183">
            <v>45377</v>
          </cell>
          <cell r="U183" t="str">
            <v>PAGADO</v>
          </cell>
        </row>
        <row r="184">
          <cell r="A184" t="str">
            <v>20243</v>
          </cell>
          <cell r="B184" t="str">
            <v>SERFINANZAS</v>
          </cell>
          <cell r="C184" t="str">
            <v>LAMAR OPTICAL S.A.S</v>
          </cell>
          <cell r="D184" t="str">
            <v>111000194208</v>
          </cell>
          <cell r="E184">
            <v>45376</v>
          </cell>
          <cell r="F184">
            <v>17</v>
          </cell>
          <cell r="G184">
            <v>19</v>
          </cell>
          <cell r="H184">
            <v>2040644.0347565305</v>
          </cell>
          <cell r="I184">
            <v>864428.30524346943</v>
          </cell>
          <cell r="J184">
            <v>0</v>
          </cell>
          <cell r="K184">
            <v>0</v>
          </cell>
          <cell r="L184">
            <v>0</v>
          </cell>
          <cell r="M184">
            <v>1.7808333333333332E-2</v>
          </cell>
          <cell r="N184">
            <v>1.7727318804274417E-2</v>
          </cell>
          <cell r="O184">
            <v>-4.5492482391529254E-3</v>
          </cell>
          <cell r="P184">
            <v>2905072.34</v>
          </cell>
          <cell r="Q184">
            <v>46721851.568077564</v>
          </cell>
          <cell r="R184" t="str">
            <v>OK</v>
          </cell>
          <cell r="S184">
            <v>2957958.04</v>
          </cell>
          <cell r="T184">
            <v>45406</v>
          </cell>
          <cell r="U184" t="str">
            <v>PAGADO</v>
          </cell>
        </row>
        <row r="185">
          <cell r="A185" t="str">
            <v>20244</v>
          </cell>
          <cell r="B185" t="str">
            <v>SERFINANZAS</v>
          </cell>
          <cell r="C185" t="str">
            <v>LAMAR OPTICAL S.A.S</v>
          </cell>
          <cell r="D185" t="str">
            <v>111000194208</v>
          </cell>
          <cell r="E185">
            <v>45407</v>
          </cell>
          <cell r="F185">
            <v>18</v>
          </cell>
          <cell r="G185">
            <v>18</v>
          </cell>
          <cell r="H185">
            <v>2077001.1585097732</v>
          </cell>
          <cell r="I185">
            <v>828071.18149022677</v>
          </cell>
          <cell r="J185">
            <v>0</v>
          </cell>
          <cell r="K185">
            <v>0</v>
          </cell>
          <cell r="L185">
            <v>0</v>
          </cell>
          <cell r="M185">
            <v>1.7808333333333332E-2</v>
          </cell>
          <cell r="N185">
            <v>1.7723423916187465E-2</v>
          </cell>
          <cell r="O185">
            <v>-4.7679597835770249E-3</v>
          </cell>
          <cell r="P185">
            <v>2905072.34</v>
          </cell>
          <cell r="Q185">
            <v>44644850.409567788</v>
          </cell>
          <cell r="R185" t="str">
            <v>OK</v>
          </cell>
          <cell r="S185">
            <v>3000000</v>
          </cell>
          <cell r="T185">
            <v>45439</v>
          </cell>
          <cell r="U185" t="str">
            <v>PAGADO</v>
          </cell>
        </row>
        <row r="186">
          <cell r="A186" t="str">
            <v>20245</v>
          </cell>
          <cell r="B186" t="str">
            <v>SERFINANZAS</v>
          </cell>
          <cell r="C186" t="str">
            <v>LAMAR OPTICAL S.A.S</v>
          </cell>
          <cell r="D186" t="str">
            <v>111000194208</v>
          </cell>
          <cell r="E186">
            <v>45437</v>
          </cell>
          <cell r="F186">
            <v>19</v>
          </cell>
          <cell r="G186">
            <v>17</v>
          </cell>
          <cell r="H186">
            <v>2114006.0387678714</v>
          </cell>
          <cell r="I186">
            <v>791066.30123212852</v>
          </cell>
          <cell r="J186">
            <v>0</v>
          </cell>
          <cell r="K186">
            <v>0</v>
          </cell>
          <cell r="L186">
            <v>0</v>
          </cell>
          <cell r="M186">
            <v>1.7808333333333332E-2</v>
          </cell>
          <cell r="N186">
            <v>1.77190940046827E-2</v>
          </cell>
          <cell r="O186">
            <v>-5.0110994094879624E-3</v>
          </cell>
          <cell r="P186">
            <v>2905072.34</v>
          </cell>
          <cell r="Q186">
            <v>42530844.370799914</v>
          </cell>
          <cell r="R186" t="str">
            <v>OK</v>
          </cell>
          <cell r="S186">
            <v>2904475</v>
          </cell>
          <cell r="T186">
            <v>45456</v>
          </cell>
          <cell r="U186" t="str">
            <v>PAGADO</v>
          </cell>
        </row>
        <row r="187">
          <cell r="A187" t="str">
            <v>20246</v>
          </cell>
          <cell r="B187" t="str">
            <v>SERFINANZAS</v>
          </cell>
          <cell r="C187" t="str">
            <v>LAMAR OPTICAL S.A.S</v>
          </cell>
          <cell r="D187" t="str">
            <v>111000194208</v>
          </cell>
          <cell r="E187">
            <v>45468</v>
          </cell>
          <cell r="F187">
            <v>20</v>
          </cell>
          <cell r="G187">
            <v>16</v>
          </cell>
          <cell r="H187">
            <v>2151670.2162812003</v>
          </cell>
          <cell r="I187">
            <v>753402.12371879956</v>
          </cell>
          <cell r="J187">
            <v>0</v>
          </cell>
          <cell r="K187">
            <v>0</v>
          </cell>
          <cell r="L187">
            <v>597.33999999985099</v>
          </cell>
          <cell r="M187">
            <v>1.7808333333333332E-2</v>
          </cell>
          <cell r="N187">
            <v>1.7714252676254347E-2</v>
          </cell>
          <cell r="O187">
            <v>-5.2829568785578429E-3</v>
          </cell>
          <cell r="P187">
            <v>2905669.6799999997</v>
          </cell>
          <cell r="Q187">
            <v>40379174.154518716</v>
          </cell>
          <cell r="R187" t="str">
            <v>OK</v>
          </cell>
          <cell r="S187">
            <v>2908348.8</v>
          </cell>
          <cell r="T187">
            <v>45471</v>
          </cell>
          <cell r="U187" t="str">
            <v>PAGADO</v>
          </cell>
        </row>
        <row r="188">
          <cell r="A188" t="str">
            <v>20247</v>
          </cell>
          <cell r="B188" t="str">
            <v>SERFINANZAS</v>
          </cell>
          <cell r="C188" t="str">
            <v>LAMAR OPTICAL S.A.S</v>
          </cell>
          <cell r="D188" t="str">
            <v>111000194208</v>
          </cell>
          <cell r="E188">
            <v>45498</v>
          </cell>
          <cell r="F188">
            <v>21</v>
          </cell>
          <cell r="G188">
            <v>15</v>
          </cell>
          <cell r="H188">
            <v>2190005.4374158531</v>
          </cell>
          <cell r="I188">
            <v>715066.90258414682</v>
          </cell>
          <cell r="J188">
            <v>0</v>
          </cell>
          <cell r="K188">
            <v>0</v>
          </cell>
          <cell r="L188">
            <v>0</v>
          </cell>
          <cell r="M188">
            <v>1.7808333333333332E-2</v>
          </cell>
          <cell r="N188">
            <v>1.7708804539880014E-2</v>
          </cell>
          <cell r="O188">
            <v>-5.5888887292457889E-3</v>
          </cell>
          <cell r="P188">
            <v>2905072.34</v>
          </cell>
          <cell r="Q188">
            <v>38189168.717102863</v>
          </cell>
          <cell r="R188" t="str">
            <v>OK</v>
          </cell>
          <cell r="S188">
            <v>2930132</v>
          </cell>
          <cell r="T188">
            <v>45516</v>
          </cell>
          <cell r="U188" t="str">
            <v>PAGADO</v>
          </cell>
        </row>
        <row r="189">
          <cell r="A189" t="str">
            <v>20248</v>
          </cell>
          <cell r="B189" t="str">
            <v>SERFINANZAS</v>
          </cell>
          <cell r="C189" t="str">
            <v>LAMAR OPTICAL S.A.S</v>
          </cell>
          <cell r="D189" t="str">
            <v>111000194208</v>
          </cell>
          <cell r="E189">
            <v>45529</v>
          </cell>
          <cell r="F189">
            <v>22</v>
          </cell>
          <cell r="G189">
            <v>14</v>
          </cell>
          <cell r="H189">
            <v>2229023.6578169931</v>
          </cell>
          <cell r="I189">
            <v>676048.68218300666</v>
          </cell>
          <cell r="J189">
            <v>0</v>
          </cell>
          <cell r="K189">
            <v>0</v>
          </cell>
          <cell r="L189">
            <v>0</v>
          </cell>
          <cell r="M189">
            <v>1.7808333333333332E-2</v>
          </cell>
          <cell r="N189">
            <v>1.7702628910072113E-2</v>
          </cell>
          <cell r="O189">
            <v>-5.9356718724128399E-3</v>
          </cell>
          <cell r="P189">
            <v>2905072.34</v>
          </cell>
          <cell r="Q189">
            <v>35960145.059285872</v>
          </cell>
          <cell r="R189">
            <v>8</v>
          </cell>
          <cell r="U189" t="str">
            <v>PENDIENTE</v>
          </cell>
        </row>
        <row r="190">
          <cell r="A190" t="str">
            <v>20249</v>
          </cell>
          <cell r="B190" t="str">
            <v>SERFINANZAS</v>
          </cell>
          <cell r="C190" t="str">
            <v>LAMAR OPTICAL S.A.S</v>
          </cell>
          <cell r="D190" t="str">
            <v>111000194208</v>
          </cell>
          <cell r="E190">
            <v>45560</v>
          </cell>
          <cell r="F190">
            <v>23</v>
          </cell>
          <cell r="G190">
            <v>13</v>
          </cell>
          <cell r="H190">
            <v>2268737.0461374735</v>
          </cell>
          <cell r="I190">
            <v>636335.29386252642</v>
          </cell>
          <cell r="J190">
            <v>0</v>
          </cell>
          <cell r="K190">
            <v>0</v>
          </cell>
          <cell r="L190">
            <v>0</v>
          </cell>
          <cell r="M190">
            <v>1.7808333333333332E-2</v>
          </cell>
          <cell r="N190">
            <v>1.7695570827465493E-2</v>
          </cell>
          <cell r="O190">
            <v>-6.3320078166311244E-3</v>
          </cell>
          <cell r="P190">
            <v>2905072.34</v>
          </cell>
          <cell r="Q190">
            <v>33691408.013148397</v>
          </cell>
          <cell r="R190">
            <v>8</v>
          </cell>
          <cell r="U190" t="str">
            <v>PENDIENTE</v>
          </cell>
        </row>
        <row r="191">
          <cell r="A191" t="str">
            <v>202410</v>
          </cell>
          <cell r="B191" t="str">
            <v>SERFINANZAS</v>
          </cell>
          <cell r="C191" t="str">
            <v>LAMAR OPTICAL S.A.S</v>
          </cell>
          <cell r="D191" t="str">
            <v>111000194208</v>
          </cell>
          <cell r="E191">
            <v>45590</v>
          </cell>
          <cell r="F191">
            <v>24</v>
          </cell>
          <cell r="G191">
            <v>12</v>
          </cell>
          <cell r="H191">
            <v>2309157.9878328862</v>
          </cell>
          <cell r="I191">
            <v>595914.35216711345</v>
          </cell>
          <cell r="J191">
            <v>0</v>
          </cell>
          <cell r="K191">
            <v>0</v>
          </cell>
          <cell r="L191">
            <v>0</v>
          </cell>
          <cell r="M191">
            <v>1.7808333333333332E-2</v>
          </cell>
          <cell r="N191">
            <v>1.7687427961887259E-2</v>
          </cell>
          <cell r="O191">
            <v>-6.7892581064711299E-3</v>
          </cell>
          <cell r="P191">
            <v>2905072.34</v>
          </cell>
          <cell r="Q191">
            <v>31382250.025315512</v>
          </cell>
          <cell r="R191">
            <v>-23</v>
          </cell>
          <cell r="U191" t="str">
            <v>PENDIENTE</v>
          </cell>
        </row>
        <row r="192">
          <cell r="A192" t="str">
            <v>202411</v>
          </cell>
          <cell r="B192" t="str">
            <v>SERFINANZAS</v>
          </cell>
          <cell r="C192" t="str">
            <v>LAMAR OPTICAL S.A.S</v>
          </cell>
          <cell r="D192" t="str">
            <v>111000194208</v>
          </cell>
          <cell r="E192">
            <v>45621</v>
          </cell>
          <cell r="F192">
            <v>25</v>
          </cell>
          <cell r="G192">
            <v>11</v>
          </cell>
          <cell r="H192">
            <v>2350299.0890242294</v>
          </cell>
          <cell r="I192">
            <v>554773.25097577053</v>
          </cell>
          <cell r="J192">
            <v>0</v>
          </cell>
          <cell r="K192">
            <v>0</v>
          </cell>
          <cell r="L192">
            <v>0</v>
          </cell>
          <cell r="M192">
            <v>1.7808333333333332E-2</v>
          </cell>
          <cell r="N192">
            <v>1.7677931012857417E-2</v>
          </cell>
          <cell r="O192">
            <v>-7.322544902718664E-3</v>
          </cell>
          <cell r="P192">
            <v>2905072.34</v>
          </cell>
          <cell r="Q192">
            <v>29031950.936291281</v>
          </cell>
          <cell r="R192">
            <v>-53</v>
          </cell>
          <cell r="U192" t="str">
            <v>PENDIENTE</v>
          </cell>
        </row>
        <row r="193">
          <cell r="A193" t="str">
            <v>202412</v>
          </cell>
          <cell r="B193" t="str">
            <v>SERFINANZAS</v>
          </cell>
          <cell r="C193" t="str">
            <v>LAMAR OPTICAL S.A.S</v>
          </cell>
          <cell r="D193" t="str">
            <v>111000194208</v>
          </cell>
          <cell r="E193">
            <v>45651</v>
          </cell>
          <cell r="F193">
            <v>26</v>
          </cell>
          <cell r="G193">
            <v>10</v>
          </cell>
          <cell r="H193">
            <v>2392173.1804293883</v>
          </cell>
          <cell r="I193">
            <v>512899.15957061161</v>
          </cell>
          <cell r="J193">
            <v>0</v>
          </cell>
          <cell r="K193">
            <v>0</v>
          </cell>
          <cell r="L193">
            <v>0</v>
          </cell>
          <cell r="M193">
            <v>1.7808333333333332E-2</v>
          </cell>
          <cell r="N193">
            <v>1.7666713501140012E-2</v>
          </cell>
          <cell r="O193">
            <v>-7.9524472920909917E-3</v>
          </cell>
          <cell r="P193">
            <v>2905072.34</v>
          </cell>
          <cell r="Q193">
            <v>26639777.755861893</v>
          </cell>
          <cell r="R193">
            <v>-84</v>
          </cell>
          <cell r="U193" t="str">
            <v>PENDIENTE</v>
          </cell>
        </row>
        <row r="194">
          <cell r="A194" t="str">
            <v>20251</v>
          </cell>
          <cell r="B194" t="str">
            <v>SERFINANZAS</v>
          </cell>
          <cell r="C194" t="str">
            <v>LAMAR OPTICAL S.A.S</v>
          </cell>
          <cell r="D194" t="str">
            <v>111000194208</v>
          </cell>
          <cell r="E194">
            <v>45682</v>
          </cell>
          <cell r="F194">
            <v>27</v>
          </cell>
          <cell r="G194">
            <v>9</v>
          </cell>
          <cell r="H194">
            <v>2434793.3213646668</v>
          </cell>
          <cell r="I194">
            <v>470279.01863533293</v>
          </cell>
          <cell r="J194">
            <v>0</v>
          </cell>
          <cell r="K194">
            <v>0</v>
          </cell>
          <cell r="L194">
            <v>0</v>
          </cell>
          <cell r="M194">
            <v>1.7808333333333332E-2</v>
          </cell>
          <cell r="N194">
            <v>1.7653263587450591E-2</v>
          </cell>
          <cell r="O194">
            <v>-8.7077068347819475E-3</v>
          </cell>
          <cell r="P194">
            <v>2905072.34</v>
          </cell>
          <cell r="Q194">
            <v>24204984.434497226</v>
          </cell>
          <cell r="R194">
            <v>-114</v>
          </cell>
          <cell r="U194" t="str">
            <v>PENDIENTE</v>
          </cell>
        </row>
        <row r="195">
          <cell r="A195" t="str">
            <v>20252</v>
          </cell>
          <cell r="B195" t="str">
            <v>SERFINANZAS</v>
          </cell>
          <cell r="C195" t="str">
            <v>LAMAR OPTICAL S.A.S</v>
          </cell>
          <cell r="D195" t="str">
            <v>111000194208</v>
          </cell>
          <cell r="E195">
            <v>45713</v>
          </cell>
          <cell r="F195">
            <v>28</v>
          </cell>
          <cell r="G195">
            <v>8</v>
          </cell>
          <cell r="H195">
            <v>2478172.8038176098</v>
          </cell>
          <cell r="I195">
            <v>426899.53618238994</v>
          </cell>
          <cell r="J195">
            <v>0</v>
          </cell>
          <cell r="K195">
            <v>0</v>
          </cell>
          <cell r="L195">
            <v>0</v>
          </cell>
          <cell r="M195">
            <v>1.7808333333333332E-2</v>
          </cell>
          <cell r="N195">
            <v>1.7636844069768034E-2</v>
          </cell>
          <cell r="O195">
            <v>-9.6297199943078393E-3</v>
          </cell>
          <cell r="P195">
            <v>2905072.34</v>
          </cell>
          <cell r="Q195">
            <v>21726811.630679615</v>
          </cell>
          <cell r="R195">
            <v>-145</v>
          </cell>
          <cell r="U195" t="str">
            <v>PENDIENTE</v>
          </cell>
        </row>
        <row r="196">
          <cell r="A196" t="str">
            <v>20253</v>
          </cell>
          <cell r="B196" t="str">
            <v>SERFINANZAS</v>
          </cell>
          <cell r="C196" t="str">
            <v>LAMAR OPTICAL S.A.S</v>
          </cell>
          <cell r="D196" t="str">
            <v>111000194208</v>
          </cell>
          <cell r="E196">
            <v>45741</v>
          </cell>
          <cell r="F196">
            <v>29</v>
          </cell>
          <cell r="G196">
            <v>7</v>
          </cell>
          <cell r="H196">
            <v>2522325.1565923882</v>
          </cell>
          <cell r="I196">
            <v>382747.18340761185</v>
          </cell>
          <cell r="J196">
            <v>0</v>
          </cell>
          <cell r="K196">
            <v>0</v>
          </cell>
          <cell r="L196">
            <v>0</v>
          </cell>
          <cell r="M196">
            <v>1.7808333333333332E-2</v>
          </cell>
          <cell r="N196">
            <v>1.7616353007228587E-2</v>
          </cell>
          <cell r="O196">
            <v>-1.0780364591749803E-2</v>
          </cell>
          <cell r="P196">
            <v>2905072.34</v>
          </cell>
          <cell r="Q196">
            <v>19204486.474087227</v>
          </cell>
          <cell r="R196">
            <v>-176</v>
          </cell>
          <cell r="U196" t="str">
            <v>PENDIENTE</v>
          </cell>
        </row>
        <row r="197">
          <cell r="A197" t="str">
            <v>20254</v>
          </cell>
          <cell r="B197" t="str">
            <v>SERFINANZAS</v>
          </cell>
          <cell r="C197" t="str">
            <v>LAMAR OPTICAL S.A.S</v>
          </cell>
          <cell r="D197" t="str">
            <v>111000194208</v>
          </cell>
          <cell r="E197">
            <v>45772</v>
          </cell>
          <cell r="F197">
            <v>30</v>
          </cell>
          <cell r="G197">
            <v>6</v>
          </cell>
          <cell r="H197">
            <v>2567264.1495290408</v>
          </cell>
          <cell r="I197">
            <v>337808.19047095906</v>
          </cell>
          <cell r="J197">
            <v>0</v>
          </cell>
          <cell r="K197">
            <v>0</v>
          </cell>
          <cell r="L197">
            <v>0</v>
          </cell>
          <cell r="M197">
            <v>1.7808333333333332E-2</v>
          </cell>
          <cell r="N197">
            <v>1.7590066306993758E-2</v>
          </cell>
          <cell r="O197">
            <v>-1.2256454450514265E-2</v>
          </cell>
          <cell r="P197">
            <v>2905072.34</v>
          </cell>
          <cell r="Q197">
            <v>16637222.324558187</v>
          </cell>
          <cell r="R197">
            <v>-204</v>
          </cell>
          <cell r="U197" t="str">
            <v>PENDIENTE</v>
          </cell>
        </row>
        <row r="198">
          <cell r="A198" t="str">
            <v>20255</v>
          </cell>
          <cell r="B198" t="str">
            <v>SERFINANZAS</v>
          </cell>
          <cell r="C198" t="str">
            <v>LAMAR OPTICAL S.A.S</v>
          </cell>
          <cell r="D198" t="str">
            <v>111000194208</v>
          </cell>
          <cell r="E198">
            <v>45802</v>
          </cell>
          <cell r="F198">
            <v>31</v>
          </cell>
          <cell r="G198">
            <v>5</v>
          </cell>
          <cell r="H198">
            <v>2613003.7977978904</v>
          </cell>
          <cell r="I198">
            <v>292068.54220210924</v>
          </cell>
          <cell r="J198">
            <v>0</v>
          </cell>
          <cell r="K198">
            <v>0</v>
          </cell>
          <cell r="L198">
            <v>0</v>
          </cell>
          <cell r="M198">
            <v>1.7808333333333332E-2</v>
          </cell>
          <cell r="N198">
            <v>1.7555126481118614E-2</v>
          </cell>
          <cell r="O198">
            <v>-1.4218447480470853E-2</v>
          </cell>
          <cell r="P198">
            <v>2905072.34</v>
          </cell>
          <cell r="Q198">
            <v>14024218.526760297</v>
          </cell>
          <cell r="R198">
            <v>-235</v>
          </cell>
          <cell r="U198" t="str">
            <v>PENDIENTE</v>
          </cell>
        </row>
        <row r="199">
          <cell r="A199" t="str">
            <v>20256</v>
          </cell>
          <cell r="B199" t="str">
            <v>SERFINANZAS</v>
          </cell>
          <cell r="C199" t="str">
            <v>LAMAR OPTICAL S.A.S</v>
          </cell>
          <cell r="D199" t="str">
            <v>111000194208</v>
          </cell>
          <cell r="E199">
            <v>45833</v>
          </cell>
          <cell r="F199">
            <v>32</v>
          </cell>
          <cell r="G199">
            <v>4</v>
          </cell>
          <cell r="H199">
            <v>2659558.3662704686</v>
          </cell>
          <cell r="I199">
            <v>245513.97372953128</v>
          </cell>
          <cell r="J199">
            <v>0</v>
          </cell>
          <cell r="K199">
            <v>0</v>
          </cell>
          <cell r="L199">
            <v>0</v>
          </cell>
          <cell r="M199">
            <v>1.7808333333333332E-2</v>
          </cell>
          <cell r="N199">
            <v>1.7506428130812001E-2</v>
          </cell>
          <cell r="O199">
            <v>-1.695302962216183E-2</v>
          </cell>
          <cell r="P199">
            <v>2905072.34</v>
          </cell>
          <cell r="Q199">
            <v>11364660.160489827</v>
          </cell>
          <cell r="R199">
            <v>-265</v>
          </cell>
          <cell r="U199" t="str">
            <v>PENDIENTE</v>
          </cell>
        </row>
        <row r="200">
          <cell r="A200" t="str">
            <v>20257</v>
          </cell>
          <cell r="B200" t="str">
            <v>SERFINANZAS</v>
          </cell>
          <cell r="C200" t="str">
            <v>LAMAR OPTICAL S.A.S</v>
          </cell>
          <cell r="D200" t="str">
            <v>111000194208</v>
          </cell>
          <cell r="E200">
            <v>45863</v>
          </cell>
          <cell r="F200">
            <v>33</v>
          </cell>
          <cell r="G200">
            <v>3</v>
          </cell>
          <cell r="H200">
            <v>2706942.3739683144</v>
          </cell>
          <cell r="I200">
            <v>198129.96603168527</v>
          </cell>
          <cell r="J200">
            <v>0</v>
          </cell>
          <cell r="K200">
            <v>0</v>
          </cell>
          <cell r="L200">
            <v>0</v>
          </cell>
          <cell r="M200">
            <v>1.7808333333333332E-2</v>
          </cell>
          <cell r="N200">
            <v>1.7433866321889705E-2</v>
          </cell>
          <cell r="O200">
            <v>-2.1027628157807787E-2</v>
          </cell>
          <cell r="P200">
            <v>2905072.34</v>
          </cell>
          <cell r="Q200">
            <v>8657717.786521513</v>
          </cell>
          <cell r="R200">
            <v>-296</v>
          </cell>
          <cell r="U200" t="str">
            <v>PENDIENTE</v>
          </cell>
        </row>
        <row r="201">
          <cell r="A201" t="str">
            <v>20258</v>
          </cell>
          <cell r="B201" t="str">
            <v>SERFINANZAS</v>
          </cell>
          <cell r="C201" t="str">
            <v>LAMAR OPTICAL S.A.S</v>
          </cell>
          <cell r="D201" t="str">
            <v>111000194208</v>
          </cell>
          <cell r="E201">
            <v>45894</v>
          </cell>
          <cell r="F201">
            <v>34</v>
          </cell>
          <cell r="G201">
            <v>2</v>
          </cell>
          <cell r="H201">
            <v>2755170.5985910399</v>
          </cell>
          <cell r="I201">
            <v>149901.74140896008</v>
          </cell>
          <cell r="J201">
            <v>0</v>
          </cell>
          <cell r="K201">
            <v>0</v>
          </cell>
          <cell r="L201">
            <v>0</v>
          </cell>
          <cell r="M201">
            <v>1.7808333333333332E-2</v>
          </cell>
          <cell r="N201">
            <v>1.7314232815757721E-2</v>
          </cell>
          <cell r="O201">
            <v>-2.7745466592921542E-2</v>
          </cell>
          <cell r="P201">
            <v>2905072.34</v>
          </cell>
          <cell r="Q201">
            <v>5902547.1879304731</v>
          </cell>
          <cell r="R201">
            <v>-326</v>
          </cell>
          <cell r="U201" t="str">
            <v>PENDIENTE</v>
          </cell>
        </row>
        <row r="202">
          <cell r="A202" t="str">
            <v>20259</v>
          </cell>
          <cell r="B202" t="str">
            <v>SERFINANZAS</v>
          </cell>
          <cell r="C202" t="str">
            <v>LAMAR OPTICAL S.A.S</v>
          </cell>
          <cell r="D202" t="str">
            <v>111000194208</v>
          </cell>
          <cell r="E202">
            <v>45925</v>
          </cell>
          <cell r="F202">
            <v>35</v>
          </cell>
          <cell r="G202">
            <v>1</v>
          </cell>
          <cell r="H202">
            <v>2804258.0811250629</v>
          </cell>
          <cell r="I202">
            <v>100814.25887493692</v>
          </cell>
          <cell r="J202">
            <v>0</v>
          </cell>
          <cell r="K202">
            <v>0</v>
          </cell>
          <cell r="L202">
            <v>0</v>
          </cell>
          <cell r="M202">
            <v>1.7808333333333332E-2</v>
          </cell>
          <cell r="N202">
            <v>1.7079788719195993E-2</v>
          </cell>
          <cell r="O202">
            <v>-4.0910319932840777E-2</v>
          </cell>
          <cell r="P202">
            <v>2905072.34</v>
          </cell>
          <cell r="Q202">
            <v>3098289.1068054102</v>
          </cell>
          <cell r="R202">
            <v>-357</v>
          </cell>
          <cell r="U202" t="str">
            <v>PENDIENTE</v>
          </cell>
        </row>
        <row r="203">
          <cell r="A203" t="str">
            <v>202510</v>
          </cell>
          <cell r="B203" t="str">
            <v>SERFINANZAS</v>
          </cell>
          <cell r="C203" t="str">
            <v>LAMAR OPTICAL S.A.S</v>
          </cell>
          <cell r="D203" t="str">
            <v>111000194208</v>
          </cell>
          <cell r="E203">
            <v>45955</v>
          </cell>
          <cell r="F203">
            <v>36</v>
          </cell>
          <cell r="G203">
            <v>0</v>
          </cell>
          <cell r="H203">
            <v>2854220.7740179487</v>
          </cell>
          <cell r="I203">
            <v>50852.209465541222</v>
          </cell>
          <cell r="J203">
            <v>0</v>
          </cell>
          <cell r="K203">
            <v>0</v>
          </cell>
          <cell r="L203">
            <v>0</v>
          </cell>
          <cell r="M203">
            <v>1.7808333333333332E-2</v>
          </cell>
          <cell r="N203">
            <v>1.6412996887167193E-2</v>
          </cell>
          <cell r="O203">
            <v>-7.8353005868009751E-2</v>
          </cell>
          <cell r="P203">
            <v>2905072.9834834901</v>
          </cell>
          <cell r="Q203">
            <v>244068.33278746158</v>
          </cell>
          <cell r="R203">
            <v>-388</v>
          </cell>
          <cell r="U203" t="str">
            <v>PENDIENTE</v>
          </cell>
        </row>
        <row r="204">
          <cell r="A204" t="str">
            <v>20234</v>
          </cell>
          <cell r="B204" t="str">
            <v>BANCO DE OCCIDENTE</v>
          </cell>
          <cell r="C204" t="str">
            <v>LAMAR OPTICAL S.A.S</v>
          </cell>
          <cell r="D204" t="str">
            <v>180153332</v>
          </cell>
          <cell r="E204">
            <v>45045</v>
          </cell>
          <cell r="F204">
            <v>0</v>
          </cell>
          <cell r="G204">
            <v>60</v>
          </cell>
          <cell r="H204">
            <v>54900000</v>
          </cell>
          <cell r="I204">
            <v>0</v>
          </cell>
          <cell r="J204">
            <v>0</v>
          </cell>
          <cell r="K204">
            <v>0</v>
          </cell>
          <cell r="L204">
            <v>0</v>
          </cell>
          <cell r="M204">
            <v>1.8034166666666667E-2</v>
          </cell>
          <cell r="N204">
            <v>0</v>
          </cell>
          <cell r="O204">
            <v>-1</v>
          </cell>
          <cell r="P204">
            <v>54900000</v>
          </cell>
          <cell r="Q204">
            <v>270000000</v>
          </cell>
          <cell r="R204" t="str">
            <v>OK</v>
          </cell>
          <cell r="S204">
            <v>54900000</v>
          </cell>
          <cell r="T204">
            <v>45043</v>
          </cell>
          <cell r="U204" t="str">
            <v>PAGADO</v>
          </cell>
        </row>
        <row r="205">
          <cell r="A205" t="str">
            <v>20235</v>
          </cell>
          <cell r="B205" t="str">
            <v>BANCO DE OCCIDENTE</v>
          </cell>
          <cell r="C205" t="str">
            <v>LAMAR OPTICAL S.A.S</v>
          </cell>
          <cell r="D205" t="str">
            <v>180153332</v>
          </cell>
          <cell r="E205">
            <v>45075</v>
          </cell>
          <cell r="F205">
            <v>1</v>
          </cell>
          <cell r="G205">
            <v>59</v>
          </cell>
          <cell r="H205">
            <v>2507546</v>
          </cell>
          <cell r="I205">
            <v>4869225</v>
          </cell>
          <cell r="J205">
            <v>0</v>
          </cell>
          <cell r="K205">
            <v>0</v>
          </cell>
          <cell r="L205">
            <v>0</v>
          </cell>
          <cell r="M205">
            <v>1.8034166666666667E-2</v>
          </cell>
          <cell r="N205">
            <v>1.8034166666666667E-2</v>
          </cell>
          <cell r="O205">
            <v>0</v>
          </cell>
          <cell r="P205">
            <v>7376771</v>
          </cell>
          <cell r="Q205">
            <v>267492454</v>
          </cell>
          <cell r="R205" t="str">
            <v>OK</v>
          </cell>
          <cell r="S205">
            <v>7800000</v>
          </cell>
          <cell r="T205">
            <v>45098</v>
          </cell>
          <cell r="U205" t="str">
            <v>PAGADO</v>
          </cell>
        </row>
        <row r="206">
          <cell r="A206" t="str">
            <v>20236</v>
          </cell>
          <cell r="B206" t="str">
            <v>BANCO DE OCCIDENTE</v>
          </cell>
          <cell r="C206" t="str">
            <v>LAMAR OPTICAL S.A.S</v>
          </cell>
          <cell r="D206" t="str">
            <v>180153332</v>
          </cell>
          <cell r="E206">
            <v>45106</v>
          </cell>
          <cell r="F206">
            <v>2</v>
          </cell>
          <cell r="G206">
            <v>58</v>
          </cell>
          <cell r="H206">
            <v>2537914</v>
          </cell>
          <cell r="I206">
            <v>4870592</v>
          </cell>
          <cell r="J206">
            <v>0</v>
          </cell>
          <cell r="K206">
            <v>24.18</v>
          </cell>
          <cell r="L206">
            <v>0</v>
          </cell>
          <cell r="M206">
            <v>1.8034166666666667E-2</v>
          </cell>
          <cell r="N206">
            <v>1.8208334205943619E-2</v>
          </cell>
          <cell r="O206">
            <v>9.657642767540553E-3</v>
          </cell>
          <cell r="P206">
            <v>7408530.1799999997</v>
          </cell>
          <cell r="Q206">
            <v>264954540</v>
          </cell>
          <cell r="R206" t="str">
            <v>OK</v>
          </cell>
          <cell r="S206">
            <v>8000000</v>
          </cell>
          <cell r="T206">
            <v>45133</v>
          </cell>
          <cell r="U206" t="str">
            <v>PAGADO</v>
          </cell>
        </row>
        <row r="207">
          <cell r="A207" t="str">
            <v>20237</v>
          </cell>
          <cell r="B207" t="str">
            <v>BANCO DE OCCIDENTE</v>
          </cell>
          <cell r="C207" t="str">
            <v>LAMAR OPTICAL S.A.S</v>
          </cell>
          <cell r="D207" t="str">
            <v>180153332</v>
          </cell>
          <cell r="E207">
            <v>45134</v>
          </cell>
          <cell r="F207">
            <v>3</v>
          </cell>
          <cell r="G207">
            <v>57</v>
          </cell>
          <cell r="H207">
            <v>2584691</v>
          </cell>
          <cell r="I207">
            <v>4822614</v>
          </cell>
          <cell r="J207">
            <v>0</v>
          </cell>
          <cell r="K207">
            <v>24.17</v>
          </cell>
          <cell r="L207">
            <v>0</v>
          </cell>
          <cell r="M207">
            <v>1.8034166666666667E-2</v>
          </cell>
          <cell r="N207">
            <v>1.8201665840487203E-2</v>
          </cell>
          <cell r="O207">
            <v>9.287879884693151E-3</v>
          </cell>
          <cell r="P207">
            <v>7407329.1699999999</v>
          </cell>
          <cell r="Q207">
            <v>262369849</v>
          </cell>
          <cell r="R207" t="str">
            <v>OK</v>
          </cell>
          <cell r="S207">
            <v>8000000</v>
          </cell>
          <cell r="T207">
            <v>45166</v>
          </cell>
          <cell r="U207" t="str">
            <v>PAGADO</v>
          </cell>
        </row>
        <row r="208">
          <cell r="A208" t="str">
            <v>20238</v>
          </cell>
          <cell r="B208" t="str">
            <v>BANCO DE OCCIDENTE</v>
          </cell>
          <cell r="C208" t="str">
            <v>LAMAR OPTICAL S.A.S</v>
          </cell>
          <cell r="D208" t="str">
            <v>180153332</v>
          </cell>
          <cell r="E208">
            <v>45166</v>
          </cell>
          <cell r="F208">
            <v>4</v>
          </cell>
          <cell r="G208">
            <v>56</v>
          </cell>
          <cell r="H208">
            <v>2645672</v>
          </cell>
          <cell r="I208">
            <v>4731099</v>
          </cell>
          <cell r="J208">
            <v>0</v>
          </cell>
          <cell r="K208">
            <v>0</v>
          </cell>
          <cell r="L208">
            <v>0</v>
          </cell>
          <cell r="M208">
            <v>1.8034166666666667E-2</v>
          </cell>
          <cell r="N208">
            <v>1.8032174878448017E-2</v>
          </cell>
          <cell r="O208">
            <v>-1.1044525957115692E-4</v>
          </cell>
          <cell r="P208">
            <v>7376771</v>
          </cell>
          <cell r="Q208">
            <v>259724177</v>
          </cell>
          <cell r="R208" t="str">
            <v>OK</v>
          </cell>
          <cell r="S208">
            <v>8000000</v>
          </cell>
          <cell r="T208">
            <v>45196</v>
          </cell>
          <cell r="U208" t="str">
            <v>PAGADO</v>
          </cell>
        </row>
        <row r="209">
          <cell r="A209" t="str">
            <v>20239</v>
          </cell>
          <cell r="B209" t="str">
            <v>BANCO DE OCCIDENTE</v>
          </cell>
          <cell r="C209" t="str">
            <v>LAMAR OPTICAL S.A.S</v>
          </cell>
          <cell r="D209" t="str">
            <v>180153332</v>
          </cell>
          <cell r="E209">
            <v>45198</v>
          </cell>
          <cell r="F209">
            <v>5</v>
          </cell>
          <cell r="G209">
            <v>55</v>
          </cell>
          <cell r="H209">
            <v>2693384</v>
          </cell>
          <cell r="I209">
            <v>4683387</v>
          </cell>
          <cell r="J209">
            <v>0</v>
          </cell>
          <cell r="K209">
            <v>0</v>
          </cell>
          <cell r="L209">
            <v>0</v>
          </cell>
          <cell r="M209">
            <v>1.8034166666666667E-2</v>
          </cell>
          <cell r="N209">
            <v>1.8032156474982304E-2</v>
          </cell>
          <cell r="O209">
            <v>-1.1146573731513065E-4</v>
          </cell>
          <cell r="P209">
            <v>7376771</v>
          </cell>
          <cell r="Q209">
            <v>257030793</v>
          </cell>
          <cell r="R209" t="str">
            <v>OK</v>
          </cell>
          <cell r="S209">
            <v>7000000</v>
          </cell>
          <cell r="T209">
            <v>45229</v>
          </cell>
          <cell r="U209" t="str">
            <v>PAGADO</v>
          </cell>
        </row>
        <row r="210">
          <cell r="A210" t="str">
            <v>202310</v>
          </cell>
          <cell r="B210" t="str">
            <v>BANCO DE OCCIDENTE</v>
          </cell>
          <cell r="C210" t="str">
            <v>LAMAR OPTICAL S.A.S</v>
          </cell>
          <cell r="D210" t="str">
            <v>180153332</v>
          </cell>
          <cell r="E210">
            <v>45228</v>
          </cell>
          <cell r="F210">
            <v>6</v>
          </cell>
          <cell r="G210">
            <v>54</v>
          </cell>
          <cell r="H210">
            <v>2730313</v>
          </cell>
          <cell r="I210">
            <v>4673111</v>
          </cell>
          <cell r="J210">
            <v>0</v>
          </cell>
          <cell r="K210">
            <v>0</v>
          </cell>
          <cell r="L210">
            <v>0</v>
          </cell>
          <cell r="M210">
            <v>1.8034166666666667E-2</v>
          </cell>
          <cell r="N210">
            <v>1.8181132873056186E-2</v>
          </cell>
          <cell r="O210">
            <v>8.1493206260072615E-3</v>
          </cell>
          <cell r="P210">
            <v>7403424</v>
          </cell>
          <cell r="Q210">
            <v>254300480</v>
          </cell>
          <cell r="R210" t="str">
            <v>OK</v>
          </cell>
          <cell r="S210">
            <v>8100000</v>
          </cell>
          <cell r="T210">
            <v>45260</v>
          </cell>
          <cell r="U210" t="str">
            <v>PAGADO</v>
          </cell>
        </row>
        <row r="211">
          <cell r="A211" t="str">
            <v>202311</v>
          </cell>
          <cell r="B211" t="str">
            <v>BANCO DE OCCIDENTE</v>
          </cell>
          <cell r="C211" t="str">
            <v>LAMAR OPTICAL S.A.S</v>
          </cell>
          <cell r="D211" t="str">
            <v>180153332</v>
          </cell>
          <cell r="E211">
            <v>45257</v>
          </cell>
          <cell r="F211">
            <v>7</v>
          </cell>
          <cell r="G211">
            <v>53</v>
          </cell>
          <cell r="H211">
            <v>2791406</v>
          </cell>
          <cell r="I211">
            <v>4585365</v>
          </cell>
          <cell r="J211">
            <v>0</v>
          </cell>
          <cell r="K211">
            <v>0</v>
          </cell>
          <cell r="L211">
            <v>0</v>
          </cell>
          <cell r="M211">
            <v>1.8034166666666667E-2</v>
          </cell>
          <cell r="N211">
            <v>1.8031287239410637E-2</v>
          </cell>
          <cell r="O211">
            <v>-1.5966511285225859E-4</v>
          </cell>
          <cell r="P211">
            <v>7376771</v>
          </cell>
          <cell r="Q211">
            <v>251509074</v>
          </cell>
          <cell r="R211" t="str">
            <v>OK</v>
          </cell>
          <cell r="S211">
            <v>7200000</v>
          </cell>
          <cell r="T211">
            <v>45655</v>
          </cell>
          <cell r="U211" t="str">
            <v>PAGADO</v>
          </cell>
        </row>
        <row r="212">
          <cell r="A212" t="str">
            <v>202312</v>
          </cell>
          <cell r="B212" t="str">
            <v>BANCO DE OCCIDENTE</v>
          </cell>
          <cell r="C212" t="str">
            <v>LAMAR OPTICAL S.A.S</v>
          </cell>
          <cell r="D212" t="str">
            <v>180153332</v>
          </cell>
          <cell r="E212">
            <v>45287</v>
          </cell>
          <cell r="F212">
            <v>8</v>
          </cell>
          <cell r="G212">
            <v>52</v>
          </cell>
          <cell r="H212">
            <v>2841747</v>
          </cell>
          <cell r="I212">
            <v>4535024</v>
          </cell>
          <cell r="J212">
            <v>0</v>
          </cell>
          <cell r="K212">
            <v>0</v>
          </cell>
          <cell r="L212">
            <v>0</v>
          </cell>
          <cell r="M212">
            <v>1.8034166666666667E-2</v>
          </cell>
          <cell r="N212">
            <v>1.8031254013523186E-2</v>
          </cell>
          <cell r="O212">
            <v>-1.6150749836774114E-4</v>
          </cell>
          <cell r="P212">
            <v>7376771</v>
          </cell>
          <cell r="Q212">
            <v>248667327</v>
          </cell>
          <cell r="R212" t="str">
            <v>OK</v>
          </cell>
          <cell r="S212">
            <v>8000000</v>
          </cell>
          <cell r="T212">
            <v>45317</v>
          </cell>
          <cell r="U212" t="str">
            <v>PAGADO</v>
          </cell>
        </row>
        <row r="213">
          <cell r="A213" t="str">
            <v>20241</v>
          </cell>
          <cell r="B213" t="str">
            <v>BANCO DE OCCIDENTE</v>
          </cell>
          <cell r="C213" t="str">
            <v>LAMAR OPTICAL S.A.S</v>
          </cell>
          <cell r="D213" t="str">
            <v>180153332</v>
          </cell>
          <cell r="E213">
            <v>45320</v>
          </cell>
          <cell r="F213">
            <v>9</v>
          </cell>
          <cell r="G213">
            <v>51</v>
          </cell>
          <cell r="H213">
            <v>2892995</v>
          </cell>
          <cell r="I213">
            <v>4483776</v>
          </cell>
          <cell r="J213">
            <v>0</v>
          </cell>
          <cell r="K213">
            <v>0</v>
          </cell>
          <cell r="L213">
            <v>0</v>
          </cell>
          <cell r="M213">
            <v>1.8034166666666667E-2</v>
          </cell>
          <cell r="N213">
            <v>1.8031222895640006E-2</v>
          </cell>
          <cell r="O213">
            <v>-1.6323299440845762E-4</v>
          </cell>
          <cell r="P213">
            <v>7376771</v>
          </cell>
          <cell r="Q213">
            <v>245774332</v>
          </cell>
          <cell r="R213" t="str">
            <v>OK</v>
          </cell>
          <cell r="S213">
            <v>7572070</v>
          </cell>
          <cell r="T213">
            <v>45349</v>
          </cell>
          <cell r="U213" t="str">
            <v>PAGADO</v>
          </cell>
        </row>
        <row r="214">
          <cell r="A214" t="str">
            <v>20242</v>
          </cell>
          <cell r="B214" t="str">
            <v>BANCO DE OCCIDENTE</v>
          </cell>
          <cell r="C214" t="str">
            <v>LAMAR OPTICAL S.A.S</v>
          </cell>
          <cell r="D214" t="str">
            <v>180153332</v>
          </cell>
          <cell r="E214">
            <v>45351</v>
          </cell>
          <cell r="F214">
            <v>10</v>
          </cell>
          <cell r="G214">
            <v>50</v>
          </cell>
          <cell r="H214">
            <v>2945168</v>
          </cell>
          <cell r="I214">
            <v>4431603</v>
          </cell>
          <cell r="J214">
            <v>0</v>
          </cell>
          <cell r="K214">
            <v>0</v>
          </cell>
          <cell r="L214">
            <v>0</v>
          </cell>
          <cell r="M214">
            <v>1.8034166666666667E-2</v>
          </cell>
          <cell r="N214">
            <v>1.8031187243751721E-2</v>
          </cell>
          <cell r="O214">
            <v>-1.6520990240453948E-4</v>
          </cell>
          <cell r="P214">
            <v>7376771</v>
          </cell>
          <cell r="Q214">
            <v>242829164</v>
          </cell>
          <cell r="R214" t="str">
            <v>OK</v>
          </cell>
          <cell r="S214">
            <v>7500000</v>
          </cell>
          <cell r="T214">
            <v>45386</v>
          </cell>
          <cell r="U214" t="str">
            <v>PAGADO</v>
          </cell>
        </row>
        <row r="215">
          <cell r="A215" t="str">
            <v>20243</v>
          </cell>
          <cell r="B215" t="str">
            <v>BANCO DE OCCIDENTE</v>
          </cell>
          <cell r="C215" t="str">
            <v>LAMAR OPTICAL S.A.S</v>
          </cell>
          <cell r="D215" t="str">
            <v>180153332</v>
          </cell>
          <cell r="E215">
            <v>45380</v>
          </cell>
          <cell r="F215">
            <v>11</v>
          </cell>
          <cell r="G215">
            <v>49</v>
          </cell>
          <cell r="H215">
            <v>2998282</v>
          </cell>
          <cell r="I215">
            <v>4378489</v>
          </cell>
          <cell r="J215">
            <v>0</v>
          </cell>
          <cell r="K215">
            <v>0</v>
          </cell>
          <cell r="L215">
            <v>0</v>
          </cell>
          <cell r="M215">
            <v>1.8034166666666667E-2</v>
          </cell>
          <cell r="N215">
            <v>1.8031149668661709E-2</v>
          </cell>
          <cell r="O215">
            <v>-1.672934525183134E-4</v>
          </cell>
          <cell r="P215">
            <v>7376771</v>
          </cell>
          <cell r="Q215">
            <v>239830882</v>
          </cell>
          <cell r="R215" t="str">
            <v>OK</v>
          </cell>
          <cell r="S215">
            <v>7600000</v>
          </cell>
          <cell r="T215">
            <v>45408</v>
          </cell>
          <cell r="U215" t="str">
            <v>PAGADO</v>
          </cell>
        </row>
        <row r="216">
          <cell r="A216" t="str">
            <v>20244</v>
          </cell>
          <cell r="B216" t="str">
            <v>BANCO DE OCCIDENTE</v>
          </cell>
          <cell r="C216" t="str">
            <v>LAMAR OPTICAL S.A.S</v>
          </cell>
          <cell r="D216" t="str">
            <v>180153332</v>
          </cell>
          <cell r="E216">
            <v>45411</v>
          </cell>
          <cell r="F216">
            <v>12</v>
          </cell>
          <cell r="G216">
            <v>48</v>
          </cell>
          <cell r="H216">
            <v>3052353</v>
          </cell>
          <cell r="I216">
            <v>4324418</v>
          </cell>
          <cell r="J216">
            <v>0</v>
          </cell>
          <cell r="K216">
            <v>0</v>
          </cell>
          <cell r="L216">
            <v>0</v>
          </cell>
          <cell r="M216">
            <v>1.8034166666666667E-2</v>
          </cell>
          <cell r="N216">
            <v>1.8031114108148925E-2</v>
          </cell>
          <cell r="O216">
            <v>-1.6926529371519283E-4</v>
          </cell>
          <cell r="P216">
            <v>7376771</v>
          </cell>
          <cell r="Q216">
            <v>236778529</v>
          </cell>
          <cell r="R216" t="str">
            <v>OK</v>
          </cell>
          <cell r="S216">
            <v>8000000</v>
          </cell>
          <cell r="T216">
            <v>45454</v>
          </cell>
          <cell r="U216" t="str">
            <v>PAGADO</v>
          </cell>
        </row>
        <row r="217">
          <cell r="A217" t="str">
            <v>20245</v>
          </cell>
          <cell r="B217" t="str">
            <v>BANCO DE OCCIDENTE</v>
          </cell>
          <cell r="C217" t="str">
            <v>LAMAR OPTICAL S.A.S</v>
          </cell>
          <cell r="D217" t="str">
            <v>180153332</v>
          </cell>
          <cell r="E217">
            <v>45441</v>
          </cell>
          <cell r="F217">
            <v>13</v>
          </cell>
          <cell r="G217">
            <v>47</v>
          </cell>
          <cell r="H217">
            <v>3107400</v>
          </cell>
          <cell r="I217">
            <v>4269371</v>
          </cell>
          <cell r="J217">
            <v>0</v>
          </cell>
          <cell r="K217">
            <v>0</v>
          </cell>
          <cell r="L217">
            <v>0</v>
          </cell>
          <cell r="M217">
            <v>1.8034166666666667E-2</v>
          </cell>
          <cell r="N217">
            <v>1.8031073248199799E-2</v>
          </cell>
          <cell r="O217">
            <v>-1.7153099026112617E-4</v>
          </cell>
          <cell r="P217">
            <v>7376771</v>
          </cell>
          <cell r="Q217">
            <v>233671129</v>
          </cell>
          <cell r="R217" t="str">
            <v>OK</v>
          </cell>
          <cell r="S217">
            <v>6000000</v>
          </cell>
          <cell r="T217">
            <v>45461</v>
          </cell>
          <cell r="U217" t="str">
            <v>PAGADO</v>
          </cell>
        </row>
        <row r="218">
          <cell r="A218" t="str">
            <v>20246</v>
          </cell>
          <cell r="B218" t="str">
            <v>BANCO DE OCCIDENTE</v>
          </cell>
          <cell r="C218" t="str">
            <v>LAMAR OPTICAL S.A.S</v>
          </cell>
          <cell r="D218" t="str">
            <v>180153332</v>
          </cell>
          <cell r="E218">
            <v>45472</v>
          </cell>
          <cell r="F218">
            <v>14</v>
          </cell>
          <cell r="G218">
            <v>46</v>
          </cell>
          <cell r="H218">
            <v>3163439</v>
          </cell>
          <cell r="I218">
            <v>4213332</v>
          </cell>
          <cell r="J218">
            <v>0</v>
          </cell>
          <cell r="K218">
            <v>0</v>
          </cell>
          <cell r="L218">
            <v>1376771</v>
          </cell>
          <cell r="M218">
            <v>1.8034166666666667E-2</v>
          </cell>
          <cell r="N218">
            <v>1.8031033692656143E-2</v>
          </cell>
          <cell r="O218">
            <v>-1.7372435712903478E-4</v>
          </cell>
          <cell r="P218">
            <v>8753542</v>
          </cell>
          <cell r="Q218">
            <v>230507690</v>
          </cell>
          <cell r="R218" t="str">
            <v>OK</v>
          </cell>
          <cell r="S218">
            <v>8000000</v>
          </cell>
          <cell r="T218">
            <v>45502</v>
          </cell>
          <cell r="U218" t="str">
            <v>PAGADO</v>
          </cell>
        </row>
        <row r="219">
          <cell r="A219" t="str">
            <v>20247</v>
          </cell>
          <cell r="B219" t="str">
            <v>BANCO DE OCCIDENTE</v>
          </cell>
          <cell r="C219" t="str">
            <v>LAMAR OPTICAL S.A.S</v>
          </cell>
          <cell r="D219" t="str">
            <v>180153332</v>
          </cell>
          <cell r="E219">
            <v>45502</v>
          </cell>
          <cell r="F219">
            <v>15</v>
          </cell>
          <cell r="G219">
            <v>45</v>
          </cell>
          <cell r="H219">
            <v>3220489</v>
          </cell>
          <cell r="I219">
            <v>4156282</v>
          </cell>
          <cell r="J219">
            <v>0</v>
          </cell>
          <cell r="K219">
            <v>0</v>
          </cell>
          <cell r="L219">
            <v>753542</v>
          </cell>
          <cell r="M219">
            <v>1.8034166666666667E-2</v>
          </cell>
          <cell r="N219">
            <v>1.8030990636364454E-2</v>
          </cell>
          <cell r="O219">
            <v>-1.7611184153487613E-4</v>
          </cell>
          <cell r="P219">
            <v>8130313</v>
          </cell>
          <cell r="Q219">
            <v>227287201</v>
          </cell>
          <cell r="R219" t="str">
            <v>OK</v>
          </cell>
          <cell r="S219">
            <v>7500000</v>
          </cell>
          <cell r="T219">
            <v>45532</v>
          </cell>
          <cell r="U219" t="str">
            <v>PAGADO</v>
          </cell>
        </row>
        <row r="220">
          <cell r="A220" t="str">
            <v>20248</v>
          </cell>
          <cell r="B220" t="str">
            <v>BANCO DE OCCIDENTE</v>
          </cell>
          <cell r="C220" t="str">
            <v>LAMAR OPTICAL S.A.S</v>
          </cell>
          <cell r="D220" t="str">
            <v>180153332</v>
          </cell>
          <cell r="E220">
            <v>45533</v>
          </cell>
          <cell r="F220">
            <v>16</v>
          </cell>
          <cell r="G220">
            <v>44</v>
          </cell>
          <cell r="H220">
            <v>3278569</v>
          </cell>
          <cell r="I220">
            <v>4098202</v>
          </cell>
          <cell r="J220">
            <v>0</v>
          </cell>
          <cell r="K220">
            <v>0</v>
          </cell>
          <cell r="L220">
            <v>630313</v>
          </cell>
          <cell r="M220">
            <v>1.8034166666666667E-2</v>
          </cell>
          <cell r="N220">
            <v>1.803094051037216E-2</v>
          </cell>
          <cell r="O220">
            <v>-1.788913429789929E-4</v>
          </cell>
          <cell r="P220">
            <v>8007084</v>
          </cell>
          <cell r="Q220">
            <v>224008632</v>
          </cell>
          <cell r="R220">
            <v>4</v>
          </cell>
          <cell r="U220" t="str">
            <v>PENDIENTE</v>
          </cell>
        </row>
        <row r="221">
          <cell r="A221" t="str">
            <v>20249</v>
          </cell>
          <cell r="B221" t="str">
            <v>BANCO DE OCCIDENTE</v>
          </cell>
          <cell r="C221" t="str">
            <v>LAMAR OPTICAL S.A.S</v>
          </cell>
          <cell r="D221" t="str">
            <v>180153332</v>
          </cell>
          <cell r="E221">
            <v>45564</v>
          </cell>
          <cell r="F221">
            <v>17</v>
          </cell>
          <cell r="G221">
            <v>43</v>
          </cell>
          <cell r="H221">
            <v>3337694</v>
          </cell>
          <cell r="I221">
            <v>4039077</v>
          </cell>
          <cell r="J221">
            <v>0</v>
          </cell>
          <cell r="K221">
            <v>0</v>
          </cell>
          <cell r="L221">
            <v>0</v>
          </cell>
          <cell r="M221">
            <v>1.8034166666666667E-2</v>
          </cell>
          <cell r="N221">
            <v>1.8030898916431042E-2</v>
          </cell>
          <cell r="O221">
            <v>-1.8119773960301178E-4</v>
          </cell>
          <cell r="P221">
            <v>7376771</v>
          </cell>
          <cell r="Q221">
            <v>220670938</v>
          </cell>
          <cell r="R221">
            <v>4</v>
          </cell>
          <cell r="U221" t="str">
            <v>PENDIENTE</v>
          </cell>
        </row>
        <row r="222">
          <cell r="A222" t="str">
            <v>202410</v>
          </cell>
          <cell r="B222" t="str">
            <v>BANCO DE OCCIDENTE</v>
          </cell>
          <cell r="C222" t="str">
            <v>LAMAR OPTICAL S.A.S</v>
          </cell>
          <cell r="D222" t="str">
            <v>180153332</v>
          </cell>
          <cell r="E222">
            <v>45594</v>
          </cell>
          <cell r="F222">
            <v>18</v>
          </cell>
          <cell r="G222">
            <v>42</v>
          </cell>
          <cell r="H222">
            <v>3397887</v>
          </cell>
          <cell r="I222">
            <v>3978884</v>
          </cell>
          <cell r="J222">
            <v>0</v>
          </cell>
          <cell r="K222">
            <v>0</v>
          </cell>
          <cell r="L222">
            <v>0</v>
          </cell>
          <cell r="M222">
            <v>1.8034166666666667E-2</v>
          </cell>
          <cell r="N222">
            <v>1.803084736060713E-2</v>
          </cell>
          <cell r="O222">
            <v>-1.8405652564323915E-4</v>
          </cell>
          <cell r="P222">
            <v>7376771</v>
          </cell>
          <cell r="Q222">
            <v>217273051</v>
          </cell>
          <cell r="R222">
            <v>-27</v>
          </cell>
          <cell r="U222" t="str">
            <v>PENDIENTE</v>
          </cell>
        </row>
        <row r="223">
          <cell r="A223" t="str">
            <v>202411</v>
          </cell>
          <cell r="B223" t="str">
            <v>BANCO DE OCCIDENTE</v>
          </cell>
          <cell r="C223" t="str">
            <v>LAMAR OPTICAL S.A.S</v>
          </cell>
          <cell r="D223" t="str">
            <v>180153332</v>
          </cell>
          <cell r="E223">
            <v>45625</v>
          </cell>
          <cell r="F223">
            <v>19</v>
          </cell>
          <cell r="G223">
            <v>41</v>
          </cell>
          <cell r="H223">
            <v>3459165</v>
          </cell>
          <cell r="I223">
            <v>3917606</v>
          </cell>
          <cell r="J223">
            <v>0</v>
          </cell>
          <cell r="K223">
            <v>0</v>
          </cell>
          <cell r="L223">
            <v>0</v>
          </cell>
          <cell r="M223">
            <v>1.8034166666666667E-2</v>
          </cell>
          <cell r="N223">
            <v>1.8030795729011048E-2</v>
          </cell>
          <cell r="O223">
            <v>-1.869195132730983E-4</v>
          </cell>
          <cell r="P223">
            <v>7376771</v>
          </cell>
          <cell r="Q223">
            <v>213813886</v>
          </cell>
          <cell r="R223">
            <v>-57</v>
          </cell>
          <cell r="U223" t="str">
            <v>PENDIENTE</v>
          </cell>
        </row>
        <row r="224">
          <cell r="A224" t="str">
            <v>202412</v>
          </cell>
          <cell r="B224" t="str">
            <v>BANCO DE OCCIDENTE</v>
          </cell>
          <cell r="C224" t="str">
            <v>LAMAR OPTICAL S.A.S</v>
          </cell>
          <cell r="D224" t="str">
            <v>180153332</v>
          </cell>
          <cell r="E224">
            <v>45655</v>
          </cell>
          <cell r="F224">
            <v>20</v>
          </cell>
          <cell r="G224">
            <v>40</v>
          </cell>
          <cell r="H224">
            <v>3521548</v>
          </cell>
          <cell r="I224">
            <v>3855223</v>
          </cell>
          <cell r="J224">
            <v>0</v>
          </cell>
          <cell r="K224">
            <v>0</v>
          </cell>
          <cell r="L224">
            <v>0</v>
          </cell>
          <cell r="M224">
            <v>1.8034166666666667E-2</v>
          </cell>
          <cell r="N224">
            <v>1.8030741932261594E-2</v>
          </cell>
          <cell r="O224">
            <v>-1.8990255931283784E-4</v>
          </cell>
          <cell r="P224">
            <v>7376771</v>
          </cell>
          <cell r="Q224">
            <v>210292338</v>
          </cell>
          <cell r="R224">
            <v>-88</v>
          </cell>
          <cell r="U224" t="str">
            <v>PENDIENTE</v>
          </cell>
        </row>
        <row r="225">
          <cell r="A225" t="str">
            <v>20251</v>
          </cell>
          <cell r="B225" t="str">
            <v>BANCO DE OCCIDENTE</v>
          </cell>
          <cell r="C225" t="str">
            <v>LAMAR OPTICAL S.A.S</v>
          </cell>
          <cell r="D225" t="str">
            <v>180153332</v>
          </cell>
          <cell r="E225">
            <v>45686</v>
          </cell>
          <cell r="F225">
            <v>21</v>
          </cell>
          <cell r="G225">
            <v>39</v>
          </cell>
          <cell r="H225">
            <v>3585056</v>
          </cell>
          <cell r="I225">
            <v>3791715</v>
          </cell>
          <cell r="J225">
            <v>0</v>
          </cell>
          <cell r="K225">
            <v>0</v>
          </cell>
          <cell r="L225">
            <v>0</v>
          </cell>
          <cell r="M225">
            <v>1.8034166666666667E-2</v>
          </cell>
          <cell r="N225">
            <v>1.8030685454645524E-2</v>
          </cell>
          <cell r="O225">
            <v>-1.9303426021777259E-4</v>
          </cell>
          <cell r="P225">
            <v>7376771</v>
          </cell>
          <cell r="Q225">
            <v>206707282</v>
          </cell>
          <cell r="R225">
            <v>-118</v>
          </cell>
          <cell r="U225" t="str">
            <v>PENDIENTE</v>
          </cell>
        </row>
        <row r="226">
          <cell r="A226" t="str">
            <v>20252</v>
          </cell>
          <cell r="B226" t="str">
            <v>BANCO DE OCCIDENTE</v>
          </cell>
          <cell r="C226" t="str">
            <v>LAMAR OPTICAL S.A.S</v>
          </cell>
          <cell r="D226" t="str">
            <v>180153332</v>
          </cell>
          <cell r="E226">
            <v>45716</v>
          </cell>
          <cell r="F226">
            <v>22</v>
          </cell>
          <cell r="G226">
            <v>38</v>
          </cell>
          <cell r="H226">
            <v>3649710</v>
          </cell>
          <cell r="I226">
            <v>3727061</v>
          </cell>
          <cell r="J226">
            <v>0</v>
          </cell>
          <cell r="K226">
            <v>0</v>
          </cell>
          <cell r="L226">
            <v>0</v>
          </cell>
          <cell r="M226">
            <v>1.8034166666666667E-2</v>
          </cell>
          <cell r="N226">
            <v>1.8030622646375855E-2</v>
          </cell>
          <cell r="O226">
            <v>-1.9651699778078235E-4</v>
          </cell>
          <cell r="P226">
            <v>7376771</v>
          </cell>
          <cell r="Q226">
            <v>203057572</v>
          </cell>
          <cell r="R226">
            <v>-149</v>
          </cell>
          <cell r="U226" t="str">
            <v>PENDIENTE</v>
          </cell>
        </row>
        <row r="227">
          <cell r="A227" t="str">
            <v>20253</v>
          </cell>
          <cell r="B227" t="str">
            <v>BANCO DE OCCIDENTE</v>
          </cell>
          <cell r="C227" t="str">
            <v>LAMAR OPTICAL S.A.S</v>
          </cell>
          <cell r="D227" t="str">
            <v>180153332</v>
          </cell>
          <cell r="E227">
            <v>45745</v>
          </cell>
          <cell r="F227">
            <v>23</v>
          </cell>
          <cell r="G227">
            <v>37</v>
          </cell>
          <cell r="H227">
            <v>3715529</v>
          </cell>
          <cell r="I227">
            <v>3661242</v>
          </cell>
          <cell r="J227">
            <v>0</v>
          </cell>
          <cell r="K227">
            <v>0</v>
          </cell>
          <cell r="L227">
            <v>0</v>
          </cell>
          <cell r="M227">
            <v>1.8034166666666667E-2</v>
          </cell>
          <cell r="N227">
            <v>1.803056130307714E-2</v>
          </cell>
          <cell r="O227">
            <v>-1.9991850226108721E-4</v>
          </cell>
          <cell r="P227">
            <v>7376771</v>
          </cell>
          <cell r="Q227">
            <v>199342043</v>
          </cell>
          <cell r="R227">
            <v>-179</v>
          </cell>
          <cell r="U227" t="str">
            <v>PENDIENTE</v>
          </cell>
        </row>
        <row r="228">
          <cell r="A228" t="str">
            <v>20254</v>
          </cell>
          <cell r="B228" t="str">
            <v>BANCO DE OCCIDENTE</v>
          </cell>
          <cell r="C228" t="str">
            <v>LAMAR OPTICAL S.A.S</v>
          </cell>
          <cell r="D228" t="str">
            <v>180153332</v>
          </cell>
          <cell r="E228">
            <v>45776</v>
          </cell>
          <cell r="F228">
            <v>24</v>
          </cell>
          <cell r="G228">
            <v>36</v>
          </cell>
          <cell r="H228">
            <v>3782536</v>
          </cell>
          <cell r="I228">
            <v>3594235</v>
          </cell>
          <cell r="J228">
            <v>0</v>
          </cell>
          <cell r="K228">
            <v>0</v>
          </cell>
          <cell r="L228">
            <v>0</v>
          </cell>
          <cell r="M228">
            <v>1.8034166666666667E-2</v>
          </cell>
          <cell r="N228">
            <v>1.8030491440282872E-2</v>
          </cell>
          <cell r="O228">
            <v>-2.0379241534840276E-4</v>
          </cell>
          <cell r="P228">
            <v>7376771</v>
          </cell>
          <cell r="Q228">
            <v>195559507</v>
          </cell>
          <cell r="R228">
            <v>-208</v>
          </cell>
          <cell r="U228" t="str">
            <v>PENDIENTE</v>
          </cell>
        </row>
        <row r="229">
          <cell r="A229" t="str">
            <v>20255</v>
          </cell>
          <cell r="B229" t="str">
            <v>BANCO DE OCCIDENTE</v>
          </cell>
          <cell r="C229" t="str">
            <v>LAMAR OPTICAL S.A.S</v>
          </cell>
          <cell r="D229" t="str">
            <v>180153332</v>
          </cell>
          <cell r="E229">
            <v>45806</v>
          </cell>
          <cell r="F229">
            <v>25</v>
          </cell>
          <cell r="G229">
            <v>35</v>
          </cell>
          <cell r="H229">
            <v>3850751</v>
          </cell>
          <cell r="I229">
            <v>3526020</v>
          </cell>
          <cell r="J229">
            <v>0</v>
          </cell>
          <cell r="K229">
            <v>0</v>
          </cell>
          <cell r="L229">
            <v>0</v>
          </cell>
          <cell r="M229">
            <v>1.8034166666666667E-2</v>
          </cell>
          <cell r="N229">
            <v>1.8030419763739741E-2</v>
          </cell>
          <cell r="O229">
            <v>-2.0776690135904108E-4</v>
          </cell>
          <cell r="P229">
            <v>7376771</v>
          </cell>
          <cell r="Q229">
            <v>191708756</v>
          </cell>
          <cell r="R229">
            <v>-239</v>
          </cell>
          <cell r="U229" t="str">
            <v>PENDIENTE</v>
          </cell>
        </row>
        <row r="230">
          <cell r="A230" t="str">
            <v>20256</v>
          </cell>
          <cell r="B230" t="str">
            <v>BANCO DE OCCIDENTE</v>
          </cell>
          <cell r="C230" t="str">
            <v>LAMAR OPTICAL S.A.S</v>
          </cell>
          <cell r="D230" t="str">
            <v>180153332</v>
          </cell>
          <cell r="E230">
            <v>45837</v>
          </cell>
          <cell r="F230">
            <v>26</v>
          </cell>
          <cell r="G230">
            <v>34</v>
          </cell>
          <cell r="H230">
            <v>3920196</v>
          </cell>
          <cell r="I230">
            <v>3456575</v>
          </cell>
          <cell r="J230">
            <v>0</v>
          </cell>
          <cell r="K230">
            <v>0</v>
          </cell>
          <cell r="L230">
            <v>0</v>
          </cell>
          <cell r="M230">
            <v>1.8034166666666667E-2</v>
          </cell>
          <cell r="N230">
            <v>1.8030344946790015E-2</v>
          </cell>
          <cell r="O230">
            <v>-2.1191552386590207E-4</v>
          </cell>
          <cell r="P230">
            <v>7376771</v>
          </cell>
          <cell r="Q230">
            <v>187788560</v>
          </cell>
          <cell r="R230">
            <v>-269</v>
          </cell>
          <cell r="U230" t="str">
            <v>PENDIENTE</v>
          </cell>
        </row>
        <row r="231">
          <cell r="A231" t="str">
            <v>20257</v>
          </cell>
          <cell r="B231" t="str">
            <v>BANCO DE OCCIDENTE</v>
          </cell>
          <cell r="C231" t="str">
            <v>LAMAR OPTICAL S.A.S</v>
          </cell>
          <cell r="D231" t="str">
            <v>180153332</v>
          </cell>
          <cell r="E231">
            <v>45867</v>
          </cell>
          <cell r="F231">
            <v>27</v>
          </cell>
          <cell r="G231">
            <v>33</v>
          </cell>
          <cell r="H231">
            <v>3990893</v>
          </cell>
          <cell r="I231">
            <v>3385878</v>
          </cell>
          <cell r="J231">
            <v>0</v>
          </cell>
          <cell r="K231">
            <v>0</v>
          </cell>
          <cell r="L231">
            <v>0</v>
          </cell>
          <cell r="M231">
            <v>1.8034166666666667E-2</v>
          </cell>
          <cell r="N231">
            <v>1.8030267658477171E-2</v>
          </cell>
          <cell r="O231">
            <v>-2.1620118420562218E-4</v>
          </cell>
          <cell r="P231">
            <v>7376771</v>
          </cell>
          <cell r="Q231">
            <v>183797667</v>
          </cell>
          <cell r="R231">
            <v>-300</v>
          </cell>
          <cell r="U231" t="str">
            <v>PENDIENTE</v>
          </cell>
        </row>
        <row r="232">
          <cell r="A232" t="str">
            <v>20258</v>
          </cell>
          <cell r="B232" t="str">
            <v>BANCO DE OCCIDENTE</v>
          </cell>
          <cell r="C232" t="str">
            <v>LAMAR OPTICAL S.A.S</v>
          </cell>
          <cell r="D232" t="str">
            <v>180153332</v>
          </cell>
          <cell r="E232">
            <v>45898</v>
          </cell>
          <cell r="F232">
            <v>28</v>
          </cell>
          <cell r="G232">
            <v>32</v>
          </cell>
          <cell r="H232">
            <v>4062866</v>
          </cell>
          <cell r="I232">
            <v>3313905</v>
          </cell>
          <cell r="J232">
            <v>0</v>
          </cell>
          <cell r="K232">
            <v>0</v>
          </cell>
          <cell r="L232">
            <v>0</v>
          </cell>
          <cell r="M232">
            <v>1.8034166666666667E-2</v>
          </cell>
          <cell r="N232">
            <v>1.8030179893415078E-2</v>
          </cell>
          <cell r="O232">
            <v>-2.2106778346220324E-4</v>
          </cell>
          <cell r="P232">
            <v>7376771</v>
          </cell>
          <cell r="Q232">
            <v>179734801</v>
          </cell>
          <cell r="R232">
            <v>-330</v>
          </cell>
          <cell r="U232" t="str">
            <v>PENDIENTE</v>
          </cell>
        </row>
        <row r="233">
          <cell r="A233" t="str">
            <v>20259</v>
          </cell>
          <cell r="B233" t="str">
            <v>BANCO DE OCCIDENTE</v>
          </cell>
          <cell r="C233" t="str">
            <v>LAMAR OPTICAL S.A.S</v>
          </cell>
          <cell r="D233" t="str">
            <v>180153332</v>
          </cell>
          <cell r="E233">
            <v>45929</v>
          </cell>
          <cell r="F233">
            <v>29</v>
          </cell>
          <cell r="G233">
            <v>31</v>
          </cell>
          <cell r="H233">
            <v>4136136</v>
          </cell>
          <cell r="I233">
            <v>3240635</v>
          </cell>
          <cell r="J233">
            <v>0</v>
          </cell>
          <cell r="K233">
            <v>0</v>
          </cell>
          <cell r="L233">
            <v>0</v>
          </cell>
          <cell r="M233">
            <v>1.8034166666666667E-2</v>
          </cell>
          <cell r="N233">
            <v>1.803009201317668E-2</v>
          </cell>
          <cell r="O233">
            <v>-2.2594076927984208E-4</v>
          </cell>
          <cell r="P233">
            <v>7376771</v>
          </cell>
          <cell r="Q233">
            <v>175598665</v>
          </cell>
          <cell r="R233">
            <v>-361</v>
          </cell>
          <cell r="U233" t="str">
            <v>PENDIENTE</v>
          </cell>
        </row>
        <row r="234">
          <cell r="A234" t="str">
            <v>202510</v>
          </cell>
          <cell r="B234" t="str">
            <v>BANCO DE OCCIDENTE</v>
          </cell>
          <cell r="C234" t="str">
            <v>LAMAR OPTICAL S.A.S</v>
          </cell>
          <cell r="D234" t="str">
            <v>180153332</v>
          </cell>
          <cell r="E234">
            <v>45959</v>
          </cell>
          <cell r="F234">
            <v>30</v>
          </cell>
          <cell r="G234">
            <v>30</v>
          </cell>
          <cell r="H234">
            <v>4210728</v>
          </cell>
          <cell r="I234">
            <v>3166043</v>
          </cell>
          <cell r="J234">
            <v>0</v>
          </cell>
          <cell r="K234">
            <v>0</v>
          </cell>
          <cell r="L234">
            <v>0</v>
          </cell>
          <cell r="M234">
            <v>1.8034166666666667E-2</v>
          </cell>
          <cell r="N234">
            <v>1.8029994704116915E-2</v>
          </cell>
          <cell r="O234">
            <v>-2.3133658609597596E-4</v>
          </cell>
          <cell r="P234">
            <v>7376771</v>
          </cell>
          <cell r="Q234">
            <v>171387937</v>
          </cell>
          <cell r="R234">
            <v>-392</v>
          </cell>
          <cell r="U234" t="str">
            <v>PENDIENTE</v>
          </cell>
        </row>
        <row r="235">
          <cell r="A235" t="str">
            <v>202511</v>
          </cell>
          <cell r="B235" t="str">
            <v>BANCO DE OCCIDENTE</v>
          </cell>
          <cell r="C235" t="str">
            <v>LAMAR OPTICAL S.A.S</v>
          </cell>
          <cell r="D235" t="str">
            <v>180153332</v>
          </cell>
          <cell r="E235">
            <v>45990</v>
          </cell>
          <cell r="F235">
            <v>31</v>
          </cell>
          <cell r="G235">
            <v>29</v>
          </cell>
          <cell r="H235">
            <v>3286665</v>
          </cell>
          <cell r="I235">
            <v>4090106</v>
          </cell>
          <cell r="J235">
            <v>0</v>
          </cell>
          <cell r="K235">
            <v>0</v>
          </cell>
          <cell r="L235">
            <v>0</v>
          </cell>
          <cell r="M235">
            <v>1.8034166666666667E-2</v>
          </cell>
          <cell r="N235">
            <v>2.386460839423022E-2</v>
          </cell>
          <cell r="O235">
            <v>0.32329975847124737</v>
          </cell>
          <cell r="P235">
            <v>7376771</v>
          </cell>
          <cell r="Q235">
            <v>168101272</v>
          </cell>
          <cell r="R235">
            <v>-422</v>
          </cell>
          <cell r="U235" t="str">
            <v>PENDIENTE</v>
          </cell>
        </row>
        <row r="236">
          <cell r="A236" t="str">
            <v>202512</v>
          </cell>
          <cell r="B236" t="str">
            <v>BANCO DE OCCIDENTE</v>
          </cell>
          <cell r="C236" t="str">
            <v>LAMAR OPTICAL S.A.S</v>
          </cell>
          <cell r="D236" t="str">
            <v>180153332</v>
          </cell>
          <cell r="E236">
            <v>46020</v>
          </cell>
          <cell r="F236">
            <v>32</v>
          </cell>
          <cell r="G236">
            <v>28</v>
          </cell>
          <cell r="H236">
            <v>4363971</v>
          </cell>
          <cell r="I236">
            <v>3012800</v>
          </cell>
          <cell r="J236">
            <v>0</v>
          </cell>
          <cell r="K236">
            <v>0</v>
          </cell>
          <cell r="L236">
            <v>0</v>
          </cell>
          <cell r="M236">
            <v>1.8034166666666667E-2</v>
          </cell>
          <cell r="N236">
            <v>1.7922529461882955E-2</v>
          </cell>
          <cell r="O236">
            <v>-6.1903167940693393E-3</v>
          </cell>
          <cell r="P236">
            <v>7376771</v>
          </cell>
          <cell r="Q236">
            <v>163737301</v>
          </cell>
          <cell r="R236">
            <v>-453</v>
          </cell>
          <cell r="U236" t="str">
            <v>PENDIENTE</v>
          </cell>
        </row>
        <row r="237">
          <cell r="A237" t="str">
            <v>20261</v>
          </cell>
          <cell r="B237" t="str">
            <v>BANCO DE OCCIDENTE</v>
          </cell>
          <cell r="C237" t="str">
            <v>LAMAR OPTICAL S.A.S</v>
          </cell>
          <cell r="D237" t="str">
            <v>180153332</v>
          </cell>
          <cell r="E237">
            <v>46051</v>
          </cell>
          <cell r="F237">
            <v>33</v>
          </cell>
          <cell r="G237">
            <v>27</v>
          </cell>
          <cell r="H237">
            <v>4442672</v>
          </cell>
          <cell r="I237">
            <v>2934099</v>
          </cell>
          <cell r="J237">
            <v>0</v>
          </cell>
          <cell r="K237">
            <v>0</v>
          </cell>
          <cell r="L237">
            <v>0</v>
          </cell>
          <cell r="M237">
            <v>1.8034166666666667E-2</v>
          </cell>
          <cell r="N237">
            <v>1.7919551513799533E-2</v>
          </cell>
          <cell r="O237">
            <v>-6.3554449166194349E-3</v>
          </cell>
          <cell r="P237">
            <v>7376771</v>
          </cell>
          <cell r="Q237">
            <v>159294629</v>
          </cell>
          <cell r="R237">
            <v>-483</v>
          </cell>
          <cell r="U237" t="str">
            <v>PENDIENTE</v>
          </cell>
        </row>
        <row r="238">
          <cell r="A238" t="str">
            <v>20262</v>
          </cell>
          <cell r="B238" t="str">
            <v>BANCO DE OCCIDENTE</v>
          </cell>
          <cell r="C238" t="str">
            <v>LAMAR OPTICAL S.A.S</v>
          </cell>
          <cell r="D238" t="str">
            <v>180153332</v>
          </cell>
          <cell r="E238">
            <v>46081</v>
          </cell>
          <cell r="F238">
            <v>34</v>
          </cell>
          <cell r="G238">
            <v>26</v>
          </cell>
          <cell r="H238">
            <v>4522792</v>
          </cell>
          <cell r="I238">
            <v>2853979</v>
          </cell>
          <cell r="J238">
            <v>0</v>
          </cell>
          <cell r="K238">
            <v>0</v>
          </cell>
          <cell r="L238">
            <v>0</v>
          </cell>
          <cell r="M238">
            <v>1.8034166666666667E-2</v>
          </cell>
          <cell r="N238">
            <v>1.7916354229369529E-2</v>
          </cell>
          <cell r="O238">
            <v>-6.532735305973203E-3</v>
          </cell>
          <cell r="P238">
            <v>7376771</v>
          </cell>
          <cell r="Q238">
            <v>154771837</v>
          </cell>
          <cell r="R238">
            <v>-514</v>
          </cell>
          <cell r="U238" t="str">
            <v>PENDIENTE</v>
          </cell>
        </row>
        <row r="239">
          <cell r="A239" t="str">
            <v>20263</v>
          </cell>
          <cell r="B239" t="str">
            <v>BANCO DE OCCIDENTE</v>
          </cell>
          <cell r="C239" t="str">
            <v>LAMAR OPTICAL S.A.S</v>
          </cell>
          <cell r="D239" t="str">
            <v>180153332</v>
          </cell>
          <cell r="E239">
            <v>46110</v>
          </cell>
          <cell r="F239">
            <v>35</v>
          </cell>
          <cell r="G239">
            <v>25</v>
          </cell>
          <cell r="H239">
            <v>4604356</v>
          </cell>
          <cell r="I239">
            <v>2772415</v>
          </cell>
          <cell r="J239">
            <v>0</v>
          </cell>
          <cell r="K239">
            <v>0</v>
          </cell>
          <cell r="L239">
            <v>0</v>
          </cell>
          <cell r="M239">
            <v>1.8034166666666667E-2</v>
          </cell>
          <cell r="N239">
            <v>1.7912916546955503E-2</v>
          </cell>
          <cell r="O239">
            <v>-6.7233558363013479E-3</v>
          </cell>
          <cell r="P239">
            <v>7376771</v>
          </cell>
          <cell r="Q239">
            <v>150167481</v>
          </cell>
          <cell r="R239">
            <v>-544</v>
          </cell>
          <cell r="U239" t="str">
            <v>PENDIENTE</v>
          </cell>
        </row>
        <row r="240">
          <cell r="A240" t="str">
            <v>20264</v>
          </cell>
          <cell r="B240" t="str">
            <v>BANCO DE OCCIDENTE</v>
          </cell>
          <cell r="C240" t="str">
            <v>LAMAR OPTICAL S.A.S</v>
          </cell>
          <cell r="D240" t="str">
            <v>180153332</v>
          </cell>
          <cell r="E240">
            <v>46141</v>
          </cell>
          <cell r="F240">
            <v>36</v>
          </cell>
          <cell r="G240">
            <v>24</v>
          </cell>
          <cell r="H240">
            <v>4687392</v>
          </cell>
          <cell r="I240">
            <v>2689379</v>
          </cell>
          <cell r="J240">
            <v>0</v>
          </cell>
          <cell r="K240">
            <v>0</v>
          </cell>
          <cell r="L240">
            <v>0</v>
          </cell>
          <cell r="M240">
            <v>1.8034166666666667E-2</v>
          </cell>
          <cell r="N240">
            <v>1.7909196998516608E-2</v>
          </cell>
          <cell r="O240">
            <v>-6.9296059230197216E-3</v>
          </cell>
          <cell r="P240">
            <v>7376771</v>
          </cell>
          <cell r="Q240">
            <v>145480089</v>
          </cell>
          <cell r="R240">
            <v>-573</v>
          </cell>
          <cell r="U240" t="str">
            <v>PENDIENTE</v>
          </cell>
        </row>
        <row r="241">
          <cell r="A241" t="str">
            <v>20265</v>
          </cell>
          <cell r="B241" t="str">
            <v>BANCO DE OCCIDENTE</v>
          </cell>
          <cell r="C241" t="str">
            <v>LAMAR OPTICAL S.A.S</v>
          </cell>
          <cell r="D241" t="str">
            <v>180153332</v>
          </cell>
          <cell r="E241">
            <v>46171</v>
          </cell>
          <cell r="F241">
            <v>37</v>
          </cell>
          <cell r="G241">
            <v>23</v>
          </cell>
          <cell r="H241">
            <v>4771925</v>
          </cell>
          <cell r="I241">
            <v>2604846</v>
          </cell>
          <cell r="J241">
            <v>0</v>
          </cell>
          <cell r="K241">
            <v>0</v>
          </cell>
          <cell r="L241">
            <v>0</v>
          </cell>
          <cell r="M241">
            <v>1.8034166666666667E-2</v>
          </cell>
          <cell r="N241">
            <v>1.7905171889192342E-2</v>
          </cell>
          <cell r="O241">
            <v>-7.1527994533150396E-3</v>
          </cell>
          <cell r="P241">
            <v>7376771</v>
          </cell>
          <cell r="Q241">
            <v>140708164</v>
          </cell>
          <cell r="R241">
            <v>-604</v>
          </cell>
          <cell r="U241" t="str">
            <v>PENDIENTE</v>
          </cell>
        </row>
        <row r="242">
          <cell r="A242" t="str">
            <v>20266</v>
          </cell>
          <cell r="B242" t="str">
            <v>BANCO DE OCCIDENTE</v>
          </cell>
          <cell r="C242" t="str">
            <v>LAMAR OPTICAL S.A.S</v>
          </cell>
          <cell r="D242" t="str">
            <v>180153332</v>
          </cell>
          <cell r="E242">
            <v>46202</v>
          </cell>
          <cell r="F242">
            <v>38</v>
          </cell>
          <cell r="G242">
            <v>22</v>
          </cell>
          <cell r="H242">
            <v>4857983</v>
          </cell>
          <cell r="I242">
            <v>2518788</v>
          </cell>
          <cell r="J242">
            <v>0</v>
          </cell>
          <cell r="K242">
            <v>0</v>
          </cell>
          <cell r="L242">
            <v>0</v>
          </cell>
          <cell r="M242">
            <v>1.8034166666666667E-2</v>
          </cell>
          <cell r="N242">
            <v>1.7900795010018039E-2</v>
          </cell>
          <cell r="O242">
            <v>-7.3954987282636164E-3</v>
          </cell>
          <cell r="P242">
            <v>7376771</v>
          </cell>
          <cell r="Q242">
            <v>135850181</v>
          </cell>
          <cell r="R242">
            <v>-634</v>
          </cell>
          <cell r="U242" t="str">
            <v>PENDIENTE</v>
          </cell>
        </row>
        <row r="243">
          <cell r="A243" t="str">
            <v>20267</v>
          </cell>
          <cell r="B243" t="str">
            <v>BANCO DE OCCIDENTE</v>
          </cell>
          <cell r="C243" t="str">
            <v>LAMAR OPTICAL S.A.S</v>
          </cell>
          <cell r="D243" t="str">
            <v>180153332</v>
          </cell>
          <cell r="E243">
            <v>46232</v>
          </cell>
          <cell r="F243">
            <v>39</v>
          </cell>
          <cell r="G243">
            <v>21</v>
          </cell>
          <cell r="H243">
            <v>4945593</v>
          </cell>
          <cell r="I243">
            <v>2431178</v>
          </cell>
          <cell r="J243">
            <v>0</v>
          </cell>
          <cell r="K243">
            <v>0</v>
          </cell>
          <cell r="L243">
            <v>0</v>
          </cell>
          <cell r="M243">
            <v>1.8034166666666667E-2</v>
          </cell>
          <cell r="N243">
            <v>1.7896023266984092E-2</v>
          </cell>
          <cell r="O243">
            <v>-7.6600933237415125E-3</v>
          </cell>
          <cell r="P243">
            <v>7376771</v>
          </cell>
          <cell r="Q243">
            <v>130904588</v>
          </cell>
          <cell r="R243">
            <v>-665</v>
          </cell>
          <cell r="U243" t="str">
            <v>PENDIENTE</v>
          </cell>
        </row>
        <row r="244">
          <cell r="A244" t="str">
            <v>20268</v>
          </cell>
          <cell r="B244" t="str">
            <v>BANCO DE OCCIDENTE</v>
          </cell>
          <cell r="C244" t="str">
            <v>LAMAR OPTICAL S.A.S</v>
          </cell>
          <cell r="D244" t="str">
            <v>180153332</v>
          </cell>
          <cell r="E244">
            <v>46263</v>
          </cell>
          <cell r="F244">
            <v>40</v>
          </cell>
          <cell r="G244">
            <v>20</v>
          </cell>
          <cell r="H244">
            <v>5034782</v>
          </cell>
          <cell r="I244">
            <v>2341989</v>
          </cell>
          <cell r="J244">
            <v>0</v>
          </cell>
          <cell r="K244">
            <v>0</v>
          </cell>
          <cell r="L244">
            <v>0</v>
          </cell>
          <cell r="M244">
            <v>1.8034166666666667E-2</v>
          </cell>
          <cell r="N244">
            <v>1.7890809144137865E-2</v>
          </cell>
          <cell r="O244">
            <v>-7.9492180137037405E-3</v>
          </cell>
          <cell r="P244">
            <v>7376771</v>
          </cell>
          <cell r="Q244">
            <v>125869806</v>
          </cell>
          <cell r="R244">
            <v>-695</v>
          </cell>
          <cell r="U244" t="str">
            <v>PENDIENTE</v>
          </cell>
        </row>
        <row r="245">
          <cell r="A245" t="str">
            <v>20269</v>
          </cell>
          <cell r="B245" t="str">
            <v>BANCO DE OCCIDENTE</v>
          </cell>
          <cell r="C245" t="str">
            <v>LAMAR OPTICAL S.A.S</v>
          </cell>
          <cell r="D245" t="str">
            <v>180153332</v>
          </cell>
          <cell r="E245">
            <v>46294</v>
          </cell>
          <cell r="F245">
            <v>41</v>
          </cell>
          <cell r="G245">
            <v>19</v>
          </cell>
          <cell r="H245">
            <v>5125580</v>
          </cell>
          <cell r="I245">
            <v>2251191</v>
          </cell>
          <cell r="J245">
            <v>0</v>
          </cell>
          <cell r="K245">
            <v>0</v>
          </cell>
          <cell r="L245">
            <v>0</v>
          </cell>
          <cell r="M245">
            <v>1.8034166666666667E-2</v>
          </cell>
          <cell r="N245">
            <v>1.7885075631243922E-2</v>
          </cell>
          <cell r="O245">
            <v>-8.267143039013658E-3</v>
          </cell>
          <cell r="P245">
            <v>7376771</v>
          </cell>
          <cell r="Q245">
            <v>120744226</v>
          </cell>
          <cell r="R245">
            <v>-726</v>
          </cell>
          <cell r="U245" t="str">
            <v>PENDIENTE</v>
          </cell>
        </row>
        <row r="246">
          <cell r="A246" t="str">
            <v>202610</v>
          </cell>
          <cell r="B246" t="str">
            <v>BANCO DE OCCIDENTE</v>
          </cell>
          <cell r="C246" t="str">
            <v>LAMAR OPTICAL S.A.S</v>
          </cell>
          <cell r="D246" t="str">
            <v>180153332</v>
          </cell>
          <cell r="E246">
            <v>46324</v>
          </cell>
          <cell r="F246">
            <v>42</v>
          </cell>
          <cell r="G246">
            <v>18</v>
          </cell>
          <cell r="H246">
            <v>5218016</v>
          </cell>
          <cell r="I246">
            <v>2158755</v>
          </cell>
          <cell r="J246">
            <v>0</v>
          </cell>
          <cell r="K246">
            <v>0</v>
          </cell>
          <cell r="L246">
            <v>0</v>
          </cell>
          <cell r="M246">
            <v>1.8034166666666667E-2</v>
          </cell>
          <cell r="N246">
            <v>1.7878743121016817E-2</v>
          </cell>
          <cell r="O246">
            <v>-8.6182826477436691E-3</v>
          </cell>
          <cell r="P246">
            <v>7376771</v>
          </cell>
          <cell r="Q246">
            <v>115526210</v>
          </cell>
          <cell r="R246">
            <v>-757</v>
          </cell>
          <cell r="U246" t="str">
            <v>PENDIENTE</v>
          </cell>
        </row>
        <row r="247">
          <cell r="A247" t="str">
            <v>202611</v>
          </cell>
          <cell r="B247" t="str">
            <v>BANCO DE OCCIDENTE</v>
          </cell>
          <cell r="C247" t="str">
            <v>LAMAR OPTICAL S.A.S</v>
          </cell>
          <cell r="D247" t="str">
            <v>180153332</v>
          </cell>
          <cell r="E247">
            <v>46355</v>
          </cell>
          <cell r="F247">
            <v>43</v>
          </cell>
          <cell r="G247">
            <v>17</v>
          </cell>
          <cell r="H247">
            <v>5312118</v>
          </cell>
          <cell r="I247">
            <v>2064653</v>
          </cell>
          <cell r="J247">
            <v>0</v>
          </cell>
          <cell r="K247">
            <v>0</v>
          </cell>
          <cell r="L247">
            <v>0</v>
          </cell>
          <cell r="M247">
            <v>1.8034166666666667E-2</v>
          </cell>
          <cell r="N247">
            <v>1.7871727982766854E-2</v>
          </cell>
          <cell r="O247">
            <v>-9.0072741869495765E-3</v>
          </cell>
          <cell r="P247">
            <v>7376771</v>
          </cell>
          <cell r="Q247">
            <v>110214092</v>
          </cell>
          <cell r="R247">
            <v>-787</v>
          </cell>
          <cell r="U247" t="str">
            <v>PENDIENTE</v>
          </cell>
        </row>
        <row r="248">
          <cell r="A248" t="str">
            <v>202612</v>
          </cell>
          <cell r="B248" t="str">
            <v>BANCO DE OCCIDENTE</v>
          </cell>
          <cell r="C248" t="str">
            <v>LAMAR OPTICAL S.A.S</v>
          </cell>
          <cell r="D248" t="str">
            <v>180153332</v>
          </cell>
          <cell r="E248">
            <v>46385</v>
          </cell>
          <cell r="F248">
            <v>44</v>
          </cell>
          <cell r="G248">
            <v>16</v>
          </cell>
          <cell r="H248">
            <v>5407918</v>
          </cell>
          <cell r="I248">
            <v>1968853</v>
          </cell>
          <cell r="J248">
            <v>0</v>
          </cell>
          <cell r="K248">
            <v>0</v>
          </cell>
          <cell r="L248">
            <v>0</v>
          </cell>
          <cell r="M248">
            <v>1.8034166666666667E-2</v>
          </cell>
          <cell r="N248">
            <v>1.7863895299341577E-2</v>
          </cell>
          <cell r="O248">
            <v>-9.441598853569988E-3</v>
          </cell>
          <cell r="P248">
            <v>7376771</v>
          </cell>
          <cell r="Q248">
            <v>104806174</v>
          </cell>
          <cell r="R248">
            <v>-818</v>
          </cell>
          <cell r="U248" t="str">
            <v>PENDIENTE</v>
          </cell>
        </row>
        <row r="249">
          <cell r="A249" t="str">
            <v>20271</v>
          </cell>
          <cell r="B249" t="str">
            <v>BANCO DE OCCIDENTE</v>
          </cell>
          <cell r="C249" t="str">
            <v>LAMAR OPTICAL S.A.S</v>
          </cell>
          <cell r="D249" t="str">
            <v>180153332</v>
          </cell>
          <cell r="E249">
            <v>46416</v>
          </cell>
          <cell r="F249">
            <v>45</v>
          </cell>
          <cell r="G249">
            <v>15</v>
          </cell>
          <cell r="H249">
            <v>5505445</v>
          </cell>
          <cell r="I249">
            <v>1871326</v>
          </cell>
          <cell r="J249">
            <v>0</v>
          </cell>
          <cell r="K249">
            <v>0</v>
          </cell>
          <cell r="L249">
            <v>0</v>
          </cell>
          <cell r="M249">
            <v>1.8034166666666667E-2</v>
          </cell>
          <cell r="N249">
            <v>1.7855112237948882E-2</v>
          </cell>
          <cell r="O249">
            <v>-9.9286222661310042E-3</v>
          </cell>
          <cell r="P249">
            <v>7376771</v>
          </cell>
          <cell r="Q249">
            <v>99300729</v>
          </cell>
          <cell r="R249">
            <v>-848</v>
          </cell>
          <cell r="U249" t="str">
            <v>PENDIENTE</v>
          </cell>
        </row>
        <row r="250">
          <cell r="A250" t="str">
            <v>20272</v>
          </cell>
          <cell r="B250" t="str">
            <v>BANCO DE OCCIDENTE</v>
          </cell>
          <cell r="C250" t="str">
            <v>LAMAR OPTICAL S.A.S</v>
          </cell>
          <cell r="D250" t="str">
            <v>180153332</v>
          </cell>
          <cell r="E250">
            <v>46446</v>
          </cell>
          <cell r="F250">
            <v>46</v>
          </cell>
          <cell r="G250">
            <v>14</v>
          </cell>
          <cell r="H250">
            <v>5604732</v>
          </cell>
          <cell r="I250">
            <v>1772039</v>
          </cell>
          <cell r="J250">
            <v>0</v>
          </cell>
          <cell r="K250">
            <v>0</v>
          </cell>
          <cell r="L250">
            <v>0</v>
          </cell>
          <cell r="M250">
            <v>1.8034166666666667E-2</v>
          </cell>
          <cell r="N250">
            <v>1.784517614165753E-2</v>
          </cell>
          <cell r="O250">
            <v>-1.0479581812807393E-2</v>
          </cell>
          <cell r="P250">
            <v>7376771</v>
          </cell>
          <cell r="Q250">
            <v>93695997</v>
          </cell>
          <cell r="R250">
            <v>-879</v>
          </cell>
          <cell r="U250" t="str">
            <v>PENDIENTE</v>
          </cell>
        </row>
        <row r="251">
          <cell r="A251" t="str">
            <v>20273</v>
          </cell>
          <cell r="B251" t="str">
            <v>BANCO DE OCCIDENTE</v>
          </cell>
          <cell r="C251" t="str">
            <v>LAMAR OPTICAL S.A.S</v>
          </cell>
          <cell r="D251" t="str">
            <v>180153332</v>
          </cell>
          <cell r="E251">
            <v>46475</v>
          </cell>
          <cell r="F251">
            <v>47</v>
          </cell>
          <cell r="G251">
            <v>13</v>
          </cell>
          <cell r="H251">
            <v>5705808</v>
          </cell>
          <cell r="I251">
            <v>1670963</v>
          </cell>
          <cell r="J251">
            <v>0</v>
          </cell>
          <cell r="K251">
            <v>0</v>
          </cell>
          <cell r="L251">
            <v>0</v>
          </cell>
          <cell r="M251">
            <v>1.8034166666666667E-2</v>
          </cell>
          <cell r="N251">
            <v>1.7833878217870931E-2</v>
          </cell>
          <cell r="O251">
            <v>-1.1106055106274382E-2</v>
          </cell>
          <cell r="P251">
            <v>7376771</v>
          </cell>
          <cell r="Q251">
            <v>87990189</v>
          </cell>
          <cell r="R251">
            <v>-909</v>
          </cell>
          <cell r="U251" t="str">
            <v>PENDIENTE</v>
          </cell>
        </row>
        <row r="252">
          <cell r="A252" t="str">
            <v>20274</v>
          </cell>
          <cell r="B252" t="str">
            <v>BANCO DE OCCIDENTE</v>
          </cell>
          <cell r="C252" t="str">
            <v>LAMAR OPTICAL S.A.S</v>
          </cell>
          <cell r="D252" t="str">
            <v>180153332</v>
          </cell>
          <cell r="E252">
            <v>46506</v>
          </cell>
          <cell r="F252">
            <v>48</v>
          </cell>
          <cell r="G252">
            <v>12</v>
          </cell>
          <cell r="H252">
            <v>5913463</v>
          </cell>
          <cell r="I252">
            <v>1463308</v>
          </cell>
          <cell r="J252">
            <v>0</v>
          </cell>
          <cell r="K252">
            <v>0</v>
          </cell>
          <cell r="L252">
            <v>0</v>
          </cell>
          <cell r="M252">
            <v>1.8034166666666667E-2</v>
          </cell>
          <cell r="N252">
            <v>1.6630354095500351E-2</v>
          </cell>
          <cell r="O252">
            <v>-7.7841831957838337E-2</v>
          </cell>
          <cell r="P252">
            <v>7376771</v>
          </cell>
          <cell r="Q252">
            <v>82076726</v>
          </cell>
          <cell r="R252">
            <v>-938</v>
          </cell>
          <cell r="U252" t="str">
            <v>PENDIENTE</v>
          </cell>
        </row>
        <row r="253">
          <cell r="A253" t="str">
            <v>20275</v>
          </cell>
          <cell r="B253" t="str">
            <v>BANCO DE OCCIDENTE</v>
          </cell>
          <cell r="C253" t="str">
            <v>LAMAR OPTICAL S.A.S</v>
          </cell>
          <cell r="D253" t="str">
            <v>180153332</v>
          </cell>
          <cell r="E253">
            <v>46536</v>
          </cell>
          <cell r="F253">
            <v>49</v>
          </cell>
          <cell r="G253">
            <v>11</v>
          </cell>
          <cell r="H253">
            <v>6020107</v>
          </cell>
          <cell r="I253">
            <v>1356664</v>
          </cell>
          <cell r="J253">
            <v>0</v>
          </cell>
          <cell r="K253">
            <v>0</v>
          </cell>
          <cell r="L253">
            <v>0</v>
          </cell>
          <cell r="M253">
            <v>1.8034166666666667E-2</v>
          </cell>
          <cell r="N253">
            <v>1.6529216820856132E-2</v>
          </cell>
          <cell r="O253">
            <v>-8.3449924447698387E-2</v>
          </cell>
          <cell r="P253">
            <v>7376771</v>
          </cell>
          <cell r="Q253">
            <v>76056619</v>
          </cell>
          <cell r="R253">
            <v>-969</v>
          </cell>
          <cell r="U253" t="str">
            <v>PENDIENTE</v>
          </cell>
        </row>
        <row r="254">
          <cell r="A254" t="str">
            <v>20276</v>
          </cell>
          <cell r="B254" t="str">
            <v>BANCO DE OCCIDENTE</v>
          </cell>
          <cell r="C254" t="str">
            <v>LAMAR OPTICAL S.A.S</v>
          </cell>
          <cell r="D254" t="str">
            <v>180153332</v>
          </cell>
          <cell r="E254">
            <v>46567</v>
          </cell>
          <cell r="F254">
            <v>50</v>
          </cell>
          <cell r="G254">
            <v>10</v>
          </cell>
          <cell r="H254">
            <v>6128675</v>
          </cell>
          <cell r="I254">
            <v>1248096</v>
          </cell>
          <cell r="J254">
            <v>0</v>
          </cell>
          <cell r="K254">
            <v>0</v>
          </cell>
          <cell r="L254">
            <v>0</v>
          </cell>
          <cell r="M254">
            <v>1.8034166666666667E-2</v>
          </cell>
          <cell r="N254">
            <v>1.6410090487982379E-2</v>
          </cell>
          <cell r="O254">
            <v>-9.0055515661066732E-2</v>
          </cell>
          <cell r="P254">
            <v>7376771</v>
          </cell>
          <cell r="Q254">
            <v>69927944</v>
          </cell>
          <cell r="R254">
            <v>-999</v>
          </cell>
          <cell r="U254" t="str">
            <v>PENDIENTE</v>
          </cell>
        </row>
        <row r="255">
          <cell r="A255" t="str">
            <v>20277</v>
          </cell>
          <cell r="B255" t="str">
            <v>BANCO DE OCCIDENTE</v>
          </cell>
          <cell r="C255" t="str">
            <v>LAMAR OPTICAL S.A.S</v>
          </cell>
          <cell r="D255" t="str">
            <v>180153332</v>
          </cell>
          <cell r="E255">
            <v>46597</v>
          </cell>
          <cell r="F255">
            <v>51</v>
          </cell>
          <cell r="G255">
            <v>9</v>
          </cell>
          <cell r="H255">
            <v>6239200</v>
          </cell>
          <cell r="I255">
            <v>1137571</v>
          </cell>
          <cell r="J255">
            <v>0</v>
          </cell>
          <cell r="K255">
            <v>0</v>
          </cell>
          <cell r="L255">
            <v>0</v>
          </cell>
          <cell r="M255">
            <v>1.8034166666666667E-2</v>
          </cell>
          <cell r="N255">
            <v>1.6267759852913736E-2</v>
          </cell>
          <cell r="O255">
            <v>-9.794779245430052E-2</v>
          </cell>
          <cell r="P255">
            <v>7376771</v>
          </cell>
          <cell r="Q255">
            <v>63688744</v>
          </cell>
          <cell r="R255">
            <v>-1030</v>
          </cell>
          <cell r="U255" t="str">
            <v>PENDIENTE</v>
          </cell>
        </row>
        <row r="256">
          <cell r="A256" t="str">
            <v>20278</v>
          </cell>
          <cell r="B256" t="str">
            <v>BANCO DE OCCIDENTE</v>
          </cell>
          <cell r="C256" t="str">
            <v>LAMAR OPTICAL S.A.S</v>
          </cell>
          <cell r="D256" t="str">
            <v>180153332</v>
          </cell>
          <cell r="E256">
            <v>46628</v>
          </cell>
          <cell r="F256">
            <v>52</v>
          </cell>
          <cell r="G256">
            <v>8</v>
          </cell>
          <cell r="H256">
            <v>6351719</v>
          </cell>
          <cell r="I256">
            <v>1025052</v>
          </cell>
          <cell r="J256">
            <v>0</v>
          </cell>
          <cell r="K256">
            <v>0</v>
          </cell>
          <cell r="L256">
            <v>0</v>
          </cell>
          <cell r="M256">
            <v>1.8034166666666667E-2</v>
          </cell>
          <cell r="N256">
            <v>1.6094712120559324E-2</v>
          </cell>
          <cell r="O256">
            <v>-0.10754334158905832</v>
          </cell>
          <cell r="P256">
            <v>7376771</v>
          </cell>
          <cell r="Q256">
            <v>57337025</v>
          </cell>
          <cell r="R256">
            <v>-1060</v>
          </cell>
          <cell r="U256" t="str">
            <v>PENDIENTE</v>
          </cell>
        </row>
        <row r="257">
          <cell r="A257" t="str">
            <v>20279</v>
          </cell>
          <cell r="B257" t="str">
            <v>BANCO DE OCCIDENTE</v>
          </cell>
          <cell r="C257" t="str">
            <v>LAMAR OPTICAL S.A.S</v>
          </cell>
          <cell r="D257" t="str">
            <v>180153332</v>
          </cell>
          <cell r="E257">
            <v>46659</v>
          </cell>
          <cell r="F257">
            <v>53</v>
          </cell>
          <cell r="G257">
            <v>7</v>
          </cell>
          <cell r="H257">
            <v>6456267</v>
          </cell>
          <cell r="I257">
            <v>920504</v>
          </cell>
          <cell r="J257">
            <v>0</v>
          </cell>
          <cell r="K257">
            <v>0</v>
          </cell>
          <cell r="L257">
            <v>0</v>
          </cell>
          <cell r="M257">
            <v>1.8034166666666667E-2</v>
          </cell>
          <cell r="N257">
            <v>1.6054268598693428E-2</v>
          </cell>
          <cell r="O257">
            <v>-0.10978594711741074</v>
          </cell>
          <cell r="P257">
            <v>7376771</v>
          </cell>
          <cell r="Q257">
            <v>50880758</v>
          </cell>
          <cell r="R257">
            <v>-1091</v>
          </cell>
          <cell r="U257" t="str">
            <v>PENDIENTE</v>
          </cell>
        </row>
        <row r="258">
          <cell r="A258" t="str">
            <v>202710</v>
          </cell>
          <cell r="B258" t="str">
            <v>BANCO DE OCCIDENTE</v>
          </cell>
          <cell r="C258" t="str">
            <v>LAMAR OPTICAL S.A.S</v>
          </cell>
          <cell r="D258" t="str">
            <v>180153332</v>
          </cell>
          <cell r="E258">
            <v>46689</v>
          </cell>
          <cell r="F258">
            <v>54</v>
          </cell>
          <cell r="G258">
            <v>6</v>
          </cell>
          <cell r="H258">
            <v>6582881</v>
          </cell>
          <cell r="I258">
            <v>793890</v>
          </cell>
          <cell r="J258">
            <v>0</v>
          </cell>
          <cell r="K258">
            <v>0</v>
          </cell>
          <cell r="L258">
            <v>0</v>
          </cell>
          <cell r="M258">
            <v>1.8034166666666667E-2</v>
          </cell>
          <cell r="N258">
            <v>1.5602951512632732E-2</v>
          </cell>
          <cell r="O258">
            <v>-0.13481161613791981</v>
          </cell>
          <cell r="P258">
            <v>7376771</v>
          </cell>
          <cell r="Q258">
            <v>44297877</v>
          </cell>
          <cell r="R258">
            <v>-1122</v>
          </cell>
          <cell r="U258" t="str">
            <v>PENDIENTE</v>
          </cell>
        </row>
        <row r="259">
          <cell r="A259" t="str">
            <v>202711</v>
          </cell>
          <cell r="B259" t="str">
            <v>BANCO DE OCCIDENTE</v>
          </cell>
          <cell r="C259" t="str">
            <v>LAMAR OPTICAL S.A.S</v>
          </cell>
          <cell r="D259" t="str">
            <v>180153332</v>
          </cell>
          <cell r="E259">
            <v>46720</v>
          </cell>
          <cell r="F259">
            <v>55</v>
          </cell>
          <cell r="G259">
            <v>5</v>
          </cell>
          <cell r="H259">
            <v>6701598</v>
          </cell>
          <cell r="I259">
            <v>675173</v>
          </cell>
          <cell r="J259">
            <v>0</v>
          </cell>
          <cell r="K259">
            <v>0</v>
          </cell>
          <cell r="L259">
            <v>0</v>
          </cell>
          <cell r="M259">
            <v>1.8034166666666667E-2</v>
          </cell>
          <cell r="N259">
            <v>1.5241655937597191E-2</v>
          </cell>
          <cell r="O259">
            <v>-0.15484556512561209</v>
          </cell>
          <cell r="P259">
            <v>7376771</v>
          </cell>
          <cell r="Q259">
            <v>37596279</v>
          </cell>
          <cell r="R259">
            <v>-1152</v>
          </cell>
          <cell r="U259" t="str">
            <v>PENDIENTE</v>
          </cell>
        </row>
        <row r="260">
          <cell r="A260" t="str">
            <v>202712</v>
          </cell>
          <cell r="B260" t="str">
            <v>BANCO DE OCCIDENTE</v>
          </cell>
          <cell r="C260" t="str">
            <v>LAMAR OPTICAL S.A.S</v>
          </cell>
          <cell r="D260" t="str">
            <v>180153332</v>
          </cell>
          <cell r="E260">
            <v>46750</v>
          </cell>
          <cell r="F260">
            <v>56</v>
          </cell>
          <cell r="G260">
            <v>4</v>
          </cell>
          <cell r="H260">
            <v>6822455</v>
          </cell>
          <cell r="I260">
            <v>554316</v>
          </cell>
          <cell r="J260">
            <v>0</v>
          </cell>
          <cell r="K260">
            <v>0</v>
          </cell>
          <cell r="L260">
            <v>0</v>
          </cell>
          <cell r="M260">
            <v>1.8034166666666667E-2</v>
          </cell>
          <cell r="N260">
            <v>1.4743905906220134E-2</v>
          </cell>
          <cell r="O260">
            <v>-0.18244595501759808</v>
          </cell>
          <cell r="P260">
            <v>7376771</v>
          </cell>
          <cell r="Q260">
            <v>30773824</v>
          </cell>
          <cell r="R260">
            <v>-1183</v>
          </cell>
          <cell r="U260" t="str">
            <v>PENDIENTE</v>
          </cell>
        </row>
        <row r="261">
          <cell r="A261" t="str">
            <v>20281</v>
          </cell>
          <cell r="B261" t="str">
            <v>BANCO DE OCCIDENTE</v>
          </cell>
          <cell r="C261" t="str">
            <v>LAMAR OPTICAL S.A.S</v>
          </cell>
          <cell r="D261" t="str">
            <v>180153332</v>
          </cell>
          <cell r="E261">
            <v>46781</v>
          </cell>
          <cell r="F261">
            <v>57</v>
          </cell>
          <cell r="G261">
            <v>3</v>
          </cell>
          <cell r="H261">
            <v>6945493</v>
          </cell>
          <cell r="I261">
            <v>431278</v>
          </cell>
          <cell r="J261">
            <v>0</v>
          </cell>
          <cell r="K261">
            <v>0</v>
          </cell>
          <cell r="L261">
            <v>0</v>
          </cell>
          <cell r="M261">
            <v>1.8034166666666667E-2</v>
          </cell>
          <cell r="N261">
            <v>1.4014442923960311E-2</v>
          </cell>
          <cell r="O261">
            <v>-0.2228948981677199</v>
          </cell>
          <cell r="P261">
            <v>7376771</v>
          </cell>
          <cell r="Q261">
            <v>23828331</v>
          </cell>
          <cell r="R261">
            <v>-1213</v>
          </cell>
          <cell r="U261" t="str">
            <v>PENDIENTE</v>
          </cell>
        </row>
        <row r="262">
          <cell r="A262" t="str">
            <v>20282</v>
          </cell>
          <cell r="B262" t="str">
            <v>BANCO DE OCCIDENTE</v>
          </cell>
          <cell r="C262" t="str">
            <v>LAMAR OPTICAL S.A.S</v>
          </cell>
          <cell r="D262" t="str">
            <v>180153332</v>
          </cell>
          <cell r="E262">
            <v>46812</v>
          </cell>
          <cell r="F262">
            <v>58</v>
          </cell>
          <cell r="G262">
            <v>2</v>
          </cell>
          <cell r="H262">
            <v>7070749</v>
          </cell>
          <cell r="I262">
            <v>306022</v>
          </cell>
          <cell r="J262">
            <v>0</v>
          </cell>
          <cell r="K262">
            <v>0</v>
          </cell>
          <cell r="L262">
            <v>0</v>
          </cell>
          <cell r="M262">
            <v>1.8034166666666667E-2</v>
          </cell>
          <cell r="N262">
            <v>1.2842779462816763E-2</v>
          </cell>
          <cell r="O262">
            <v>-0.28786399171109867</v>
          </cell>
          <cell r="P262">
            <v>7376771</v>
          </cell>
          <cell r="Q262">
            <v>16757582</v>
          </cell>
          <cell r="R262">
            <v>-1244</v>
          </cell>
          <cell r="U262" t="str">
            <v>PENDIENTE</v>
          </cell>
        </row>
        <row r="263">
          <cell r="A263" t="str">
            <v>20283</v>
          </cell>
          <cell r="B263" t="str">
            <v>BANCO DE OCCIDENTE</v>
          </cell>
          <cell r="C263" t="str">
            <v>LAMAR OPTICAL S.A.S</v>
          </cell>
          <cell r="D263" t="str">
            <v>180153332</v>
          </cell>
          <cell r="E263">
            <v>46841</v>
          </cell>
          <cell r="F263">
            <v>59</v>
          </cell>
          <cell r="G263">
            <v>1</v>
          </cell>
          <cell r="H263">
            <v>7198264</v>
          </cell>
          <cell r="I263">
            <v>178507</v>
          </cell>
          <cell r="J263">
            <v>0</v>
          </cell>
          <cell r="K263">
            <v>0</v>
          </cell>
          <cell r="L263">
            <v>0</v>
          </cell>
          <cell r="M263">
            <v>1.8034166666666667E-2</v>
          </cell>
          <cell r="N263">
            <v>1.0652312487565331E-2</v>
          </cell>
          <cell r="O263">
            <v>-0.40932604846918363</v>
          </cell>
          <cell r="P263">
            <v>7376771</v>
          </cell>
          <cell r="Q263">
            <v>9559318</v>
          </cell>
          <cell r="R263">
            <v>-1275</v>
          </cell>
          <cell r="U263" t="str">
            <v>PENDIENTE</v>
          </cell>
        </row>
        <row r="264">
          <cell r="A264" t="str">
            <v>20284</v>
          </cell>
          <cell r="B264" t="str">
            <v>BANCO DE OCCIDENTE</v>
          </cell>
          <cell r="C264" t="str">
            <v>LAMAR OPTICAL S.A.S</v>
          </cell>
          <cell r="D264" t="str">
            <v>180153332</v>
          </cell>
          <cell r="E264">
            <v>46872</v>
          </cell>
          <cell r="F264">
            <v>60</v>
          </cell>
          <cell r="G264">
            <v>0</v>
          </cell>
          <cell r="H264">
            <v>2700000</v>
          </cell>
          <cell r="I264">
            <v>0</v>
          </cell>
          <cell r="J264">
            <v>0</v>
          </cell>
          <cell r="K264">
            <v>0</v>
          </cell>
          <cell r="L264">
            <v>0</v>
          </cell>
          <cell r="M264">
            <v>1.8034166666666667E-2</v>
          </cell>
          <cell r="N264">
            <v>0</v>
          </cell>
          <cell r="O264">
            <v>-1</v>
          </cell>
          <cell r="P264">
            <v>2700000</v>
          </cell>
          <cell r="Q264">
            <v>6859318</v>
          </cell>
          <cell r="R264">
            <v>-1304</v>
          </cell>
          <cell r="U264" t="str">
            <v>PENDIENTE</v>
          </cell>
        </row>
        <row r="265">
          <cell r="A265" t="str">
            <v>20229</v>
          </cell>
          <cell r="B265" t="str">
            <v>BANCOLDEX</v>
          </cell>
          <cell r="C265" t="str">
            <v>LAMAR OPTICAL S.A.S</v>
          </cell>
          <cell r="D265" t="str">
            <v>5000100411250008</v>
          </cell>
          <cell r="E265">
            <v>44818</v>
          </cell>
          <cell r="F265">
            <v>0</v>
          </cell>
          <cell r="G265">
            <v>36</v>
          </cell>
          <cell r="H265">
            <v>0</v>
          </cell>
          <cell r="I265">
            <v>0</v>
          </cell>
          <cell r="J265">
            <v>0</v>
          </cell>
          <cell r="K265">
            <v>0</v>
          </cell>
          <cell r="L265">
            <v>0</v>
          </cell>
          <cell r="M265">
            <v>1.2641666666666667E-2</v>
          </cell>
          <cell r="N265">
            <v>0</v>
          </cell>
          <cell r="O265">
            <v>-1</v>
          </cell>
          <cell r="P265">
            <v>0</v>
          </cell>
          <cell r="Q265">
            <v>250000000</v>
          </cell>
          <cell r="R265">
            <v>-1335</v>
          </cell>
          <cell r="U265" t="str">
            <v>PENDIENTE</v>
          </cell>
        </row>
        <row r="266">
          <cell r="A266" t="str">
            <v>202210</v>
          </cell>
          <cell r="B266" t="str">
            <v>BANCOLDEX</v>
          </cell>
          <cell r="C266" t="str">
            <v>LAMAR OPTICAL S.A.S</v>
          </cell>
          <cell r="D266" t="str">
            <v>5000100411250008</v>
          </cell>
          <cell r="E266">
            <v>44848</v>
          </cell>
          <cell r="F266">
            <v>1</v>
          </cell>
          <cell r="G266">
            <v>35</v>
          </cell>
          <cell r="H266">
            <v>0</v>
          </cell>
          <cell r="I266">
            <v>2960419</v>
          </cell>
          <cell r="J266">
            <v>0</v>
          </cell>
          <cell r="K266">
            <v>0</v>
          </cell>
          <cell r="L266">
            <v>0</v>
          </cell>
          <cell r="M266">
            <v>1.1841666666666667E-2</v>
          </cell>
          <cell r="N266">
            <v>1.1841676000000001E-2</v>
          </cell>
          <cell r="O266">
            <v>7.8817733983882476E-7</v>
          </cell>
          <cell r="P266">
            <v>2960419</v>
          </cell>
          <cell r="Q266">
            <v>250000000</v>
          </cell>
          <cell r="R266" t="str">
            <v>OK</v>
          </cell>
          <cell r="S266">
            <v>2960419</v>
          </cell>
          <cell r="T266">
            <v>44848</v>
          </cell>
          <cell r="U266" t="str">
            <v>PAGADO</v>
          </cell>
        </row>
        <row r="267">
          <cell r="A267" t="str">
            <v>202211</v>
          </cell>
          <cell r="B267" t="str">
            <v>BANCOLDEX</v>
          </cell>
          <cell r="C267" t="str">
            <v>LAMAR OPTICAL S.A.S</v>
          </cell>
          <cell r="D267" t="str">
            <v>5000100411250008</v>
          </cell>
          <cell r="E267">
            <v>44879</v>
          </cell>
          <cell r="F267">
            <v>2</v>
          </cell>
          <cell r="G267">
            <v>34</v>
          </cell>
          <cell r="H267">
            <v>0</v>
          </cell>
          <cell r="I267">
            <v>2940769</v>
          </cell>
          <cell r="J267">
            <v>177292</v>
          </cell>
          <cell r="K267">
            <v>0</v>
          </cell>
          <cell r="L267">
            <v>0</v>
          </cell>
          <cell r="M267">
            <v>1.1841666666666667E-2</v>
          </cell>
          <cell r="N267">
            <v>1.1763076000000001E-2</v>
          </cell>
          <cell r="O267">
            <v>-6.6367909922588897E-3</v>
          </cell>
          <cell r="P267">
            <v>3118061</v>
          </cell>
          <cell r="Q267">
            <v>250000000</v>
          </cell>
          <cell r="R267" t="str">
            <v>OK</v>
          </cell>
          <cell r="S267">
            <v>3140000</v>
          </cell>
          <cell r="T267">
            <v>44880</v>
          </cell>
          <cell r="U267" t="str">
            <v>PAGADO</v>
          </cell>
        </row>
        <row r="268">
          <cell r="A268" t="str">
            <v>202212</v>
          </cell>
          <cell r="B268" t="str">
            <v>BANCOLDEX</v>
          </cell>
          <cell r="C268" t="str">
            <v>LAMAR OPTICAL S.A.S</v>
          </cell>
          <cell r="D268" t="str">
            <v>5000100411250008</v>
          </cell>
          <cell r="E268">
            <v>44909</v>
          </cell>
          <cell r="F268">
            <v>3</v>
          </cell>
          <cell r="G268">
            <v>33</v>
          </cell>
          <cell r="H268">
            <v>0</v>
          </cell>
          <cell r="I268">
            <v>3258113</v>
          </cell>
          <cell r="J268">
            <v>177292</v>
          </cell>
          <cell r="K268">
            <v>0</v>
          </cell>
          <cell r="L268">
            <v>0</v>
          </cell>
          <cell r="M268">
            <v>1.1841666666666667E-2</v>
          </cell>
          <cell r="N268">
            <v>1.3032452E-2</v>
          </cell>
          <cell r="O268">
            <v>0.10055893033075303</v>
          </cell>
          <cell r="P268">
            <v>3435405</v>
          </cell>
          <cell r="Q268">
            <v>250000000</v>
          </cell>
          <cell r="R268" t="str">
            <v>OK</v>
          </cell>
          <cell r="S268">
            <v>3500000</v>
          </cell>
          <cell r="T268">
            <v>44910</v>
          </cell>
          <cell r="U268" t="str">
            <v>PAGADO</v>
          </cell>
        </row>
        <row r="269">
          <cell r="A269" t="str">
            <v>20231</v>
          </cell>
          <cell r="B269" t="str">
            <v>BANCOLDEX</v>
          </cell>
          <cell r="C269" t="str">
            <v>LAMAR OPTICAL S.A.S</v>
          </cell>
          <cell r="D269" t="str">
            <v>5000100411250008</v>
          </cell>
          <cell r="E269">
            <v>44940</v>
          </cell>
          <cell r="F269">
            <v>4</v>
          </cell>
          <cell r="G269">
            <v>32</v>
          </cell>
          <cell r="H269">
            <v>7575758</v>
          </cell>
          <cell r="I269">
            <v>3328363</v>
          </cell>
          <cell r="J269">
            <v>0</v>
          </cell>
          <cell r="K269">
            <v>90758</v>
          </cell>
          <cell r="L269">
            <v>0</v>
          </cell>
          <cell r="M269">
            <v>1.1841666666666667E-2</v>
          </cell>
          <cell r="N269">
            <v>1.3313452E-2</v>
          </cell>
          <cell r="O269">
            <v>0.1242886980999296</v>
          </cell>
          <cell r="P269">
            <v>10994879</v>
          </cell>
          <cell r="Q269">
            <v>242424242</v>
          </cell>
          <cell r="R269" t="str">
            <v>OK</v>
          </cell>
          <cell r="S269">
            <v>11300000</v>
          </cell>
          <cell r="T269">
            <v>44963</v>
          </cell>
          <cell r="U269" t="str">
            <v>PAGADO</v>
          </cell>
        </row>
        <row r="270">
          <cell r="A270" t="str">
            <v>20232</v>
          </cell>
          <cell r="B270" t="str">
            <v>BANCOLDEX</v>
          </cell>
          <cell r="C270" t="str">
            <v>LAMAR OPTICAL S.A.S</v>
          </cell>
          <cell r="D270" t="str">
            <v>5000100411250008</v>
          </cell>
          <cell r="E270">
            <v>44971</v>
          </cell>
          <cell r="F270">
            <v>5</v>
          </cell>
          <cell r="G270">
            <v>31</v>
          </cell>
          <cell r="H270">
            <v>7575758</v>
          </cell>
          <cell r="I270">
            <v>3353299</v>
          </cell>
          <cell r="J270">
            <v>0</v>
          </cell>
          <cell r="K270">
            <v>47986</v>
          </cell>
          <cell r="L270">
            <v>0</v>
          </cell>
          <cell r="M270">
            <v>1.1841666666666667E-2</v>
          </cell>
          <cell r="N270">
            <v>1.3832358399206627E-2</v>
          </cell>
          <cell r="O270">
            <v>0.16810908367684396</v>
          </cell>
          <cell r="P270">
            <v>10977043</v>
          </cell>
          <cell r="Q270">
            <v>234848484</v>
          </cell>
          <cell r="R270" t="str">
            <v>OK</v>
          </cell>
          <cell r="S270">
            <v>11180000</v>
          </cell>
          <cell r="T270">
            <v>44995</v>
          </cell>
          <cell r="U270" t="str">
            <v>PAGADO</v>
          </cell>
        </row>
        <row r="271">
          <cell r="A271" t="str">
            <v>20233</v>
          </cell>
          <cell r="B271" t="str">
            <v>BANCOLDEX</v>
          </cell>
          <cell r="C271" t="str">
            <v>LAMAR OPTICAL S.A.S</v>
          </cell>
          <cell r="D271" t="str">
            <v>5000100411250008</v>
          </cell>
          <cell r="E271">
            <v>44999</v>
          </cell>
          <cell r="F271">
            <v>6</v>
          </cell>
          <cell r="G271">
            <v>30</v>
          </cell>
          <cell r="H271">
            <v>7575758</v>
          </cell>
          <cell r="I271">
            <v>3430737</v>
          </cell>
          <cell r="J271">
            <v>0</v>
          </cell>
          <cell r="K271">
            <v>151110</v>
          </cell>
          <cell r="L271">
            <v>0</v>
          </cell>
          <cell r="M271">
            <v>1.1841666666666667E-2</v>
          </cell>
          <cell r="N271">
            <v>1.4608299536649339E-2</v>
          </cell>
          <cell r="O271">
            <v>0.23363542885145727</v>
          </cell>
          <cell r="P271">
            <v>11157605</v>
          </cell>
          <cell r="Q271">
            <v>227272726</v>
          </cell>
          <cell r="R271" t="str">
            <v>OK</v>
          </cell>
          <cell r="S271">
            <v>11300000</v>
          </cell>
          <cell r="T271">
            <v>45016</v>
          </cell>
          <cell r="U271" t="str">
            <v>PAGADO</v>
          </cell>
        </row>
        <row r="272">
          <cell r="A272" t="str">
            <v>20234</v>
          </cell>
          <cell r="B272" t="str">
            <v>BANCOLDEX</v>
          </cell>
          <cell r="C272" t="str">
            <v>LAMAR OPTICAL S.A.S</v>
          </cell>
          <cell r="D272" t="str">
            <v>5000100411250008</v>
          </cell>
          <cell r="E272">
            <v>45030</v>
          </cell>
          <cell r="F272">
            <v>7</v>
          </cell>
          <cell r="G272">
            <v>29</v>
          </cell>
          <cell r="H272">
            <v>7575758</v>
          </cell>
          <cell r="I272">
            <v>2793820</v>
          </cell>
          <cell r="J272">
            <v>0</v>
          </cell>
          <cell r="K272">
            <v>155802</v>
          </cell>
          <cell r="L272">
            <v>0</v>
          </cell>
          <cell r="M272">
            <v>1.1841666666666667E-2</v>
          </cell>
          <cell r="N272">
            <v>1.2292808068839724E-2</v>
          </cell>
          <cell r="O272">
            <v>3.8097796101876691E-2</v>
          </cell>
          <cell r="P272">
            <v>10525380</v>
          </cell>
          <cell r="Q272">
            <v>219696968</v>
          </cell>
          <cell r="R272" t="str">
            <v>OK</v>
          </cell>
          <cell r="S272">
            <v>11000000</v>
          </cell>
          <cell r="T272">
            <v>45044</v>
          </cell>
          <cell r="U272" t="str">
            <v>PAGADO</v>
          </cell>
        </row>
        <row r="273">
          <cell r="A273" t="str">
            <v>20235</v>
          </cell>
          <cell r="B273" t="str">
            <v>BANCOLDEX</v>
          </cell>
          <cell r="C273" t="str">
            <v>LAMAR OPTICAL S.A.S</v>
          </cell>
          <cell r="D273" t="str">
            <v>5000100411250008</v>
          </cell>
          <cell r="E273">
            <v>45060</v>
          </cell>
          <cell r="F273">
            <v>8</v>
          </cell>
          <cell r="G273">
            <v>28</v>
          </cell>
          <cell r="H273">
            <v>7575758</v>
          </cell>
          <cell r="I273">
            <v>2716080</v>
          </cell>
          <cell r="J273">
            <v>0</v>
          </cell>
          <cell r="K273">
            <v>150429</v>
          </cell>
          <cell r="L273">
            <v>0</v>
          </cell>
          <cell r="M273">
            <v>1.1841666666666667E-2</v>
          </cell>
          <cell r="N273">
            <v>1.236284699204406E-2</v>
          </cell>
          <cell r="O273">
            <v>4.4012413121243599E-2</v>
          </cell>
          <cell r="P273">
            <v>10442267</v>
          </cell>
          <cell r="Q273">
            <v>212121210</v>
          </cell>
          <cell r="R273" t="str">
            <v>OK</v>
          </cell>
          <cell r="S273">
            <v>11000000</v>
          </cell>
          <cell r="T273">
            <v>45084</v>
          </cell>
          <cell r="U273" t="str">
            <v>PAGADO</v>
          </cell>
        </row>
        <row r="274">
          <cell r="A274" t="str">
            <v>20236</v>
          </cell>
          <cell r="B274" t="str">
            <v>BANCOLDEX</v>
          </cell>
          <cell r="C274" t="str">
            <v>LAMAR OPTICAL S.A.S</v>
          </cell>
          <cell r="D274" t="str">
            <v>5000100411250008</v>
          </cell>
          <cell r="E274">
            <v>45091</v>
          </cell>
          <cell r="F274">
            <v>9</v>
          </cell>
          <cell r="G274">
            <v>27</v>
          </cell>
          <cell r="H274">
            <v>7575758</v>
          </cell>
          <cell r="I274">
            <v>2437806.4727443038</v>
          </cell>
          <cell r="J274">
            <v>150429.57875047834</v>
          </cell>
          <cell r="K274">
            <v>0</v>
          </cell>
          <cell r="L274">
            <v>0</v>
          </cell>
          <cell r="M274">
            <v>1.1841666666666667E-2</v>
          </cell>
          <cell r="N274">
            <v>1.1492516343576882E-2</v>
          </cell>
          <cell r="O274">
            <v>-2.9484897094140927E-2</v>
          </cell>
          <cell r="P274">
            <v>10163994.051494783</v>
          </cell>
          <cell r="Q274">
            <v>204545452</v>
          </cell>
          <cell r="R274" t="str">
            <v>OK</v>
          </cell>
          <cell r="S274">
            <v>11500000</v>
          </cell>
          <cell r="T274">
            <v>45119</v>
          </cell>
          <cell r="U274" t="str">
            <v>PAGADO</v>
          </cell>
        </row>
        <row r="275">
          <cell r="A275" t="str">
            <v>20237</v>
          </cell>
          <cell r="B275" t="str">
            <v>BANCOLDEX</v>
          </cell>
          <cell r="C275" t="str">
            <v>LAMAR OPTICAL S.A.S</v>
          </cell>
          <cell r="D275" t="str">
            <v>5000100411250008</v>
          </cell>
          <cell r="E275">
            <v>45121</v>
          </cell>
          <cell r="F275">
            <v>10</v>
          </cell>
          <cell r="G275">
            <v>26</v>
          </cell>
          <cell r="H275">
            <v>7575758</v>
          </cell>
          <cell r="I275">
            <v>2350741.9636590718</v>
          </cell>
          <cell r="J275">
            <v>145057.09427632528</v>
          </cell>
          <cell r="K275">
            <v>0</v>
          </cell>
          <cell r="L275">
            <v>0</v>
          </cell>
          <cell r="M275">
            <v>1.1841666666666667E-2</v>
          </cell>
          <cell r="N275">
            <v>1.1492516409795666E-2</v>
          </cell>
          <cell r="O275">
            <v>-2.948489150212541E-2</v>
          </cell>
          <cell r="P275">
            <v>10071557.057935398</v>
          </cell>
          <cell r="Q275">
            <v>196969694</v>
          </cell>
          <cell r="R275" t="str">
            <v>OK</v>
          </cell>
          <cell r="S275">
            <v>10500000</v>
          </cell>
          <cell r="T275">
            <v>45128</v>
          </cell>
          <cell r="U275" t="str">
            <v>PAGADO</v>
          </cell>
        </row>
        <row r="276">
          <cell r="A276" t="str">
            <v>20238</v>
          </cell>
          <cell r="B276" t="str">
            <v>BANCOLDEX</v>
          </cell>
          <cell r="C276" t="str">
            <v>LAMAR OPTICAL S.A.S</v>
          </cell>
          <cell r="D276" t="str">
            <v>5000100411250008</v>
          </cell>
          <cell r="E276">
            <v>45152</v>
          </cell>
          <cell r="F276">
            <v>11</v>
          </cell>
          <cell r="G276">
            <v>25</v>
          </cell>
          <cell r="H276">
            <v>7575758</v>
          </cell>
          <cell r="I276">
            <v>2263677.4545738394</v>
          </cell>
          <cell r="J276">
            <v>139684.60980217217</v>
          </cell>
          <cell r="K276">
            <v>0</v>
          </cell>
          <cell r="L276">
            <v>0</v>
          </cell>
          <cell r="M276">
            <v>1.1841666666666667E-2</v>
          </cell>
          <cell r="N276">
            <v>1.1492516481108203E-2</v>
          </cell>
          <cell r="O276">
            <v>-2.9484885479954759E-2</v>
          </cell>
          <cell r="P276">
            <v>9979120.0643760115</v>
          </cell>
          <cell r="Q276">
            <v>189393936</v>
          </cell>
          <cell r="R276" t="str">
            <v>OK</v>
          </cell>
          <cell r="S276">
            <v>10000000</v>
          </cell>
          <cell r="T276">
            <v>45181</v>
          </cell>
          <cell r="U276" t="str">
            <v>PAGADO</v>
          </cell>
        </row>
        <row r="277">
          <cell r="A277" t="str">
            <v>20239</v>
          </cell>
          <cell r="B277" t="str">
            <v>BANCOLDEX</v>
          </cell>
          <cell r="C277" t="str">
            <v>LAMAR OPTICAL S.A.S</v>
          </cell>
          <cell r="D277" t="str">
            <v>5000100411250008</v>
          </cell>
          <cell r="E277">
            <v>45183</v>
          </cell>
          <cell r="F277">
            <v>12</v>
          </cell>
          <cell r="G277">
            <v>24</v>
          </cell>
          <cell r="H277">
            <v>7575758</v>
          </cell>
          <cell r="I277">
            <v>2176612.9454886075</v>
          </cell>
          <cell r="J277">
            <v>134312.12532801912</v>
          </cell>
          <cell r="K277">
            <v>0</v>
          </cell>
          <cell r="L277">
            <v>0</v>
          </cell>
          <cell r="M277">
            <v>1.1841666666666667E-2</v>
          </cell>
          <cell r="N277">
            <v>1.1492516558125745E-2</v>
          </cell>
          <cell r="O277">
            <v>-2.9484878976010376E-2</v>
          </cell>
          <cell r="P277">
            <v>9886683.0708166268</v>
          </cell>
          <cell r="Q277">
            <v>181818178</v>
          </cell>
          <cell r="R277" t="str">
            <v>OK</v>
          </cell>
          <cell r="S277">
            <v>10102336</v>
          </cell>
          <cell r="T277">
            <v>45213</v>
          </cell>
          <cell r="U277" t="str">
            <v>PAGADO</v>
          </cell>
        </row>
        <row r="278">
          <cell r="A278" t="str">
            <v>202310</v>
          </cell>
          <cell r="B278" t="str">
            <v>BANCOLDEX</v>
          </cell>
          <cell r="C278" t="str">
            <v>LAMAR OPTICAL S.A.S</v>
          </cell>
          <cell r="D278" t="str">
            <v>5000100411250008</v>
          </cell>
          <cell r="E278">
            <v>45213</v>
          </cell>
          <cell r="F278">
            <v>13</v>
          </cell>
          <cell r="G278">
            <v>23</v>
          </cell>
          <cell r="H278">
            <v>7575758</v>
          </cell>
          <cell r="I278">
            <v>2459058</v>
          </cell>
          <cell r="J278">
            <v>128939.64085386602</v>
          </cell>
          <cell r="K278">
            <v>0</v>
          </cell>
          <cell r="L278">
            <v>0</v>
          </cell>
          <cell r="M278">
            <v>1.1841666666666667E-2</v>
          </cell>
          <cell r="N278">
            <v>1.3524819284021205E-2</v>
          </cell>
          <cell r="O278">
            <v>0.14213815206371883</v>
          </cell>
          <cell r="P278">
            <v>10163755.640853867</v>
          </cell>
          <cell r="Q278">
            <v>174242420</v>
          </cell>
          <cell r="R278" t="str">
            <v>OK</v>
          </cell>
          <cell r="S278">
            <v>10600000</v>
          </cell>
          <cell r="T278">
            <v>45244</v>
          </cell>
          <cell r="U278" t="str">
            <v>PAGADO</v>
          </cell>
        </row>
        <row r="279">
          <cell r="A279" t="str">
            <v>202311</v>
          </cell>
          <cell r="B279" t="str">
            <v>BANCOLDEX</v>
          </cell>
          <cell r="C279" t="str">
            <v>LAMAR OPTICAL S.A.S</v>
          </cell>
          <cell r="D279" t="str">
            <v>5000100411250008</v>
          </cell>
          <cell r="E279">
            <v>45244</v>
          </cell>
          <cell r="F279">
            <v>14</v>
          </cell>
          <cell r="G279">
            <v>22</v>
          </cell>
          <cell r="H279">
            <v>7575758</v>
          </cell>
          <cell r="I279">
            <v>2283042</v>
          </cell>
          <cell r="J279">
            <v>139414</v>
          </cell>
          <cell r="K279">
            <v>10142045</v>
          </cell>
          <cell r="L279">
            <v>0</v>
          </cell>
          <cell r="M279">
            <v>1.1841666666666667E-2</v>
          </cell>
          <cell r="N279">
            <v>1.3102676145108636E-2</v>
          </cell>
          <cell r="O279">
            <v>0.10648918889024372</v>
          </cell>
          <cell r="P279">
            <v>20140259</v>
          </cell>
          <cell r="Q279">
            <v>166666662</v>
          </cell>
          <cell r="R279" t="str">
            <v>OK</v>
          </cell>
          <cell r="S279">
            <v>20340259</v>
          </cell>
          <cell r="T279">
            <v>45275</v>
          </cell>
          <cell r="U279" t="str">
            <v>PAGADO</v>
          </cell>
        </row>
        <row r="280">
          <cell r="A280" t="str">
            <v>202312</v>
          </cell>
          <cell r="B280" t="str">
            <v>BANCOLDEX</v>
          </cell>
          <cell r="C280" t="str">
            <v>LAMAR OPTICAL S.A.S</v>
          </cell>
          <cell r="D280" t="str">
            <v>5000100411250008</v>
          </cell>
          <cell r="E280">
            <v>45274</v>
          </cell>
          <cell r="F280">
            <v>15</v>
          </cell>
          <cell r="G280">
            <v>21</v>
          </cell>
          <cell r="H280">
            <v>7575758</v>
          </cell>
          <cell r="I280">
            <v>1915419.4182329113</v>
          </cell>
          <cell r="J280">
            <v>118194.67190555987</v>
          </cell>
          <cell r="K280">
            <v>0</v>
          </cell>
          <cell r="L280">
            <v>0</v>
          </cell>
          <cell r="M280">
            <v>1.1841666666666667E-2</v>
          </cell>
          <cell r="N280">
            <v>1.1492516831187939E-2</v>
          </cell>
          <cell r="O280">
            <v>-2.9484855916571018E-2</v>
          </cell>
          <cell r="P280">
            <v>9609372.0901384708</v>
          </cell>
          <cell r="Q280">
            <v>159090904</v>
          </cell>
          <cell r="R280" t="str">
            <v>OK</v>
          </cell>
          <cell r="S280">
            <v>10000000</v>
          </cell>
          <cell r="T280">
            <v>45309</v>
          </cell>
          <cell r="U280" t="str">
            <v>PAGADO</v>
          </cell>
        </row>
        <row r="281">
          <cell r="A281" t="str">
            <v>20241</v>
          </cell>
          <cell r="B281" t="str">
            <v>BANCOLDEX</v>
          </cell>
          <cell r="C281" t="str">
            <v>LAMAR OPTICAL S.A.S</v>
          </cell>
          <cell r="D281" t="str">
            <v>5000100411250008</v>
          </cell>
          <cell r="E281">
            <v>45305</v>
          </cell>
          <cell r="F281">
            <v>16</v>
          </cell>
          <cell r="G281">
            <v>20</v>
          </cell>
          <cell r="H281">
            <v>7575758</v>
          </cell>
          <cell r="I281">
            <v>1828354.9091476791</v>
          </cell>
          <cell r="J281">
            <v>112822.18743140677</v>
          </cell>
          <cell r="K281">
            <v>0</v>
          </cell>
          <cell r="L281">
            <v>0</v>
          </cell>
          <cell r="M281">
            <v>1.1841666666666667E-2</v>
          </cell>
          <cell r="N281">
            <v>1.1492516939545954E-2</v>
          </cell>
          <cell r="O281">
            <v>-2.9484846765999606E-2</v>
          </cell>
          <cell r="P281">
            <v>9516935.096579086</v>
          </cell>
          <cell r="Q281">
            <v>151515146</v>
          </cell>
          <cell r="R281" t="str">
            <v>OK</v>
          </cell>
          <cell r="S281">
            <v>10500000</v>
          </cell>
          <cell r="T281">
            <v>45336</v>
          </cell>
          <cell r="U281" t="str">
            <v>PAGADO</v>
          </cell>
        </row>
        <row r="282">
          <cell r="A282" t="str">
            <v>20242</v>
          </cell>
          <cell r="B282" t="str">
            <v>BANCOLDEX</v>
          </cell>
          <cell r="C282" t="str">
            <v>LAMAR OPTICAL S.A.S</v>
          </cell>
          <cell r="D282" t="str">
            <v>5000100411250008</v>
          </cell>
          <cell r="E282">
            <v>45336</v>
          </cell>
          <cell r="F282">
            <v>17</v>
          </cell>
          <cell r="G282">
            <v>19</v>
          </cell>
          <cell r="H282">
            <v>7575758</v>
          </cell>
          <cell r="I282">
            <v>1741290.4000624469</v>
          </cell>
          <cell r="J282">
            <v>107449.70295725368</v>
          </cell>
          <cell r="K282">
            <v>0</v>
          </cell>
          <cell r="L282">
            <v>0</v>
          </cell>
          <cell r="M282">
            <v>1.1841666666666667E-2</v>
          </cell>
          <cell r="N282">
            <v>1.1492517058739771E-2</v>
          </cell>
          <cell r="O282">
            <v>-2.9484836700371275E-2</v>
          </cell>
          <cell r="P282">
            <v>9424498.1030197013</v>
          </cell>
          <cell r="Q282">
            <v>143939388</v>
          </cell>
          <cell r="R282" t="str">
            <v>OK</v>
          </cell>
          <cell r="S282">
            <v>10200000</v>
          </cell>
          <cell r="T282">
            <v>45366</v>
          </cell>
          <cell r="U282" t="str">
            <v>PAGADO</v>
          </cell>
        </row>
        <row r="283">
          <cell r="A283" t="str">
            <v>20243</v>
          </cell>
          <cell r="B283" t="str">
            <v>BANCOLDEX</v>
          </cell>
          <cell r="C283" t="str">
            <v>LAMAR OPTICAL S.A.S</v>
          </cell>
          <cell r="D283" t="str">
            <v>5000100411250008</v>
          </cell>
          <cell r="E283">
            <v>45365</v>
          </cell>
          <cell r="F283">
            <v>18</v>
          </cell>
          <cell r="G283">
            <v>18</v>
          </cell>
          <cell r="H283">
            <v>7575758</v>
          </cell>
          <cell r="I283">
            <v>1654225.890977215</v>
          </cell>
          <cell r="J283">
            <v>102077.21848310062</v>
          </cell>
          <cell r="K283">
            <v>0</v>
          </cell>
          <cell r="L283">
            <v>0</v>
          </cell>
          <cell r="M283">
            <v>1.1841666666666667E-2</v>
          </cell>
          <cell r="N283">
            <v>1.1492517190480308E-2</v>
          </cell>
          <cell r="O283">
            <v>-2.9484825575202711E-2</v>
          </cell>
          <cell r="P283">
            <v>9332061.1094603147</v>
          </cell>
          <cell r="Q283">
            <v>136363630</v>
          </cell>
          <cell r="R283" t="str">
            <v>OK</v>
          </cell>
          <cell r="S283">
            <v>9700000</v>
          </cell>
          <cell r="T283">
            <v>45399</v>
          </cell>
          <cell r="U283" t="str">
            <v>PAGADO</v>
          </cell>
        </row>
        <row r="284">
          <cell r="A284" t="str">
            <v>20244</v>
          </cell>
          <cell r="B284" t="str">
            <v>BANCOLDEX</v>
          </cell>
          <cell r="C284" t="str">
            <v>LAMAR OPTICAL S.A.S</v>
          </cell>
          <cell r="D284" t="str">
            <v>5000100411250008</v>
          </cell>
          <cell r="E284">
            <v>45396</v>
          </cell>
          <cell r="F284">
            <v>19</v>
          </cell>
          <cell r="G284">
            <v>17</v>
          </cell>
          <cell r="H284">
            <v>7575758</v>
          </cell>
          <cell r="I284">
            <v>1567161.3818919829</v>
          </cell>
          <cell r="J284">
            <v>96704.734008947533</v>
          </cell>
          <cell r="K284">
            <v>0</v>
          </cell>
          <cell r="L284">
            <v>0</v>
          </cell>
          <cell r="M284">
            <v>1.1841666666666667E-2</v>
          </cell>
          <cell r="N284">
            <v>1.1492517336858684E-2</v>
          </cell>
          <cell r="O284">
            <v>-2.9484813213904282E-2</v>
          </cell>
          <cell r="P284">
            <v>9239624.11590093</v>
          </cell>
          <cell r="Q284">
            <v>128787872</v>
          </cell>
          <cell r="R284" t="str">
            <v>OK</v>
          </cell>
          <cell r="S284">
            <v>10500000</v>
          </cell>
          <cell r="T284">
            <v>45427</v>
          </cell>
          <cell r="U284" t="str">
            <v>PAGADO</v>
          </cell>
        </row>
        <row r="285">
          <cell r="A285" t="str">
            <v>20245</v>
          </cell>
          <cell r="B285" t="str">
            <v>BANCOLDEX</v>
          </cell>
          <cell r="C285" t="str">
            <v>LAMAR OPTICAL S.A.S</v>
          </cell>
          <cell r="D285" t="str">
            <v>5000100411250008</v>
          </cell>
          <cell r="E285">
            <v>45426</v>
          </cell>
          <cell r="F285">
            <v>20</v>
          </cell>
          <cell r="G285">
            <v>16</v>
          </cell>
          <cell r="H285">
            <v>7575758</v>
          </cell>
          <cell r="I285">
            <v>1480096.8728067507</v>
          </cell>
          <cell r="J285">
            <v>91332.24953479445</v>
          </cell>
          <cell r="K285">
            <v>0</v>
          </cell>
          <cell r="L285">
            <v>0</v>
          </cell>
          <cell r="M285">
            <v>1.1841666666666667E-2</v>
          </cell>
          <cell r="N285">
            <v>1.1492517500458046E-2</v>
          </cell>
          <cell r="O285">
            <v>-2.9484799398335371E-2</v>
          </cell>
          <cell r="P285">
            <v>9147187.1223415453</v>
          </cell>
          <cell r="Q285">
            <v>121212114</v>
          </cell>
          <cell r="R285" t="str">
            <v>OK</v>
          </cell>
          <cell r="S285">
            <v>7230000</v>
          </cell>
          <cell r="T285">
            <v>45454</v>
          </cell>
          <cell r="U285" t="str">
            <v>PAGADO</v>
          </cell>
        </row>
        <row r="286">
          <cell r="A286" t="str">
            <v>20246</v>
          </cell>
          <cell r="B286" t="str">
            <v>BANCOLDEX</v>
          </cell>
          <cell r="C286" t="str">
            <v>LAMAR OPTICAL S.A.S</v>
          </cell>
          <cell r="D286" t="str">
            <v>5000100411250008</v>
          </cell>
          <cell r="E286">
            <v>45457</v>
          </cell>
          <cell r="F286">
            <v>21</v>
          </cell>
          <cell r="G286">
            <v>15</v>
          </cell>
          <cell r="H286">
            <v>7575758</v>
          </cell>
          <cell r="I286">
            <v>1393032.3637215188</v>
          </cell>
          <cell r="J286">
            <v>85959.765060641381</v>
          </cell>
          <cell r="K286">
            <v>0</v>
          </cell>
          <cell r="L286">
            <v>1917187.1223415453</v>
          </cell>
          <cell r="M286">
            <v>1.1841666666666667E-2</v>
          </cell>
          <cell r="N286">
            <v>1.1492517684507332E-2</v>
          </cell>
          <cell r="O286">
            <v>-2.9484783855819985E-2</v>
          </cell>
          <cell r="P286">
            <v>10971937.251123706</v>
          </cell>
          <cell r="Q286">
            <v>113636356</v>
          </cell>
          <cell r="R286" t="str">
            <v>OK</v>
          </cell>
          <cell r="S286">
            <v>6000000</v>
          </cell>
          <cell r="T286">
            <v>45467</v>
          </cell>
          <cell r="U286" t="str">
            <v>PAGADO</v>
          </cell>
        </row>
        <row r="287">
          <cell r="A287" t="str">
            <v>20247</v>
          </cell>
          <cell r="B287" t="str">
            <v>BANCOLDEX</v>
          </cell>
          <cell r="C287" t="str">
            <v>LAMAR OPTICAL S.A.S</v>
          </cell>
          <cell r="D287" t="str">
            <v>5000100411250008</v>
          </cell>
          <cell r="E287">
            <v>45487</v>
          </cell>
          <cell r="F287">
            <v>22</v>
          </cell>
          <cell r="G287">
            <v>14</v>
          </cell>
          <cell r="H287">
            <v>7575758</v>
          </cell>
          <cell r="I287">
            <v>1305967.8546362866</v>
          </cell>
          <cell r="J287">
            <v>80587.280586488298</v>
          </cell>
          <cell r="K287">
            <v>0</v>
          </cell>
          <cell r="L287">
            <v>4971937.2511237059</v>
          </cell>
          <cell r="M287">
            <v>1.1841666666666667E-2</v>
          </cell>
          <cell r="N287">
            <v>1.1492517893096525E-2</v>
          </cell>
          <cell r="O287">
            <v>-2.9484766240969074E-2</v>
          </cell>
          <cell r="P287">
            <v>13934250.386346482</v>
          </cell>
          <cell r="Q287">
            <v>106060598</v>
          </cell>
          <cell r="R287" t="str">
            <v>OK</v>
          </cell>
          <cell r="S287">
            <v>12156820</v>
          </cell>
          <cell r="T287">
            <v>45514</v>
          </cell>
          <cell r="U287" t="str">
            <v>PAGADO</v>
          </cell>
        </row>
        <row r="288">
          <cell r="A288" t="str">
            <v>20248</v>
          </cell>
          <cell r="B288" t="str">
            <v>BANCOLDEX</v>
          </cell>
          <cell r="C288" t="str">
            <v>LAMAR OPTICAL S.A.S</v>
          </cell>
          <cell r="D288" t="str">
            <v>5000100411250008</v>
          </cell>
          <cell r="E288">
            <v>45518</v>
          </cell>
          <cell r="F288">
            <v>23</v>
          </cell>
          <cell r="G288">
            <v>13</v>
          </cell>
          <cell r="H288">
            <v>7575758</v>
          </cell>
          <cell r="I288">
            <v>1218903.3455510545</v>
          </cell>
          <cell r="J288">
            <v>75214.796112335214</v>
          </cell>
          <cell r="K288">
            <v>0</v>
          </cell>
          <cell r="L288">
            <v>0</v>
          </cell>
          <cell r="M288">
            <v>1.1841666666666667E-2</v>
          </cell>
          <cell r="N288">
            <v>1.1492518131484178E-2</v>
          </cell>
          <cell r="O288">
            <v>-2.9484746109710525E-2</v>
          </cell>
          <cell r="P288">
            <v>8869876.1416633893</v>
          </cell>
          <cell r="Q288">
            <v>98484840</v>
          </cell>
          <cell r="R288">
            <v>19</v>
          </cell>
          <cell r="U288" t="str">
            <v>PENDIENTE</v>
          </cell>
        </row>
        <row r="289">
          <cell r="A289" t="str">
            <v>20249</v>
          </cell>
          <cell r="B289" t="str">
            <v>BANCOLDEX</v>
          </cell>
          <cell r="C289" t="str">
            <v>LAMAR OPTICAL S.A.S</v>
          </cell>
          <cell r="D289" t="str">
            <v>5000100411250008</v>
          </cell>
          <cell r="E289">
            <v>45549</v>
          </cell>
          <cell r="F289">
            <v>24</v>
          </cell>
          <cell r="G289">
            <v>12</v>
          </cell>
          <cell r="H289">
            <v>7575758</v>
          </cell>
          <cell r="I289">
            <v>1131838.8364658225</v>
          </cell>
          <cell r="J289">
            <v>69842.311638182131</v>
          </cell>
          <cell r="K289">
            <v>0</v>
          </cell>
          <cell r="L289">
            <v>0</v>
          </cell>
          <cell r="M289">
            <v>1.1841666666666667E-2</v>
          </cell>
          <cell r="N289">
            <v>1.1492518406546861E-2</v>
          </cell>
          <cell r="O289">
            <v>-2.9484722881334857E-2</v>
          </cell>
          <cell r="P289">
            <v>8777439.1481040046</v>
          </cell>
          <cell r="Q289">
            <v>90909082</v>
          </cell>
          <cell r="R289">
            <v>19</v>
          </cell>
          <cell r="U289" t="str">
            <v>PENDIENTE</v>
          </cell>
        </row>
        <row r="290">
          <cell r="A290" t="str">
            <v>202410</v>
          </cell>
          <cell r="B290" t="str">
            <v>BANCOLDEX</v>
          </cell>
          <cell r="C290" t="str">
            <v>LAMAR OPTICAL S.A.S</v>
          </cell>
          <cell r="D290" t="str">
            <v>5000100411250008</v>
          </cell>
          <cell r="E290">
            <v>45579</v>
          </cell>
          <cell r="F290">
            <v>25</v>
          </cell>
          <cell r="G290">
            <v>11</v>
          </cell>
          <cell r="H290">
            <v>7575758</v>
          </cell>
          <cell r="I290">
            <v>1044774.3273805904</v>
          </cell>
          <cell r="J290">
            <v>64469.827164029048</v>
          </cell>
          <cell r="K290">
            <v>0</v>
          </cell>
          <cell r="L290">
            <v>0</v>
          </cell>
          <cell r="M290">
            <v>1.1841666666666667E-2</v>
          </cell>
          <cell r="N290">
            <v>1.1492518727453329E-2</v>
          </cell>
          <cell r="O290">
            <v>-2.9484695781562653E-2</v>
          </cell>
          <cell r="P290">
            <v>8685002.1545446198</v>
          </cell>
          <cell r="Q290">
            <v>83333324</v>
          </cell>
          <cell r="R290">
            <v>-12</v>
          </cell>
          <cell r="U290" t="str">
            <v>PENDIENTE</v>
          </cell>
        </row>
        <row r="291">
          <cell r="A291" t="str">
            <v>202411</v>
          </cell>
          <cell r="B291" t="str">
            <v>BANCOLDEX</v>
          </cell>
          <cell r="C291" t="str">
            <v>LAMAR OPTICAL S.A.S</v>
          </cell>
          <cell r="D291" t="str">
            <v>5000100411250008</v>
          </cell>
          <cell r="E291">
            <v>45610</v>
          </cell>
          <cell r="F291">
            <v>26</v>
          </cell>
          <cell r="G291">
            <v>10</v>
          </cell>
          <cell r="H291">
            <v>7575758</v>
          </cell>
          <cell r="I291">
            <v>957709.81829535833</v>
          </cell>
          <cell r="J291">
            <v>59097.342689875972</v>
          </cell>
          <cell r="K291">
            <v>0</v>
          </cell>
          <cell r="L291">
            <v>0</v>
          </cell>
          <cell r="M291">
            <v>1.1841666666666667E-2</v>
          </cell>
          <cell r="N291">
            <v>1.149251910670644E-2</v>
          </cell>
          <cell r="O291">
            <v>-2.948466375455816E-2</v>
          </cell>
          <cell r="P291">
            <v>8592565.1609852333</v>
          </cell>
          <cell r="Q291">
            <v>75757566</v>
          </cell>
          <cell r="R291">
            <v>-42</v>
          </cell>
          <cell r="U291" t="str">
            <v>PENDIENTE</v>
          </cell>
        </row>
        <row r="292">
          <cell r="A292" t="str">
            <v>202412</v>
          </cell>
          <cell r="B292" t="str">
            <v>BANCOLDEX</v>
          </cell>
          <cell r="C292" t="str">
            <v>LAMAR OPTICAL S.A.S</v>
          </cell>
          <cell r="D292" t="str">
            <v>5000100411250008</v>
          </cell>
          <cell r="E292">
            <v>45640</v>
          </cell>
          <cell r="F292">
            <v>27</v>
          </cell>
          <cell r="G292">
            <v>9</v>
          </cell>
          <cell r="H292">
            <v>7575758</v>
          </cell>
          <cell r="I292">
            <v>870645.30921012617</v>
          </cell>
          <cell r="J292">
            <v>53724.858215722888</v>
          </cell>
          <cell r="K292">
            <v>0</v>
          </cell>
          <cell r="L292">
            <v>0</v>
          </cell>
          <cell r="M292">
            <v>1.1841666666666667E-2</v>
          </cell>
          <cell r="N292">
            <v>1.1492519561810185E-2</v>
          </cell>
          <cell r="O292">
            <v>-2.9484625322151903E-2</v>
          </cell>
          <cell r="P292">
            <v>8500128.1674258485</v>
          </cell>
          <cell r="Q292">
            <v>68181808</v>
          </cell>
          <cell r="R292">
            <v>-73</v>
          </cell>
          <cell r="U292" t="str">
            <v>PENDIENTE</v>
          </cell>
        </row>
        <row r="293">
          <cell r="A293" t="str">
            <v>20251</v>
          </cell>
          <cell r="B293" t="str">
            <v>BANCOLDEX</v>
          </cell>
          <cell r="C293" t="str">
            <v>LAMAR OPTICAL S.A.S</v>
          </cell>
          <cell r="D293" t="str">
            <v>5000100411250008</v>
          </cell>
          <cell r="E293">
            <v>45671</v>
          </cell>
          <cell r="F293">
            <v>28</v>
          </cell>
          <cell r="G293">
            <v>8</v>
          </cell>
          <cell r="H293">
            <v>7575758</v>
          </cell>
          <cell r="I293">
            <v>783580.80012489413</v>
          </cell>
          <cell r="J293">
            <v>48352.373741569812</v>
          </cell>
          <cell r="K293">
            <v>0</v>
          </cell>
          <cell r="L293">
            <v>0</v>
          </cell>
          <cell r="M293">
            <v>1.1841666666666667E-2</v>
          </cell>
          <cell r="N293">
            <v>1.1492520118048119E-2</v>
          </cell>
          <cell r="O293">
            <v>-2.9484578349208812E-2</v>
          </cell>
          <cell r="P293">
            <v>8407691.1738664638</v>
          </cell>
          <cell r="Q293">
            <v>60606050</v>
          </cell>
          <cell r="R293">
            <v>-103</v>
          </cell>
          <cell r="U293" t="str">
            <v>PENDIENTE</v>
          </cell>
        </row>
        <row r="294">
          <cell r="A294" t="str">
            <v>20252</v>
          </cell>
          <cell r="B294" t="str">
            <v>BANCOLDEX</v>
          </cell>
          <cell r="C294" t="str">
            <v>LAMAR OPTICAL S.A.S</v>
          </cell>
          <cell r="D294" t="str">
            <v>5000100411250008</v>
          </cell>
          <cell r="E294">
            <v>45702</v>
          </cell>
          <cell r="F294">
            <v>29</v>
          </cell>
          <cell r="G294">
            <v>7</v>
          </cell>
          <cell r="H294">
            <v>7575758</v>
          </cell>
          <cell r="I294">
            <v>696516.29103966209</v>
          </cell>
          <cell r="J294">
            <v>42979.889267416729</v>
          </cell>
          <cell r="K294">
            <v>0</v>
          </cell>
          <cell r="L294">
            <v>0</v>
          </cell>
          <cell r="M294">
            <v>1.1841666666666667E-2</v>
          </cell>
          <cell r="N294">
            <v>1.1492520813345567E-2</v>
          </cell>
          <cell r="O294">
            <v>-2.9484519633027451E-2</v>
          </cell>
          <cell r="P294">
            <v>8315254.1803070791</v>
          </cell>
          <cell r="Q294">
            <v>53030292</v>
          </cell>
          <cell r="R294">
            <v>-134</v>
          </cell>
          <cell r="U294" t="str">
            <v>PENDIENTE</v>
          </cell>
        </row>
        <row r="295">
          <cell r="A295" t="str">
            <v>20253</v>
          </cell>
          <cell r="B295" t="str">
            <v>BANCOLDEX</v>
          </cell>
          <cell r="C295" t="str">
            <v>LAMAR OPTICAL S.A.S</v>
          </cell>
          <cell r="D295" t="str">
            <v>5000100411250008</v>
          </cell>
          <cell r="E295">
            <v>45730</v>
          </cell>
          <cell r="F295">
            <v>30</v>
          </cell>
          <cell r="G295">
            <v>6</v>
          </cell>
          <cell r="H295">
            <v>7575758</v>
          </cell>
          <cell r="I295">
            <v>609451.78195442993</v>
          </cell>
          <cell r="J295">
            <v>37607.404793263646</v>
          </cell>
          <cell r="K295">
            <v>0</v>
          </cell>
          <cell r="L295">
            <v>0</v>
          </cell>
          <cell r="M295">
            <v>1.1841666666666667E-2</v>
          </cell>
          <cell r="N295">
            <v>1.149252170729948E-2</v>
          </cell>
          <cell r="O295">
            <v>-2.9484444140789878E-2</v>
          </cell>
          <cell r="P295">
            <v>8222817.1867476935</v>
          </cell>
          <cell r="Q295">
            <v>45454534</v>
          </cell>
          <cell r="R295">
            <v>-165</v>
          </cell>
          <cell r="U295" t="str">
            <v>PENDIENTE</v>
          </cell>
        </row>
        <row r="296">
          <cell r="A296" t="str">
            <v>20254</v>
          </cell>
          <cell r="B296" t="str">
            <v>BANCOLDEX</v>
          </cell>
          <cell r="C296" t="str">
            <v>LAMAR OPTICAL S.A.S</v>
          </cell>
          <cell r="D296" t="str">
            <v>5000100411250008</v>
          </cell>
          <cell r="E296">
            <v>45761</v>
          </cell>
          <cell r="F296">
            <v>31</v>
          </cell>
          <cell r="G296">
            <v>5</v>
          </cell>
          <cell r="H296">
            <v>7575758</v>
          </cell>
          <cell r="I296">
            <v>522387.27286919788</v>
          </cell>
          <cell r="J296">
            <v>32234.92031911057</v>
          </cell>
          <cell r="K296">
            <v>0</v>
          </cell>
          <cell r="L296">
            <v>0</v>
          </cell>
          <cell r="M296">
            <v>1.1841666666666667E-2</v>
          </cell>
          <cell r="N296">
            <v>1.1492522899238125E-2</v>
          </cell>
          <cell r="O296">
            <v>-2.948434348446527E-2</v>
          </cell>
          <cell r="P296">
            <v>8130380.1931883078</v>
          </cell>
          <cell r="Q296">
            <v>37878776</v>
          </cell>
          <cell r="R296">
            <v>-193</v>
          </cell>
          <cell r="U296" t="str">
            <v>PENDIENTE</v>
          </cell>
        </row>
        <row r="297">
          <cell r="A297" t="str">
            <v>20255</v>
          </cell>
          <cell r="B297" t="str">
            <v>BANCOLDEX</v>
          </cell>
          <cell r="C297" t="str">
            <v>LAMAR OPTICAL S.A.S</v>
          </cell>
          <cell r="D297" t="str">
            <v>5000100411250008</v>
          </cell>
          <cell r="E297">
            <v>45791</v>
          </cell>
          <cell r="F297">
            <v>32</v>
          </cell>
          <cell r="G297">
            <v>4</v>
          </cell>
          <cell r="H297">
            <v>7575758</v>
          </cell>
          <cell r="I297">
            <v>435322.76378396578</v>
          </cell>
          <cell r="J297">
            <v>26862.435844957487</v>
          </cell>
          <cell r="K297">
            <v>0</v>
          </cell>
          <cell r="L297">
            <v>0</v>
          </cell>
          <cell r="M297">
            <v>1.1841666666666667E-2</v>
          </cell>
          <cell r="N297">
            <v>1.1492524567952401E-2</v>
          </cell>
          <cell r="O297">
            <v>-2.9484202565596029E-2</v>
          </cell>
          <cell r="P297">
            <v>8037943.199628924</v>
          </cell>
          <cell r="Q297">
            <v>30303018</v>
          </cell>
          <cell r="R297">
            <v>-224</v>
          </cell>
          <cell r="U297" t="str">
            <v>PENDIENTE</v>
          </cell>
        </row>
        <row r="298">
          <cell r="A298" t="str">
            <v>20256</v>
          </cell>
          <cell r="B298" t="str">
            <v>BANCOLDEX</v>
          </cell>
          <cell r="C298" t="str">
            <v>LAMAR OPTICAL S.A.S</v>
          </cell>
          <cell r="D298" t="str">
            <v>5000100411250008</v>
          </cell>
          <cell r="E298">
            <v>45822</v>
          </cell>
          <cell r="F298">
            <v>33</v>
          </cell>
          <cell r="G298">
            <v>3</v>
          </cell>
          <cell r="H298">
            <v>7575758</v>
          </cell>
          <cell r="I298">
            <v>348258.25469873374</v>
          </cell>
          <cell r="J298">
            <v>21489.951370804411</v>
          </cell>
          <cell r="K298">
            <v>0</v>
          </cell>
          <cell r="L298">
            <v>0</v>
          </cell>
          <cell r="M298">
            <v>1.1841666666666667E-2</v>
          </cell>
          <cell r="N298">
            <v>1.1492527071024205E-2</v>
          </cell>
          <cell r="O298">
            <v>-2.9483991187259306E-2</v>
          </cell>
          <cell r="P298">
            <v>7945506.2060695384</v>
          </cell>
          <cell r="Q298">
            <v>22727260</v>
          </cell>
          <cell r="R298">
            <v>-254</v>
          </cell>
          <cell r="U298" t="str">
            <v>PENDIENTE</v>
          </cell>
        </row>
        <row r="299">
          <cell r="A299" t="str">
            <v>20257</v>
          </cell>
          <cell r="B299" t="str">
            <v>BANCOLDEX</v>
          </cell>
          <cell r="C299" t="str">
            <v>LAMAR OPTICAL S.A.S</v>
          </cell>
          <cell r="D299" t="str">
            <v>5000100411250008</v>
          </cell>
          <cell r="E299">
            <v>45852</v>
          </cell>
          <cell r="F299">
            <v>34</v>
          </cell>
          <cell r="G299">
            <v>2</v>
          </cell>
          <cell r="H299">
            <v>7575758</v>
          </cell>
          <cell r="I299">
            <v>261193.74561350164</v>
          </cell>
          <cell r="J299">
            <v>16117.466896651327</v>
          </cell>
          <cell r="K299">
            <v>0</v>
          </cell>
          <cell r="L299">
            <v>0</v>
          </cell>
          <cell r="M299">
            <v>1.1841666666666667E-2</v>
          </cell>
          <cell r="N299">
            <v>1.1492531242811568E-2</v>
          </cell>
          <cell r="O299">
            <v>-2.9483638889944985E-2</v>
          </cell>
          <cell r="P299">
            <v>7853069.2125101527</v>
          </cell>
          <cell r="Q299">
            <v>15151502</v>
          </cell>
          <cell r="R299">
            <v>-285</v>
          </cell>
          <cell r="U299" t="str">
            <v>PENDIENTE</v>
          </cell>
        </row>
        <row r="300">
          <cell r="A300" t="str">
            <v>20258</v>
          </cell>
          <cell r="B300" t="str">
            <v>BANCOLDEX</v>
          </cell>
          <cell r="C300" t="str">
            <v>LAMAR OPTICAL S.A.S</v>
          </cell>
          <cell r="D300" t="str">
            <v>5000100411250008</v>
          </cell>
          <cell r="E300">
            <v>45883</v>
          </cell>
          <cell r="F300">
            <v>35</v>
          </cell>
          <cell r="G300">
            <v>1</v>
          </cell>
          <cell r="H300">
            <v>7575758</v>
          </cell>
          <cell r="I300">
            <v>174129.23652826954</v>
          </cell>
          <cell r="J300">
            <v>10744.982422498246</v>
          </cell>
          <cell r="K300">
            <v>0</v>
          </cell>
          <cell r="L300">
            <v>0</v>
          </cell>
          <cell r="M300">
            <v>1.1841666666666667E-2</v>
          </cell>
          <cell r="N300">
            <v>1.1492539586390151E-2</v>
          </cell>
          <cell r="O300">
            <v>-2.9482934294990826E-2</v>
          </cell>
          <cell r="P300">
            <v>7760632.218950768</v>
          </cell>
          <cell r="Q300">
            <v>7575744</v>
          </cell>
          <cell r="R300">
            <v>-315</v>
          </cell>
          <cell r="U300" t="str">
            <v>PENDIENTE</v>
          </cell>
        </row>
        <row r="301">
          <cell r="A301" t="str">
            <v>20259</v>
          </cell>
          <cell r="B301" t="str">
            <v>BANCOLDEX</v>
          </cell>
          <cell r="C301" t="str">
            <v>LAMAR OPTICAL S.A.S</v>
          </cell>
          <cell r="D301" t="str">
            <v>5000100411250008</v>
          </cell>
          <cell r="E301">
            <v>45914</v>
          </cell>
          <cell r="F301">
            <v>36</v>
          </cell>
          <cell r="G301">
            <v>0</v>
          </cell>
          <cell r="H301">
            <v>7575776</v>
          </cell>
          <cell r="I301">
            <v>87064.727443037467</v>
          </cell>
          <cell r="J301">
            <v>5372.4979483451662</v>
          </cell>
          <cell r="K301">
            <v>0</v>
          </cell>
          <cell r="L301">
            <v>0</v>
          </cell>
          <cell r="M301">
            <v>1.1841666666666667E-2</v>
          </cell>
          <cell r="N301">
            <v>1.1492564617156739E-2</v>
          </cell>
          <cell r="O301">
            <v>-2.9480820507523764E-2</v>
          </cell>
          <cell r="P301">
            <v>7668213.2253913824</v>
          </cell>
          <cell r="Q301">
            <v>-32</v>
          </cell>
          <cell r="R301">
            <v>-346</v>
          </cell>
          <cell r="U301" t="str">
            <v>PENDIENTE</v>
          </cell>
        </row>
        <row r="302">
          <cell r="A302" t="str">
            <v>202211</v>
          </cell>
          <cell r="B302" t="str">
            <v>BANCOLOMBIA</v>
          </cell>
          <cell r="C302" t="str">
            <v>LAMAR OPTICAL S.A.S</v>
          </cell>
          <cell r="D302">
            <v>8140097009</v>
          </cell>
          <cell r="E302">
            <v>44873</v>
          </cell>
          <cell r="F302">
            <v>0</v>
          </cell>
          <cell r="G302">
            <v>36</v>
          </cell>
          <cell r="H302">
            <v>0</v>
          </cell>
          <cell r="I302">
            <v>0</v>
          </cell>
          <cell r="J302">
            <v>0</v>
          </cell>
          <cell r="K302">
            <v>0</v>
          </cell>
          <cell r="L302">
            <v>0</v>
          </cell>
          <cell r="M302">
            <v>1.0416666666666666E-2</v>
          </cell>
          <cell r="N302">
            <v>0</v>
          </cell>
          <cell r="O302">
            <v>-1</v>
          </cell>
          <cell r="P302">
            <v>0</v>
          </cell>
          <cell r="Q302">
            <v>22964000</v>
          </cell>
          <cell r="R302" t="str">
            <v>OK</v>
          </cell>
          <cell r="S302">
            <v>0</v>
          </cell>
          <cell r="T302">
            <v>44868</v>
          </cell>
          <cell r="U302" t="str">
            <v>PAGADO</v>
          </cell>
        </row>
        <row r="303">
          <cell r="A303" t="str">
            <v>202212</v>
          </cell>
          <cell r="B303" t="str">
            <v>BANCOLOMBIA</v>
          </cell>
          <cell r="C303" t="str">
            <v>LAMAR OPTICAL S.A.S</v>
          </cell>
          <cell r="D303">
            <v>8140097009</v>
          </cell>
          <cell r="E303">
            <v>44903</v>
          </cell>
          <cell r="F303">
            <v>1</v>
          </cell>
          <cell r="G303">
            <v>35</v>
          </cell>
          <cell r="H303">
            <v>637888</v>
          </cell>
          <cell r="I303">
            <v>437330</v>
          </cell>
          <cell r="J303">
            <v>0</v>
          </cell>
          <cell r="K303">
            <v>0</v>
          </cell>
          <cell r="L303">
            <v>0</v>
          </cell>
          <cell r="M303">
            <v>1.0416666666666666E-2</v>
          </cell>
          <cell r="N303">
            <v>1.9044156070371014E-2</v>
          </cell>
          <cell r="O303">
            <v>0.82823898275561736</v>
          </cell>
          <cell r="P303">
            <v>1075218</v>
          </cell>
          <cell r="Q303">
            <v>22326112</v>
          </cell>
          <cell r="R303" t="str">
            <v>OK</v>
          </cell>
          <cell r="S303">
            <v>1075218</v>
          </cell>
          <cell r="T303">
            <v>44896</v>
          </cell>
          <cell r="U303" t="str">
            <v>PAGADO</v>
          </cell>
        </row>
        <row r="304">
          <cell r="A304" t="str">
            <v>20231</v>
          </cell>
          <cell r="B304" t="str">
            <v>BANCOLOMBIA</v>
          </cell>
          <cell r="C304" t="str">
            <v>LAMAR OPTICAL S.A.S</v>
          </cell>
          <cell r="D304">
            <v>8140097009</v>
          </cell>
          <cell r="E304">
            <v>44934</v>
          </cell>
          <cell r="F304">
            <v>2</v>
          </cell>
          <cell r="G304">
            <v>34</v>
          </cell>
          <cell r="H304">
            <v>637888</v>
          </cell>
          <cell r="I304">
            <v>546169</v>
          </cell>
          <cell r="J304">
            <v>0</v>
          </cell>
          <cell r="K304">
            <v>0</v>
          </cell>
          <cell r="L304">
            <v>0</v>
          </cell>
          <cell r="M304">
            <v>1.0416666666666666E-2</v>
          </cell>
          <cell r="N304">
            <v>2.4463238382034454E-2</v>
          </cell>
          <cell r="O304">
            <v>1.348470884675308</v>
          </cell>
          <cell r="P304">
            <v>1184057</v>
          </cell>
          <cell r="Q304">
            <v>21688224</v>
          </cell>
          <cell r="R304" t="str">
            <v>OK</v>
          </cell>
          <cell r="S304">
            <v>1184057</v>
          </cell>
          <cell r="T304">
            <v>44936</v>
          </cell>
          <cell r="U304" t="str">
            <v>PAGADO</v>
          </cell>
        </row>
        <row r="305">
          <cell r="A305" t="str">
            <v>20232</v>
          </cell>
          <cell r="B305" t="str">
            <v>BANCOLOMBIA</v>
          </cell>
          <cell r="C305" t="str">
            <v>LAMAR OPTICAL S.A.S</v>
          </cell>
          <cell r="D305">
            <v>8140097009</v>
          </cell>
          <cell r="E305">
            <v>44965</v>
          </cell>
          <cell r="F305">
            <v>3</v>
          </cell>
          <cell r="G305">
            <v>33</v>
          </cell>
          <cell r="H305">
            <v>637888</v>
          </cell>
          <cell r="I305">
            <v>444757</v>
          </cell>
          <cell r="J305">
            <v>0</v>
          </cell>
          <cell r="K305">
            <v>0</v>
          </cell>
          <cell r="L305">
            <v>0</v>
          </cell>
          <cell r="M305">
            <v>1.0416666666666666E-2</v>
          </cell>
          <cell r="N305">
            <v>2.0506842791738041E-2</v>
          </cell>
          <cell r="O305">
            <v>0.96865690800685189</v>
          </cell>
          <cell r="P305">
            <v>1082645</v>
          </cell>
          <cell r="Q305">
            <v>21050336</v>
          </cell>
          <cell r="R305" t="str">
            <v>OK</v>
          </cell>
          <cell r="S305">
            <v>1082645</v>
          </cell>
          <cell r="T305">
            <v>44965</v>
          </cell>
          <cell r="U305" t="str">
            <v>PAGADO</v>
          </cell>
        </row>
        <row r="306">
          <cell r="A306" t="str">
            <v>20233</v>
          </cell>
          <cell r="B306" t="str">
            <v>BANCOLOMBIA</v>
          </cell>
          <cell r="C306" t="str">
            <v>LAMAR OPTICAL S.A.S</v>
          </cell>
          <cell r="D306">
            <v>8140097009</v>
          </cell>
          <cell r="E306">
            <v>44993</v>
          </cell>
          <cell r="F306">
            <v>4</v>
          </cell>
          <cell r="G306">
            <v>32</v>
          </cell>
          <cell r="H306">
            <v>637888</v>
          </cell>
          <cell r="I306">
            <v>397243</v>
          </cell>
          <cell r="J306">
            <v>0</v>
          </cell>
          <cell r="K306">
            <v>0</v>
          </cell>
          <cell r="L306">
            <v>0</v>
          </cell>
          <cell r="M306">
            <v>1.0416666666666666E-2</v>
          </cell>
          <cell r="N306">
            <v>1.8871100204766327E-2</v>
          </cell>
          <cell r="O306">
            <v>0.81162561965756752</v>
          </cell>
          <cell r="P306">
            <v>1035131</v>
          </cell>
          <cell r="Q306">
            <v>20412448</v>
          </cell>
          <cell r="R306" t="str">
            <v>OK</v>
          </cell>
          <cell r="S306">
            <v>1036460</v>
          </cell>
          <cell r="T306">
            <v>44995</v>
          </cell>
          <cell r="U306" t="str">
            <v>PAGADO</v>
          </cell>
        </row>
        <row r="307">
          <cell r="A307" t="str">
            <v>20234</v>
          </cell>
          <cell r="B307" t="str">
            <v>BANCOLOMBIA</v>
          </cell>
          <cell r="C307" t="str">
            <v>LAMAR OPTICAL S.A.S</v>
          </cell>
          <cell r="D307">
            <v>8140097009</v>
          </cell>
          <cell r="E307">
            <v>45024</v>
          </cell>
          <cell r="F307">
            <v>5</v>
          </cell>
          <cell r="G307">
            <v>31</v>
          </cell>
          <cell r="H307">
            <v>637888</v>
          </cell>
          <cell r="I307">
            <v>427618</v>
          </cell>
          <cell r="J307">
            <v>0</v>
          </cell>
          <cell r="K307">
            <v>0</v>
          </cell>
          <cell r="L307">
            <v>0</v>
          </cell>
          <cell r="M307">
            <v>1.0416666666666666E-2</v>
          </cell>
          <cell r="N307">
            <v>2.0948883739961028E-2</v>
          </cell>
          <cell r="O307">
            <v>1.0110928390362588</v>
          </cell>
          <cell r="P307">
            <v>1065506</v>
          </cell>
          <cell r="Q307">
            <v>19774560</v>
          </cell>
          <cell r="R307" t="str">
            <v>OK</v>
          </cell>
          <cell r="S307">
            <v>1065506</v>
          </cell>
          <cell r="T307">
            <v>45026</v>
          </cell>
          <cell r="U307" t="str">
            <v>PAGADO</v>
          </cell>
        </row>
        <row r="308">
          <cell r="A308" t="str">
            <v>20235</v>
          </cell>
          <cell r="B308" t="str">
            <v>BANCOLOMBIA</v>
          </cell>
          <cell r="C308" t="str">
            <v>LAMAR OPTICAL S.A.S</v>
          </cell>
          <cell r="D308">
            <v>8140097009</v>
          </cell>
          <cell r="E308">
            <v>45054</v>
          </cell>
          <cell r="F308">
            <v>6</v>
          </cell>
          <cell r="G308">
            <v>30</v>
          </cell>
          <cell r="H308">
            <v>637888</v>
          </cell>
          <cell r="I308">
            <v>403254</v>
          </cell>
          <cell r="J308">
            <v>0</v>
          </cell>
          <cell r="K308">
            <v>0</v>
          </cell>
          <cell r="L308">
            <v>0</v>
          </cell>
          <cell r="M308">
            <v>1.0416666666666666E-2</v>
          </cell>
          <cell r="N308">
            <v>2.0392564992596549E-2</v>
          </cell>
          <cell r="O308">
            <v>0.95768623928926866</v>
          </cell>
          <cell r="P308">
            <v>1041142</v>
          </cell>
          <cell r="Q308">
            <v>19136672</v>
          </cell>
          <cell r="R308" t="str">
            <v>OK</v>
          </cell>
          <cell r="S308">
            <v>1041142</v>
          </cell>
          <cell r="T308">
            <v>45054</v>
          </cell>
          <cell r="U308" t="str">
            <v>PAGADO</v>
          </cell>
        </row>
        <row r="309">
          <cell r="A309" t="str">
            <v>20236</v>
          </cell>
          <cell r="B309" t="str">
            <v>BANCOLOMBIA</v>
          </cell>
          <cell r="C309" t="str">
            <v>LAMAR OPTICAL S.A.S</v>
          </cell>
          <cell r="D309">
            <v>8140097009</v>
          </cell>
          <cell r="E309">
            <v>45085</v>
          </cell>
          <cell r="F309">
            <v>7</v>
          </cell>
          <cell r="G309">
            <v>29</v>
          </cell>
          <cell r="H309">
            <v>637888</v>
          </cell>
          <cell r="I309">
            <v>407118</v>
          </cell>
          <cell r="J309">
            <v>0</v>
          </cell>
          <cell r="K309">
            <v>0</v>
          </cell>
          <cell r="L309">
            <v>0</v>
          </cell>
          <cell r="M309">
            <v>1.0416666666666666E-2</v>
          </cell>
          <cell r="N309">
            <v>2.127423200857495E-2</v>
          </cell>
          <cell r="O309">
            <v>1.0423262728231952</v>
          </cell>
          <cell r="P309">
            <v>1045006</v>
          </cell>
          <cell r="Q309">
            <v>18498784</v>
          </cell>
          <cell r="R309" t="str">
            <v>OK</v>
          </cell>
          <cell r="S309">
            <v>1045006</v>
          </cell>
          <cell r="T309">
            <v>45085</v>
          </cell>
          <cell r="U309" t="str">
            <v>PAGADO</v>
          </cell>
        </row>
        <row r="310">
          <cell r="A310" t="str">
            <v>20237</v>
          </cell>
          <cell r="B310" t="str">
            <v>BANCOLOMBIA</v>
          </cell>
          <cell r="C310" t="str">
            <v>LAMAR OPTICAL S.A.S</v>
          </cell>
          <cell r="D310">
            <v>8140097009</v>
          </cell>
          <cell r="E310">
            <v>45115</v>
          </cell>
          <cell r="F310">
            <v>8</v>
          </cell>
          <cell r="G310">
            <v>28</v>
          </cell>
          <cell r="H310">
            <v>637888</v>
          </cell>
          <cell r="I310">
            <v>376752.446881134</v>
          </cell>
          <cell r="J310">
            <v>0</v>
          </cell>
          <cell r="K310">
            <v>0</v>
          </cell>
          <cell r="L310">
            <v>0</v>
          </cell>
          <cell r="M310">
            <v>1.0416666666666666E-2</v>
          </cell>
          <cell r="N310">
            <v>2.0366335802457825E-2</v>
          </cell>
          <cell r="O310">
            <v>0.95516823703595133</v>
          </cell>
          <cell r="P310">
            <v>1014640.4468811341</v>
          </cell>
          <cell r="Q310">
            <v>17860896</v>
          </cell>
          <cell r="R310" t="str">
            <v>OK</v>
          </cell>
          <cell r="S310">
            <v>1021944.6700000002</v>
          </cell>
          <cell r="T310">
            <v>45121</v>
          </cell>
          <cell r="U310" t="str">
            <v>PAGADO</v>
          </cell>
        </row>
        <row r="311">
          <cell r="A311" t="str">
            <v>20238</v>
          </cell>
          <cell r="B311" t="str">
            <v>BANCOLOMBIA</v>
          </cell>
          <cell r="C311" t="str">
            <v>LAMAR OPTICAL S.A.S</v>
          </cell>
          <cell r="D311">
            <v>8140097009</v>
          </cell>
          <cell r="E311">
            <v>45146</v>
          </cell>
          <cell r="F311">
            <v>9</v>
          </cell>
          <cell r="G311">
            <v>27</v>
          </cell>
          <cell r="H311">
            <v>637888</v>
          </cell>
          <cell r="I311">
            <v>363259.08952421439</v>
          </cell>
          <cell r="J311">
            <v>0</v>
          </cell>
          <cell r="K311">
            <v>0</v>
          </cell>
          <cell r="L311">
            <v>0</v>
          </cell>
          <cell r="M311">
            <v>1.0416666666666666E-2</v>
          </cell>
          <cell r="N311">
            <v>2.0338234404601783E-2</v>
          </cell>
          <cell r="O311">
            <v>0.95247050284177126</v>
          </cell>
          <cell r="P311">
            <v>1001147.0895242144</v>
          </cell>
          <cell r="Q311">
            <v>17223008</v>
          </cell>
          <cell r="R311" t="str">
            <v>OK</v>
          </cell>
          <cell r="S311">
            <v>18776495</v>
          </cell>
          <cell r="T311">
            <v>45146</v>
          </cell>
          <cell r="U311" t="str">
            <v>PAGADO</v>
          </cell>
        </row>
        <row r="312">
          <cell r="A312" t="str">
            <v>20239</v>
          </cell>
          <cell r="B312" t="str">
            <v>BANCOLOMBIA</v>
          </cell>
          <cell r="C312" t="str">
            <v>LAMAR OPTICAL S.A.S</v>
          </cell>
          <cell r="D312">
            <v>8140097009</v>
          </cell>
          <cell r="E312">
            <v>45177</v>
          </cell>
          <cell r="F312">
            <v>10</v>
          </cell>
          <cell r="G312">
            <v>26</v>
          </cell>
          <cell r="H312">
            <v>637888</v>
          </cell>
          <cell r="I312">
            <v>350285.57385633176</v>
          </cell>
          <cell r="J312">
            <v>0</v>
          </cell>
          <cell r="K312">
            <v>0</v>
          </cell>
          <cell r="L312">
            <v>0</v>
          </cell>
          <cell r="M312">
            <v>1.0416666666666666E-2</v>
          </cell>
          <cell r="N312">
            <v>2.0338234404601783E-2</v>
          </cell>
          <cell r="O312">
            <v>0</v>
          </cell>
          <cell r="P312">
            <v>988173.57385633176</v>
          </cell>
          <cell r="Q312">
            <v>16585120</v>
          </cell>
          <cell r="R312" t="str">
            <v>OK</v>
          </cell>
          <cell r="S312">
            <v>1004017</v>
          </cell>
          <cell r="T312">
            <v>45177</v>
          </cell>
          <cell r="U312" t="str">
            <v>PAGADO</v>
          </cell>
        </row>
        <row r="313">
          <cell r="A313" t="str">
            <v>202310</v>
          </cell>
          <cell r="B313" t="str">
            <v>BANCOLOMBIA</v>
          </cell>
          <cell r="C313" t="str">
            <v>LAMAR OPTICAL S.A.S</v>
          </cell>
          <cell r="D313">
            <v>8140097009</v>
          </cell>
          <cell r="E313">
            <v>45207</v>
          </cell>
          <cell r="F313">
            <v>11</v>
          </cell>
          <cell r="G313">
            <v>25</v>
          </cell>
          <cell r="H313">
            <v>637888</v>
          </cell>
          <cell r="I313">
            <v>340843</v>
          </cell>
          <cell r="J313">
            <v>0</v>
          </cell>
          <cell r="K313">
            <v>0</v>
          </cell>
          <cell r="L313">
            <v>0</v>
          </cell>
          <cell r="M313">
            <v>1.0416666666666666E-2</v>
          </cell>
          <cell r="N313">
            <v>2.0551132581494738E-2</v>
          </cell>
          <cell r="O313">
            <v>0</v>
          </cell>
          <cell r="P313">
            <v>978731</v>
          </cell>
          <cell r="Q313">
            <v>15947232</v>
          </cell>
          <cell r="R313" t="str">
            <v>OK</v>
          </cell>
          <cell r="S313">
            <v>978731</v>
          </cell>
          <cell r="T313">
            <v>45208</v>
          </cell>
          <cell r="U313" t="str">
            <v>PAGADO</v>
          </cell>
        </row>
        <row r="314">
          <cell r="A314" t="str">
            <v>202311</v>
          </cell>
          <cell r="B314" t="str">
            <v>BANCOLOMBIA</v>
          </cell>
          <cell r="C314" t="str">
            <v>LAMAR OPTICAL S.A.S</v>
          </cell>
          <cell r="D314">
            <v>8140097009</v>
          </cell>
          <cell r="E314">
            <v>45238</v>
          </cell>
          <cell r="F314">
            <v>12</v>
          </cell>
          <cell r="G314">
            <v>24</v>
          </cell>
          <cell r="H314">
            <v>637888</v>
          </cell>
          <cell r="I314">
            <v>339418</v>
          </cell>
          <cell r="J314">
            <v>0</v>
          </cell>
          <cell r="K314">
            <v>0</v>
          </cell>
          <cell r="L314">
            <v>0</v>
          </cell>
          <cell r="M314">
            <v>1.0416666666666666E-2</v>
          </cell>
          <cell r="N314">
            <v>2.1283819035178016E-2</v>
          </cell>
          <cell r="O314">
            <v>0</v>
          </cell>
          <cell r="P314">
            <v>977306</v>
          </cell>
          <cell r="Q314">
            <v>15309344</v>
          </cell>
          <cell r="R314" t="str">
            <v>OK</v>
          </cell>
          <cell r="S314">
            <v>977306</v>
          </cell>
          <cell r="T314">
            <v>45239</v>
          </cell>
          <cell r="U314" t="str">
            <v>PAGADO</v>
          </cell>
        </row>
        <row r="315">
          <cell r="A315" t="str">
            <v>202312</v>
          </cell>
          <cell r="B315" t="str">
            <v>BANCOLOMBIA</v>
          </cell>
          <cell r="C315" t="str">
            <v>LAMAR OPTICAL S.A.S</v>
          </cell>
          <cell r="D315">
            <v>8140097009</v>
          </cell>
          <cell r="E315">
            <v>45268</v>
          </cell>
          <cell r="F315">
            <v>13</v>
          </cell>
          <cell r="G315">
            <v>23</v>
          </cell>
          <cell r="H315">
            <v>637888</v>
          </cell>
          <cell r="I315">
            <v>314715</v>
          </cell>
          <cell r="J315">
            <v>0</v>
          </cell>
          <cell r="K315">
            <v>0</v>
          </cell>
          <cell r="L315">
            <v>0</v>
          </cell>
          <cell r="M315">
            <v>1.0416666666666666E-2</v>
          </cell>
          <cell r="N315">
            <v>2.0557053261067229E-2</v>
          </cell>
          <cell r="O315">
            <v>0</v>
          </cell>
          <cell r="P315">
            <v>952603</v>
          </cell>
          <cell r="Q315">
            <v>14671456</v>
          </cell>
          <cell r="R315" t="str">
            <v>OK</v>
          </cell>
          <cell r="S315">
            <v>954803</v>
          </cell>
          <cell r="T315">
            <v>45271</v>
          </cell>
          <cell r="U315" t="str">
            <v>PAGADO</v>
          </cell>
        </row>
        <row r="316">
          <cell r="A316" t="str">
            <v>20241</v>
          </cell>
          <cell r="B316" t="str">
            <v>BANCOLOMBIA</v>
          </cell>
          <cell r="C316" t="str">
            <v>LAMAR OPTICAL S.A.S</v>
          </cell>
          <cell r="D316">
            <v>8140097009</v>
          </cell>
          <cell r="E316">
            <v>45299</v>
          </cell>
          <cell r="F316">
            <v>14</v>
          </cell>
          <cell r="G316">
            <v>22</v>
          </cell>
          <cell r="H316">
            <v>637888</v>
          </cell>
          <cell r="I316">
            <v>298391.51118480123</v>
          </cell>
          <cell r="J316">
            <v>0</v>
          </cell>
          <cell r="K316">
            <v>0</v>
          </cell>
          <cell r="L316">
            <v>0</v>
          </cell>
          <cell r="M316">
            <v>1.0416666666666666E-2</v>
          </cell>
          <cell r="N316">
            <v>2.0338234404601783E-2</v>
          </cell>
          <cell r="O316">
            <v>0</v>
          </cell>
          <cell r="P316">
            <v>936279.51118480123</v>
          </cell>
          <cell r="Q316">
            <v>14033568</v>
          </cell>
          <cell r="R316" t="str">
            <v>OK</v>
          </cell>
          <cell r="S316">
            <v>1425965</v>
          </cell>
          <cell r="T316">
            <v>45301</v>
          </cell>
          <cell r="U316" t="str">
            <v>PAGADO</v>
          </cell>
        </row>
        <row r="317">
          <cell r="A317" t="str">
            <v>20242</v>
          </cell>
          <cell r="B317" t="str">
            <v>BANCOLOMBIA</v>
          </cell>
          <cell r="C317" t="str">
            <v>LAMAR OPTICAL S.A.S</v>
          </cell>
          <cell r="D317">
            <v>8140097009</v>
          </cell>
          <cell r="E317">
            <v>45330</v>
          </cell>
          <cell r="F317">
            <v>15</v>
          </cell>
          <cell r="G317">
            <v>21</v>
          </cell>
          <cell r="H317">
            <v>637888</v>
          </cell>
          <cell r="I317">
            <v>285417.99551691866</v>
          </cell>
          <cell r="J317">
            <v>0</v>
          </cell>
          <cell r="K317">
            <v>0</v>
          </cell>
          <cell r="L317">
            <v>0</v>
          </cell>
          <cell r="M317">
            <v>1.0416666666666666E-2</v>
          </cell>
          <cell r="N317">
            <v>2.0338234404601786E-2</v>
          </cell>
          <cell r="O317">
            <v>0</v>
          </cell>
          <cell r="P317">
            <v>923305.9955169186</v>
          </cell>
          <cell r="Q317">
            <v>13395680</v>
          </cell>
          <cell r="R317" t="str">
            <v>OK</v>
          </cell>
          <cell r="S317">
            <v>934449</v>
          </cell>
          <cell r="T317">
            <v>45331</v>
          </cell>
          <cell r="U317" t="str">
            <v>PAGADO</v>
          </cell>
        </row>
        <row r="318">
          <cell r="A318" t="str">
            <v>20243</v>
          </cell>
          <cell r="B318" t="str">
            <v>BANCOLOMBIA</v>
          </cell>
          <cell r="C318" t="str">
            <v>LAMAR OPTICAL S.A.S</v>
          </cell>
          <cell r="D318">
            <v>8140097009</v>
          </cell>
          <cell r="E318">
            <v>45359</v>
          </cell>
          <cell r="F318">
            <v>16</v>
          </cell>
          <cell r="G318">
            <v>20</v>
          </cell>
          <cell r="H318">
            <v>637888</v>
          </cell>
          <cell r="I318">
            <v>272444.47984903603</v>
          </cell>
          <cell r="J318">
            <v>0</v>
          </cell>
          <cell r="K318">
            <v>0</v>
          </cell>
          <cell r="L318">
            <v>0</v>
          </cell>
          <cell r="M318">
            <v>1.0416666666666666E-2</v>
          </cell>
          <cell r="N318">
            <v>2.0338234404601783E-2</v>
          </cell>
          <cell r="O318">
            <v>0</v>
          </cell>
          <cell r="P318">
            <v>910332.47984903608</v>
          </cell>
          <cell r="Q318">
            <v>12757792</v>
          </cell>
          <cell r="R318" t="str">
            <v>OK</v>
          </cell>
          <cell r="S318">
            <v>900489</v>
          </cell>
          <cell r="T318">
            <v>45362</v>
          </cell>
          <cell r="U318" t="str">
            <v>PAGADO</v>
          </cell>
        </row>
        <row r="319">
          <cell r="A319" t="str">
            <v>20244</v>
          </cell>
          <cell r="B319" t="str">
            <v>BANCOLOMBIA</v>
          </cell>
          <cell r="C319" t="str">
            <v>LAMAR OPTICAL S.A.S</v>
          </cell>
          <cell r="D319">
            <v>8140097009</v>
          </cell>
          <cell r="E319">
            <v>45390</v>
          </cell>
          <cell r="F319">
            <v>17</v>
          </cell>
          <cell r="G319">
            <v>19</v>
          </cell>
          <cell r="H319">
            <v>637888</v>
          </cell>
          <cell r="I319">
            <v>259470.96418115339</v>
          </cell>
          <cell r="J319">
            <v>0</v>
          </cell>
          <cell r="K319">
            <v>0</v>
          </cell>
          <cell r="L319">
            <v>9843.4798490360845</v>
          </cell>
          <cell r="M319">
            <v>1.0416666666666666E-2</v>
          </cell>
          <cell r="N319">
            <v>2.0338234404601783E-2</v>
          </cell>
          <cell r="O319">
            <v>0</v>
          </cell>
          <cell r="P319">
            <v>907202.44403018942</v>
          </cell>
          <cell r="Q319">
            <v>12119904</v>
          </cell>
          <cell r="R319" t="str">
            <v>OK</v>
          </cell>
          <cell r="S319">
            <v>902222</v>
          </cell>
          <cell r="T319">
            <v>45391</v>
          </cell>
          <cell r="U319" t="str">
            <v>PAGADO</v>
          </cell>
        </row>
        <row r="320">
          <cell r="A320" t="str">
            <v>20245</v>
          </cell>
          <cell r="B320" t="str">
            <v>BANCOLOMBIA</v>
          </cell>
          <cell r="C320" t="str">
            <v>LAMAR OPTICAL S.A.S</v>
          </cell>
          <cell r="D320">
            <v>8140097009</v>
          </cell>
          <cell r="E320">
            <v>45420</v>
          </cell>
          <cell r="F320">
            <v>18</v>
          </cell>
          <cell r="G320">
            <v>18</v>
          </cell>
          <cell r="H320">
            <v>637888</v>
          </cell>
          <cell r="I320">
            <v>246497.44851327076</v>
          </cell>
          <cell r="J320">
            <v>0</v>
          </cell>
          <cell r="K320">
            <v>0</v>
          </cell>
          <cell r="L320">
            <v>4980.444030189421</v>
          </cell>
          <cell r="M320">
            <v>1.0416666666666666E-2</v>
          </cell>
          <cell r="N320">
            <v>2.0338234404601783E-2</v>
          </cell>
          <cell r="O320">
            <v>0</v>
          </cell>
          <cell r="P320">
            <v>889365.89254346024</v>
          </cell>
          <cell r="Q320">
            <v>11482016</v>
          </cell>
          <cell r="R320" t="str">
            <v>OK</v>
          </cell>
          <cell r="S320">
            <v>880329</v>
          </cell>
          <cell r="T320">
            <v>45427</v>
          </cell>
          <cell r="U320" t="str">
            <v>PAGADO</v>
          </cell>
        </row>
        <row r="321">
          <cell r="A321" t="str">
            <v>20246</v>
          </cell>
          <cell r="B321" t="str">
            <v>BANCOLOMBIA</v>
          </cell>
          <cell r="C321" t="str">
            <v>LAMAR OPTICAL S.A.S</v>
          </cell>
          <cell r="D321">
            <v>8140097009</v>
          </cell>
          <cell r="E321">
            <v>45451</v>
          </cell>
          <cell r="F321">
            <v>19</v>
          </cell>
          <cell r="G321">
            <v>17</v>
          </cell>
          <cell r="H321">
            <v>637888</v>
          </cell>
          <cell r="I321">
            <v>233523.93284538813</v>
          </cell>
          <cell r="J321">
            <v>0</v>
          </cell>
          <cell r="K321">
            <v>0</v>
          </cell>
          <cell r="L321">
            <v>9036.8925434602425</v>
          </cell>
          <cell r="M321">
            <v>1.0416666666666666E-2</v>
          </cell>
          <cell r="N321">
            <v>2.0338234404601783E-2</v>
          </cell>
          <cell r="O321">
            <v>0</v>
          </cell>
          <cell r="P321">
            <v>880448.82538884832</v>
          </cell>
          <cell r="Q321">
            <v>10844128</v>
          </cell>
          <cell r="R321" t="str">
            <v>OK</v>
          </cell>
          <cell r="S321">
            <v>868143</v>
          </cell>
          <cell r="T321">
            <v>45454</v>
          </cell>
          <cell r="U321" t="str">
            <v>PAGADO</v>
          </cell>
        </row>
        <row r="322">
          <cell r="A322" t="str">
            <v>20247</v>
          </cell>
          <cell r="B322" t="str">
            <v>BANCOLOMBIA</v>
          </cell>
          <cell r="C322" t="str">
            <v>LAMAR OPTICAL S.A.S</v>
          </cell>
          <cell r="D322">
            <v>8140097009</v>
          </cell>
          <cell r="E322">
            <v>45481</v>
          </cell>
          <cell r="F322">
            <v>20</v>
          </cell>
          <cell r="G322">
            <v>16</v>
          </cell>
          <cell r="H322">
            <v>637888</v>
          </cell>
          <cell r="I322">
            <v>220550.41717750553</v>
          </cell>
          <cell r="J322">
            <v>0</v>
          </cell>
          <cell r="K322">
            <v>0</v>
          </cell>
          <cell r="L322">
            <v>12305.825388848316</v>
          </cell>
          <cell r="M322">
            <v>1.0416666666666666E-2</v>
          </cell>
          <cell r="N322">
            <v>2.0338234404601783E-2</v>
          </cell>
          <cell r="O322">
            <v>0</v>
          </cell>
          <cell r="P322">
            <v>870744.24256635387</v>
          </cell>
          <cell r="Q322">
            <v>10206240</v>
          </cell>
          <cell r="R322" t="str">
            <v>OK</v>
          </cell>
          <cell r="S322">
            <v>847509</v>
          </cell>
          <cell r="T322">
            <v>45479</v>
          </cell>
          <cell r="U322" t="str">
            <v>PAGADO</v>
          </cell>
        </row>
        <row r="323">
          <cell r="A323" t="str">
            <v>20248</v>
          </cell>
          <cell r="B323" t="str">
            <v>BANCOLOMBIA</v>
          </cell>
          <cell r="C323" t="str">
            <v>LAMAR OPTICAL S.A.S</v>
          </cell>
          <cell r="D323">
            <v>8140097009</v>
          </cell>
          <cell r="E323">
            <v>45512</v>
          </cell>
          <cell r="F323">
            <v>21</v>
          </cell>
          <cell r="G323">
            <v>15</v>
          </cell>
          <cell r="H323">
            <v>637888</v>
          </cell>
          <cell r="I323">
            <v>207576.9015096229</v>
          </cell>
          <cell r="J323">
            <v>0</v>
          </cell>
          <cell r="K323">
            <v>0</v>
          </cell>
          <cell r="L323">
            <v>23235.242566353874</v>
          </cell>
          <cell r="M323">
            <v>1.0416666666666666E-2</v>
          </cell>
          <cell r="N323">
            <v>2.0338234404601783E-2</v>
          </cell>
          <cell r="O323">
            <v>0</v>
          </cell>
          <cell r="P323">
            <v>868700.1440759768</v>
          </cell>
          <cell r="Q323">
            <v>9568352</v>
          </cell>
          <cell r="R323" t="str">
            <v>OK</v>
          </cell>
          <cell r="S323">
            <v>851121</v>
          </cell>
          <cell r="T323">
            <v>45514</v>
          </cell>
          <cell r="U323" t="str">
            <v>PAGADO</v>
          </cell>
        </row>
        <row r="324">
          <cell r="A324" t="str">
            <v>20249</v>
          </cell>
          <cell r="B324" t="str">
            <v>BANCOLOMBIA</v>
          </cell>
          <cell r="C324" t="str">
            <v>LAMAR OPTICAL S.A.S</v>
          </cell>
          <cell r="D324">
            <v>8140097009</v>
          </cell>
          <cell r="E324">
            <v>45543</v>
          </cell>
          <cell r="F324">
            <v>22</v>
          </cell>
          <cell r="G324">
            <v>14</v>
          </cell>
          <cell r="H324">
            <v>637888</v>
          </cell>
          <cell r="I324">
            <v>194603.38584174027</v>
          </cell>
          <cell r="J324">
            <v>0</v>
          </cell>
          <cell r="K324">
            <v>0</v>
          </cell>
          <cell r="L324">
            <v>17579.144075976801</v>
          </cell>
          <cell r="M324">
            <v>1.0416666666666666E-2</v>
          </cell>
          <cell r="N324">
            <v>2.0338234404601783E-2</v>
          </cell>
          <cell r="O324">
            <v>0</v>
          </cell>
          <cell r="P324">
            <v>850070.5299177171</v>
          </cell>
          <cell r="Q324">
            <v>8930464</v>
          </cell>
          <cell r="R324">
            <v>-6</v>
          </cell>
          <cell r="U324" t="str">
            <v>PENDIENTE</v>
          </cell>
        </row>
        <row r="325">
          <cell r="A325" t="str">
            <v>202410</v>
          </cell>
          <cell r="B325" t="str">
            <v>BANCOLOMBIA</v>
          </cell>
          <cell r="C325" t="str">
            <v>LAMAR OPTICAL S.A.S</v>
          </cell>
          <cell r="D325">
            <v>8140097009</v>
          </cell>
          <cell r="E325">
            <v>45573</v>
          </cell>
          <cell r="F325">
            <v>23</v>
          </cell>
          <cell r="G325">
            <v>13</v>
          </cell>
          <cell r="H325">
            <v>637888</v>
          </cell>
          <cell r="I325">
            <v>181629.87017385766</v>
          </cell>
          <cell r="J325">
            <v>0</v>
          </cell>
          <cell r="K325">
            <v>0</v>
          </cell>
          <cell r="L325">
            <v>0</v>
          </cell>
          <cell r="M325">
            <v>1.0416666666666666E-2</v>
          </cell>
          <cell r="N325">
            <v>2.0338234404601783E-2</v>
          </cell>
          <cell r="O325">
            <v>0</v>
          </cell>
          <cell r="P325">
            <v>819517.87017385766</v>
          </cell>
          <cell r="Q325">
            <v>8292576</v>
          </cell>
          <cell r="R325">
            <v>-6</v>
          </cell>
          <cell r="U325" t="str">
            <v>PENDIENTE</v>
          </cell>
        </row>
        <row r="326">
          <cell r="A326" t="str">
            <v>202411</v>
          </cell>
          <cell r="B326" t="str">
            <v>BANCOLOMBIA</v>
          </cell>
          <cell r="C326" t="str">
            <v>LAMAR OPTICAL S.A.S</v>
          </cell>
          <cell r="D326">
            <v>8140097009</v>
          </cell>
          <cell r="E326">
            <v>45604</v>
          </cell>
          <cell r="F326">
            <v>24</v>
          </cell>
          <cell r="G326">
            <v>12</v>
          </cell>
          <cell r="H326">
            <v>637888</v>
          </cell>
          <cell r="I326">
            <v>168656.35450597503</v>
          </cell>
          <cell r="J326">
            <v>0</v>
          </cell>
          <cell r="K326">
            <v>0</v>
          </cell>
          <cell r="L326">
            <v>0</v>
          </cell>
          <cell r="M326">
            <v>1.0416666666666666E-2</v>
          </cell>
          <cell r="N326">
            <v>2.0338234404601783E-2</v>
          </cell>
          <cell r="O326">
            <v>0</v>
          </cell>
          <cell r="P326">
            <v>806544.35450597503</v>
          </cell>
          <cell r="Q326">
            <v>7654688</v>
          </cell>
          <cell r="R326">
            <v>-36</v>
          </cell>
          <cell r="U326" t="str">
            <v>PENDIENTE</v>
          </cell>
        </row>
        <row r="327">
          <cell r="A327" t="str">
            <v>202412</v>
          </cell>
          <cell r="B327" t="str">
            <v>BANCOLOMBIA</v>
          </cell>
          <cell r="C327" t="str">
            <v>LAMAR OPTICAL S.A.S</v>
          </cell>
          <cell r="D327">
            <v>8140097009</v>
          </cell>
          <cell r="E327">
            <v>45634</v>
          </cell>
          <cell r="F327">
            <v>25</v>
          </cell>
          <cell r="G327">
            <v>11</v>
          </cell>
          <cell r="H327">
            <v>637888</v>
          </cell>
          <cell r="I327">
            <v>155682.8388380924</v>
          </cell>
          <cell r="J327">
            <v>0</v>
          </cell>
          <cell r="K327">
            <v>0</v>
          </cell>
          <cell r="L327">
            <v>0</v>
          </cell>
          <cell r="M327">
            <v>1.0416666666666666E-2</v>
          </cell>
          <cell r="N327">
            <v>2.0338234404601783E-2</v>
          </cell>
          <cell r="O327">
            <v>0</v>
          </cell>
          <cell r="P327">
            <v>793570.8388380924</v>
          </cell>
          <cell r="Q327">
            <v>7016800</v>
          </cell>
          <cell r="R327">
            <v>-67</v>
          </cell>
          <cell r="U327" t="str">
            <v>PENDIENTE</v>
          </cell>
        </row>
        <row r="328">
          <cell r="A328" t="str">
            <v>20251</v>
          </cell>
          <cell r="B328" t="str">
            <v>BANCOLOMBIA</v>
          </cell>
          <cell r="C328" t="str">
            <v>LAMAR OPTICAL S.A.S</v>
          </cell>
          <cell r="D328">
            <v>8140097009</v>
          </cell>
          <cell r="E328">
            <v>45665</v>
          </cell>
          <cell r="F328">
            <v>26</v>
          </cell>
          <cell r="G328">
            <v>10</v>
          </cell>
          <cell r="H328">
            <v>637888</v>
          </cell>
          <cell r="I328">
            <v>142709.3231702098</v>
          </cell>
          <cell r="J328">
            <v>0</v>
          </cell>
          <cell r="K328">
            <v>0</v>
          </cell>
          <cell r="L328">
            <v>0</v>
          </cell>
          <cell r="M328">
            <v>1.0416666666666666E-2</v>
          </cell>
          <cell r="N328">
            <v>2.0338234404601783E-2</v>
          </cell>
          <cell r="O328">
            <v>0</v>
          </cell>
          <cell r="P328">
            <v>780597.32317020977</v>
          </cell>
          <cell r="Q328">
            <v>6378912</v>
          </cell>
          <cell r="R328">
            <v>-97</v>
          </cell>
          <cell r="U328" t="str">
            <v>PENDIENTE</v>
          </cell>
        </row>
        <row r="329">
          <cell r="A329" t="str">
            <v>20252</v>
          </cell>
          <cell r="B329" t="str">
            <v>BANCOLOMBIA</v>
          </cell>
          <cell r="C329" t="str">
            <v>LAMAR OPTICAL S.A.S</v>
          </cell>
          <cell r="D329">
            <v>8140097009</v>
          </cell>
          <cell r="E329">
            <v>45696</v>
          </cell>
          <cell r="F329">
            <v>27</v>
          </cell>
          <cell r="G329">
            <v>9</v>
          </cell>
          <cell r="H329">
            <v>637888</v>
          </cell>
          <cell r="I329">
            <v>129735.80750232717</v>
          </cell>
          <cell r="J329">
            <v>0</v>
          </cell>
          <cell r="K329">
            <v>0</v>
          </cell>
          <cell r="L329">
            <v>0</v>
          </cell>
          <cell r="M329">
            <v>1.0416666666666666E-2</v>
          </cell>
          <cell r="N329">
            <v>2.0338234404601783E-2</v>
          </cell>
          <cell r="O329">
            <v>0</v>
          </cell>
          <cell r="P329">
            <v>767623.80750232714</v>
          </cell>
          <cell r="Q329">
            <v>5741024</v>
          </cell>
          <cell r="R329">
            <v>-128</v>
          </cell>
          <cell r="U329" t="str">
            <v>PENDIENTE</v>
          </cell>
        </row>
        <row r="330">
          <cell r="A330" t="str">
            <v>20253</v>
          </cell>
          <cell r="B330" t="str">
            <v>BANCOLOMBIA</v>
          </cell>
          <cell r="C330" t="str">
            <v>LAMAR OPTICAL S.A.S</v>
          </cell>
          <cell r="D330">
            <v>8140097009</v>
          </cell>
          <cell r="E330">
            <v>45724</v>
          </cell>
          <cell r="F330">
            <v>28</v>
          </cell>
          <cell r="G330">
            <v>8</v>
          </cell>
          <cell r="H330">
            <v>637888</v>
          </cell>
          <cell r="I330">
            <v>116762.29183444455</v>
          </cell>
          <cell r="J330">
            <v>0</v>
          </cell>
          <cell r="K330">
            <v>0</v>
          </cell>
          <cell r="L330">
            <v>0</v>
          </cell>
          <cell r="M330">
            <v>1.0416666666666666E-2</v>
          </cell>
          <cell r="N330">
            <v>2.0338234404601783E-2</v>
          </cell>
          <cell r="O330">
            <v>0</v>
          </cell>
          <cell r="P330">
            <v>754650.29183444451</v>
          </cell>
          <cell r="Q330">
            <v>5103136</v>
          </cell>
          <cell r="R330">
            <v>-159</v>
          </cell>
          <cell r="U330" t="str">
            <v>PENDIENTE</v>
          </cell>
        </row>
        <row r="331">
          <cell r="A331" t="str">
            <v>20254</v>
          </cell>
          <cell r="B331" t="str">
            <v>BANCOLOMBIA</v>
          </cell>
          <cell r="C331" t="str">
            <v>LAMAR OPTICAL S.A.S</v>
          </cell>
          <cell r="D331">
            <v>8140097009</v>
          </cell>
          <cell r="E331">
            <v>45755</v>
          </cell>
          <cell r="F331">
            <v>29</v>
          </cell>
          <cell r="G331">
            <v>7</v>
          </cell>
          <cell r="H331">
            <v>637888</v>
          </cell>
          <cell r="I331">
            <v>103788.77616656192</v>
          </cell>
          <cell r="J331">
            <v>0</v>
          </cell>
          <cell r="K331">
            <v>0</v>
          </cell>
          <cell r="L331">
            <v>0</v>
          </cell>
          <cell r="M331">
            <v>1.0416666666666666E-2</v>
          </cell>
          <cell r="N331">
            <v>2.0338234404601783E-2</v>
          </cell>
          <cell r="O331">
            <v>0</v>
          </cell>
          <cell r="P331">
            <v>741676.77616656187</v>
          </cell>
          <cell r="Q331">
            <v>4465248</v>
          </cell>
          <cell r="R331">
            <v>-187</v>
          </cell>
          <cell r="U331" t="str">
            <v>PENDIENTE</v>
          </cell>
        </row>
        <row r="332">
          <cell r="A332" t="str">
            <v>20255</v>
          </cell>
          <cell r="B332" t="str">
            <v>BANCOLOMBIA</v>
          </cell>
          <cell r="C332" t="str">
            <v>LAMAR OPTICAL S.A.S</v>
          </cell>
          <cell r="D332">
            <v>8140097009</v>
          </cell>
          <cell r="E332">
            <v>45785</v>
          </cell>
          <cell r="F332">
            <v>30</v>
          </cell>
          <cell r="G332">
            <v>6</v>
          </cell>
          <cell r="H332">
            <v>637888</v>
          </cell>
          <cell r="I332">
            <v>90815.260498679301</v>
          </cell>
          <cell r="J332">
            <v>0</v>
          </cell>
          <cell r="K332">
            <v>0</v>
          </cell>
          <cell r="L332">
            <v>0</v>
          </cell>
          <cell r="M332">
            <v>1.0416666666666666E-2</v>
          </cell>
          <cell r="N332">
            <v>2.0338234404601783E-2</v>
          </cell>
          <cell r="O332">
            <v>0</v>
          </cell>
          <cell r="P332">
            <v>728703.26049867924</v>
          </cell>
          <cell r="Q332">
            <v>3827360</v>
          </cell>
          <cell r="R332">
            <v>-218</v>
          </cell>
          <cell r="U332" t="str">
            <v>PENDIENTE</v>
          </cell>
        </row>
        <row r="333">
          <cell r="A333" t="str">
            <v>20256</v>
          </cell>
          <cell r="B333" t="str">
            <v>BANCOLOMBIA</v>
          </cell>
          <cell r="C333" t="str">
            <v>LAMAR OPTICAL S.A.S</v>
          </cell>
          <cell r="D333">
            <v>8140097009</v>
          </cell>
          <cell r="E333">
            <v>45816</v>
          </cell>
          <cell r="F333">
            <v>31</v>
          </cell>
          <cell r="G333">
            <v>5</v>
          </cell>
          <cell r="H333">
            <v>637888</v>
          </cell>
          <cell r="I333">
            <v>77841.744830796684</v>
          </cell>
          <cell r="J333">
            <v>0</v>
          </cell>
          <cell r="K333">
            <v>0</v>
          </cell>
          <cell r="L333">
            <v>0</v>
          </cell>
          <cell r="M333">
            <v>1.0416666666666666E-2</v>
          </cell>
          <cell r="N333">
            <v>2.0338234404601783E-2</v>
          </cell>
          <cell r="O333">
            <v>0</v>
          </cell>
          <cell r="P333">
            <v>715729.74483079673</v>
          </cell>
          <cell r="Q333">
            <v>3189472</v>
          </cell>
          <cell r="R333">
            <v>-248</v>
          </cell>
          <cell r="U333" t="str">
            <v>PENDIENTE</v>
          </cell>
        </row>
        <row r="334">
          <cell r="A334" t="str">
            <v>20257</v>
          </cell>
          <cell r="B334" t="str">
            <v>BANCOLOMBIA</v>
          </cell>
          <cell r="C334" t="str">
            <v>LAMAR OPTICAL S.A.S</v>
          </cell>
          <cell r="D334">
            <v>8140097009</v>
          </cell>
          <cell r="E334">
            <v>45846</v>
          </cell>
          <cell r="F334">
            <v>32</v>
          </cell>
          <cell r="G334">
            <v>4</v>
          </cell>
          <cell r="H334">
            <v>637888</v>
          </cell>
          <cell r="I334">
            <v>64868.22916291406</v>
          </cell>
          <cell r="J334">
            <v>0</v>
          </cell>
          <cell r="K334">
            <v>0</v>
          </cell>
          <cell r="L334">
            <v>0</v>
          </cell>
          <cell r="M334">
            <v>1.0416666666666666E-2</v>
          </cell>
          <cell r="N334">
            <v>2.0338234404601783E-2</v>
          </cell>
          <cell r="O334">
            <v>0</v>
          </cell>
          <cell r="P334">
            <v>702756.2291629141</v>
          </cell>
          <cell r="Q334">
            <v>2551584</v>
          </cell>
          <cell r="R334">
            <v>-279</v>
          </cell>
          <cell r="U334" t="str">
            <v>PENDIENTE</v>
          </cell>
        </row>
        <row r="335">
          <cell r="A335" t="str">
            <v>20258</v>
          </cell>
          <cell r="B335" t="str">
            <v>BANCOLOMBIA</v>
          </cell>
          <cell r="C335" t="str">
            <v>LAMAR OPTICAL S.A.S</v>
          </cell>
          <cell r="D335">
            <v>8140097009</v>
          </cell>
          <cell r="E335">
            <v>45877</v>
          </cell>
          <cell r="F335">
            <v>33</v>
          </cell>
          <cell r="G335">
            <v>3</v>
          </cell>
          <cell r="H335">
            <v>637888</v>
          </cell>
          <cell r="I335">
            <v>51894.713495031436</v>
          </cell>
          <cell r="J335">
            <v>0</v>
          </cell>
          <cell r="K335">
            <v>0</v>
          </cell>
          <cell r="L335">
            <v>0</v>
          </cell>
          <cell r="M335">
            <v>1.0416666666666666E-2</v>
          </cell>
          <cell r="N335">
            <v>2.0338234404601783E-2</v>
          </cell>
          <cell r="O335">
            <v>0</v>
          </cell>
          <cell r="P335">
            <v>689782.71349503146</v>
          </cell>
          <cell r="Q335">
            <v>1913696</v>
          </cell>
          <cell r="R335">
            <v>-309</v>
          </cell>
          <cell r="U335" t="str">
            <v>PENDIENTE</v>
          </cell>
        </row>
        <row r="336">
          <cell r="A336" t="str">
            <v>20259</v>
          </cell>
          <cell r="B336" t="str">
            <v>BANCOLOMBIA</v>
          </cell>
          <cell r="C336" t="str">
            <v>LAMAR OPTICAL S.A.S</v>
          </cell>
          <cell r="D336">
            <v>8140097009</v>
          </cell>
          <cell r="E336">
            <v>45908</v>
          </cell>
          <cell r="F336">
            <v>34</v>
          </cell>
          <cell r="G336">
            <v>2</v>
          </cell>
          <cell r="H336">
            <v>637888</v>
          </cell>
          <cell r="I336">
            <v>38921.197827148811</v>
          </cell>
          <cell r="J336">
            <v>0</v>
          </cell>
          <cell r="K336">
            <v>0</v>
          </cell>
          <cell r="L336">
            <v>0</v>
          </cell>
          <cell r="M336">
            <v>1.0416666666666666E-2</v>
          </cell>
          <cell r="N336">
            <v>2.0338234404601783E-2</v>
          </cell>
          <cell r="O336">
            <v>0</v>
          </cell>
          <cell r="P336">
            <v>676809.19782714883</v>
          </cell>
          <cell r="Q336">
            <v>1275808</v>
          </cell>
          <cell r="R336">
            <v>-340</v>
          </cell>
          <cell r="U336" t="str">
            <v>PENDIENTE</v>
          </cell>
        </row>
        <row r="337">
          <cell r="A337" t="str">
            <v>202510</v>
          </cell>
          <cell r="B337" t="str">
            <v>BANCOLOMBIA</v>
          </cell>
          <cell r="C337" t="str">
            <v>LAMAR OPTICAL S.A.S</v>
          </cell>
          <cell r="D337">
            <v>8140097009</v>
          </cell>
          <cell r="E337">
            <v>45938</v>
          </cell>
          <cell r="F337">
            <v>35</v>
          </cell>
          <cell r="G337">
            <v>1</v>
          </cell>
          <cell r="H337">
            <v>637888</v>
          </cell>
          <cell r="I337">
            <v>25947.682159266191</v>
          </cell>
          <cell r="J337">
            <v>0</v>
          </cell>
          <cell r="K337">
            <v>0</v>
          </cell>
          <cell r="L337">
            <v>0</v>
          </cell>
          <cell r="M337">
            <v>1.0416666666666666E-2</v>
          </cell>
          <cell r="N337">
            <v>2.0338234404601783E-2</v>
          </cell>
          <cell r="O337">
            <v>0</v>
          </cell>
          <cell r="P337">
            <v>663835.6821592662</v>
          </cell>
          <cell r="Q337">
            <v>637920</v>
          </cell>
          <cell r="R337">
            <v>-371</v>
          </cell>
          <cell r="U337" t="str">
            <v>PENDIENTE</v>
          </cell>
        </row>
        <row r="338">
          <cell r="A338" t="str">
            <v>202511</v>
          </cell>
          <cell r="B338" t="str">
            <v>BANCOLOMBIA</v>
          </cell>
          <cell r="C338" t="str">
            <v>LAMAR OPTICAL S.A.S</v>
          </cell>
          <cell r="D338">
            <v>8140097009</v>
          </cell>
          <cell r="E338">
            <v>45969</v>
          </cell>
          <cell r="F338">
            <v>36</v>
          </cell>
          <cell r="G338">
            <v>0</v>
          </cell>
          <cell r="H338">
            <v>637888</v>
          </cell>
          <cell r="I338">
            <v>12974.166491383568</v>
          </cell>
          <cell r="J338">
            <v>0</v>
          </cell>
          <cell r="K338">
            <v>0</v>
          </cell>
          <cell r="L338">
            <v>0</v>
          </cell>
          <cell r="M338">
            <v>1.0416666666666666E-2</v>
          </cell>
          <cell r="N338">
            <v>2.0338234404601783E-2</v>
          </cell>
          <cell r="O338">
            <v>0</v>
          </cell>
          <cell r="P338">
            <v>650862.16649138357</v>
          </cell>
          <cell r="Q338">
            <v>32</v>
          </cell>
          <cell r="R338">
            <v>-401</v>
          </cell>
          <cell r="U338" t="str">
            <v>PENDIENTE</v>
          </cell>
        </row>
        <row r="339">
          <cell r="A339" t="str">
            <v>20219</v>
          </cell>
          <cell r="B339" t="str">
            <v>BANCO DE BOGOTÁ</v>
          </cell>
          <cell r="C339" t="str">
            <v>LAMAR OPTICAL S.A.S</v>
          </cell>
          <cell r="D339" t="str">
            <v>00656006174</v>
          </cell>
          <cell r="E339">
            <v>44463</v>
          </cell>
          <cell r="F339">
            <v>-1</v>
          </cell>
          <cell r="G339">
            <v>36</v>
          </cell>
          <cell r="H339">
            <v>0</v>
          </cell>
          <cell r="I339">
            <v>0</v>
          </cell>
          <cell r="J339">
            <v>0</v>
          </cell>
          <cell r="K339">
            <v>0</v>
          </cell>
          <cell r="L339">
            <v>0</v>
          </cell>
          <cell r="M339">
            <v>5.7749999999999998E-3</v>
          </cell>
          <cell r="N339">
            <v>0</v>
          </cell>
          <cell r="O339">
            <v>0</v>
          </cell>
          <cell r="P339">
            <v>0</v>
          </cell>
          <cell r="Q339">
            <v>70000000</v>
          </cell>
          <cell r="R339" t="str">
            <v>OK</v>
          </cell>
          <cell r="S339">
            <v>0</v>
          </cell>
          <cell r="T339">
            <v>44464</v>
          </cell>
          <cell r="U339" t="str">
            <v>PAGADO</v>
          </cell>
        </row>
        <row r="340">
          <cell r="A340" t="str">
            <v>202110</v>
          </cell>
          <cell r="B340" t="str">
            <v>BANCO DE BOGOTÁ</v>
          </cell>
          <cell r="C340" t="str">
            <v>LAMAR OPTICAL S.A.S</v>
          </cell>
          <cell r="D340" t="str">
            <v>00656006174</v>
          </cell>
          <cell r="E340">
            <v>44493</v>
          </cell>
          <cell r="F340">
            <v>0</v>
          </cell>
          <cell r="G340">
            <v>35</v>
          </cell>
          <cell r="H340">
            <v>1944444.44</v>
          </cell>
          <cell r="I340">
            <v>540070.93999999994</v>
          </cell>
          <cell r="J340">
            <v>0</v>
          </cell>
          <cell r="K340">
            <v>238</v>
          </cell>
          <cell r="L340">
            <v>0</v>
          </cell>
          <cell r="M340">
            <v>1.9126308249999998E-2</v>
          </cell>
          <cell r="N340">
            <v>7.715299142857142E-3</v>
          </cell>
          <cell r="O340">
            <v>-0.59661325949522204</v>
          </cell>
          <cell r="P340">
            <v>2484753.38</v>
          </cell>
          <cell r="Q340">
            <v>68055555.560000002</v>
          </cell>
          <cell r="R340" t="str">
            <v>OK</v>
          </cell>
          <cell r="S340">
            <v>2503349</v>
          </cell>
          <cell r="T340">
            <v>44494</v>
          </cell>
          <cell r="U340" t="str">
            <v>PAGADO</v>
          </cell>
        </row>
        <row r="341">
          <cell r="A341" t="str">
            <v>202111</v>
          </cell>
          <cell r="B341" t="str">
            <v>BANCO DE BOGOTÁ</v>
          </cell>
          <cell r="C341" t="str">
            <v>LAMAR OPTICAL S.A.S</v>
          </cell>
          <cell r="D341" t="str">
            <v>00656006174</v>
          </cell>
          <cell r="E341">
            <v>44524</v>
          </cell>
          <cell r="F341">
            <v>1</v>
          </cell>
          <cell r="G341">
            <v>34</v>
          </cell>
          <cell r="H341">
            <v>1944444.44</v>
          </cell>
          <cell r="I341">
            <v>540070.93999999994</v>
          </cell>
          <cell r="J341">
            <v>0</v>
          </cell>
          <cell r="K341">
            <v>238</v>
          </cell>
          <cell r="L341">
            <v>0</v>
          </cell>
          <cell r="M341">
            <v>1.9126308249999998E-2</v>
          </cell>
          <cell r="N341">
            <v>7.9357362607062366E-3</v>
          </cell>
          <cell r="O341">
            <v>-0.58508792407932475</v>
          </cell>
          <cell r="P341">
            <v>2484753.38</v>
          </cell>
          <cell r="Q341">
            <v>66111111.120000005</v>
          </cell>
          <cell r="R341" t="str">
            <v>OK</v>
          </cell>
          <cell r="S341">
            <v>2484754</v>
          </cell>
          <cell r="T341">
            <v>44525</v>
          </cell>
          <cell r="U341" t="str">
            <v>PAGADO</v>
          </cell>
        </row>
        <row r="342">
          <cell r="A342" t="str">
            <v>202112</v>
          </cell>
          <cell r="B342" t="str">
            <v>BANCO DE BOGOTÁ</v>
          </cell>
          <cell r="C342" t="str">
            <v>LAMAR OPTICAL S.A.S</v>
          </cell>
          <cell r="D342" t="str">
            <v>00656006174</v>
          </cell>
          <cell r="E342">
            <v>44554</v>
          </cell>
          <cell r="F342">
            <v>2</v>
          </cell>
          <cell r="G342">
            <v>33</v>
          </cell>
          <cell r="H342">
            <v>1944444.44</v>
          </cell>
          <cell r="I342">
            <v>549934.25</v>
          </cell>
          <cell r="J342">
            <v>0</v>
          </cell>
          <cell r="K342">
            <v>238</v>
          </cell>
          <cell r="L342">
            <v>0</v>
          </cell>
          <cell r="M342">
            <v>1.9126308249999998E-2</v>
          </cell>
          <cell r="N342">
            <v>8.3183331921588798E-3</v>
          </cell>
          <cell r="O342">
            <v>-0.56508422412574677</v>
          </cell>
          <cell r="P342">
            <v>2494616.69</v>
          </cell>
          <cell r="Q342">
            <v>64166666.680000007</v>
          </cell>
          <cell r="R342" t="str">
            <v>OK</v>
          </cell>
          <cell r="S342">
            <v>2494617</v>
          </cell>
          <cell r="T342">
            <v>44554</v>
          </cell>
          <cell r="U342" t="str">
            <v>PAGADO</v>
          </cell>
        </row>
        <row r="343">
          <cell r="A343" t="str">
            <v>20221</v>
          </cell>
          <cell r="B343" t="str">
            <v>BANCO DE BOGOTÁ</v>
          </cell>
          <cell r="C343" t="str">
            <v>LAMAR OPTICAL S.A.S</v>
          </cell>
          <cell r="D343" t="str">
            <v>00656006174</v>
          </cell>
          <cell r="E343">
            <v>44585</v>
          </cell>
          <cell r="F343">
            <v>3</v>
          </cell>
          <cell r="G343">
            <v>32</v>
          </cell>
          <cell r="H343">
            <v>1944444.44</v>
          </cell>
          <cell r="I343">
            <v>553972.21</v>
          </cell>
          <cell r="J343">
            <v>0</v>
          </cell>
          <cell r="K343">
            <v>238</v>
          </cell>
          <cell r="L343">
            <v>0</v>
          </cell>
          <cell r="M343">
            <v>1.9126308249999998E-2</v>
          </cell>
          <cell r="N343">
            <v>8.6333331410632028E-3</v>
          </cell>
          <cell r="O343">
            <v>-0.54861476515923013</v>
          </cell>
          <cell r="P343">
            <v>2498654.65</v>
          </cell>
          <cell r="Q343">
            <v>62222222.24000001</v>
          </cell>
          <cell r="R343" t="str">
            <v>OK</v>
          </cell>
          <cell r="S343">
            <v>2498655</v>
          </cell>
          <cell r="T343">
            <v>44585</v>
          </cell>
          <cell r="U343" t="str">
            <v>PAGADO</v>
          </cell>
        </row>
        <row r="344">
          <cell r="A344" t="str">
            <v>20222</v>
          </cell>
          <cell r="B344" t="str">
            <v>BANCO DE BOGOTÁ</v>
          </cell>
          <cell r="C344" t="str">
            <v>LAMAR OPTICAL S.A.S</v>
          </cell>
          <cell r="D344" t="str">
            <v>00656006174</v>
          </cell>
          <cell r="E344">
            <v>44616</v>
          </cell>
          <cell r="F344">
            <v>4</v>
          </cell>
          <cell r="G344">
            <v>31</v>
          </cell>
          <cell r="H344">
            <v>1944444.44</v>
          </cell>
          <cell r="I344">
            <v>569125.92000000004</v>
          </cell>
          <cell r="J344">
            <v>0</v>
          </cell>
          <cell r="K344">
            <v>238</v>
          </cell>
          <cell r="L344">
            <v>0</v>
          </cell>
          <cell r="M344">
            <v>1.9126308249999998E-2</v>
          </cell>
          <cell r="N344">
            <v>9.1466665688152374E-3</v>
          </cell>
          <cell r="O344">
            <v>-0.52177563755330358</v>
          </cell>
          <cell r="P344">
            <v>2513808.36</v>
          </cell>
          <cell r="Q344">
            <v>60277777.800000012</v>
          </cell>
          <cell r="R344" t="str">
            <v>OK</v>
          </cell>
          <cell r="S344">
            <v>2514568</v>
          </cell>
          <cell r="T344">
            <v>44617</v>
          </cell>
          <cell r="U344" t="str">
            <v>PAGADO</v>
          </cell>
        </row>
        <row r="345">
          <cell r="A345" t="str">
            <v>20223</v>
          </cell>
          <cell r="B345" t="str">
            <v>BANCO DE BOGOTÁ</v>
          </cell>
          <cell r="C345" t="str">
            <v>LAMAR OPTICAL S.A.S</v>
          </cell>
          <cell r="D345" t="str">
            <v>00656006174</v>
          </cell>
          <cell r="E345">
            <v>44644</v>
          </cell>
          <cell r="F345">
            <v>5</v>
          </cell>
          <cell r="G345">
            <v>30</v>
          </cell>
          <cell r="H345">
            <v>1944444.44</v>
          </cell>
          <cell r="I345">
            <v>573291.88</v>
          </cell>
          <cell r="J345">
            <v>0</v>
          </cell>
          <cell r="K345">
            <v>238</v>
          </cell>
          <cell r="L345">
            <v>0</v>
          </cell>
          <cell r="M345">
            <v>1.9126308249999998E-2</v>
          </cell>
          <cell r="N345">
            <v>9.5108330287517646E-3</v>
          </cell>
          <cell r="O345">
            <v>-0.50273555646831292</v>
          </cell>
          <cell r="P345">
            <v>2517974.3199999998</v>
          </cell>
          <cell r="Q345">
            <v>58333333.360000014</v>
          </cell>
          <cell r="R345" t="str">
            <v>OK</v>
          </cell>
          <cell r="S345">
            <v>2518131</v>
          </cell>
          <cell r="T345">
            <v>44646</v>
          </cell>
          <cell r="U345" t="str">
            <v>PAGADO</v>
          </cell>
        </row>
        <row r="346">
          <cell r="A346" t="str">
            <v>20224</v>
          </cell>
          <cell r="B346" t="str">
            <v>BANCO DE BOGOTÁ</v>
          </cell>
          <cell r="C346" t="str">
            <v>LAMAR OPTICAL S.A.S</v>
          </cell>
          <cell r="D346" t="str">
            <v>00656006174</v>
          </cell>
          <cell r="E346">
            <v>44675</v>
          </cell>
          <cell r="F346">
            <v>6</v>
          </cell>
          <cell r="G346">
            <v>29</v>
          </cell>
          <cell r="H346">
            <v>1944444.44</v>
          </cell>
          <cell r="I346">
            <v>600929.74</v>
          </cell>
          <cell r="J346">
            <v>0</v>
          </cell>
          <cell r="K346">
            <v>238</v>
          </cell>
          <cell r="L346">
            <v>0</v>
          </cell>
          <cell r="M346">
            <v>1.9126308249999998E-2</v>
          </cell>
          <cell r="N346">
            <v>1.0301652681004955E-2</v>
          </cell>
          <cell r="O346">
            <v>-0.46138833765763676</v>
          </cell>
          <cell r="P346">
            <v>2545612.1799999997</v>
          </cell>
          <cell r="Q346">
            <v>56388888.920000017</v>
          </cell>
          <cell r="R346" t="str">
            <v>OK</v>
          </cell>
          <cell r="S346">
            <v>2550940</v>
          </cell>
          <cell r="T346">
            <v>44683</v>
          </cell>
          <cell r="U346" t="str">
            <v>PAGADO</v>
          </cell>
        </row>
        <row r="347">
          <cell r="A347" t="str">
            <v>20225</v>
          </cell>
          <cell r="B347" t="str">
            <v>BANCO DE BOGOTÁ</v>
          </cell>
          <cell r="C347" t="str">
            <v>LAMAR OPTICAL S.A.S</v>
          </cell>
          <cell r="D347" t="str">
            <v>00656006174</v>
          </cell>
          <cell r="E347">
            <v>44705</v>
          </cell>
          <cell r="F347">
            <v>7</v>
          </cell>
          <cell r="G347">
            <v>28</v>
          </cell>
          <cell r="H347">
            <v>1944444.44</v>
          </cell>
          <cell r="I347">
            <v>599585</v>
          </cell>
          <cell r="J347">
            <v>0</v>
          </cell>
          <cell r="K347">
            <v>238</v>
          </cell>
          <cell r="L347">
            <v>0</v>
          </cell>
          <cell r="M347">
            <v>1.9126308249999998E-2</v>
          </cell>
          <cell r="N347">
            <v>1.0633034476892116E-2</v>
          </cell>
          <cell r="O347">
            <v>-0.44406237011828376</v>
          </cell>
          <cell r="P347">
            <v>2544267.44</v>
          </cell>
          <cell r="Q347">
            <v>54444444.480000019</v>
          </cell>
          <cell r="R347" t="str">
            <v>OK</v>
          </cell>
          <cell r="S347">
            <v>2800000</v>
          </cell>
          <cell r="T347">
            <v>44720</v>
          </cell>
          <cell r="U347" t="str">
            <v>PAGADO</v>
          </cell>
        </row>
        <row r="348">
          <cell r="A348" t="str">
            <v>20226</v>
          </cell>
          <cell r="B348" t="str">
            <v>BANCO DE BOGOTÁ</v>
          </cell>
          <cell r="C348" t="str">
            <v>LAMAR OPTICAL S.A.S</v>
          </cell>
          <cell r="D348" t="str">
            <v>00656006174</v>
          </cell>
          <cell r="E348">
            <v>44736</v>
          </cell>
          <cell r="F348">
            <v>8</v>
          </cell>
          <cell r="G348">
            <v>27</v>
          </cell>
          <cell r="H348">
            <v>1944444.44</v>
          </cell>
          <cell r="I348">
            <v>599387</v>
          </cell>
          <cell r="J348">
            <v>0</v>
          </cell>
          <cell r="K348">
            <v>238</v>
          </cell>
          <cell r="L348">
            <v>0</v>
          </cell>
          <cell r="M348">
            <v>1.9126308249999998E-2</v>
          </cell>
          <cell r="N348">
            <v>1.1009148972402185E-2</v>
          </cell>
          <cell r="O348">
            <v>-0.42439759787923603</v>
          </cell>
          <cell r="P348">
            <v>2544069.44</v>
          </cell>
          <cell r="Q348">
            <v>52500000.040000021</v>
          </cell>
          <cell r="R348" t="str">
            <v>OK</v>
          </cell>
          <cell r="S348">
            <v>3050000</v>
          </cell>
          <cell r="T348">
            <v>44767</v>
          </cell>
          <cell r="U348" t="str">
            <v>PAGADO</v>
          </cell>
        </row>
        <row r="349">
          <cell r="A349" t="str">
            <v>20227</v>
          </cell>
          <cell r="B349" t="str">
            <v>BANCO DE BOGOTÁ</v>
          </cell>
          <cell r="C349" t="str">
            <v>LAMAR OPTICAL S.A.S</v>
          </cell>
          <cell r="D349" t="str">
            <v>00656006174</v>
          </cell>
          <cell r="E349">
            <v>44766</v>
          </cell>
          <cell r="F349">
            <v>9</v>
          </cell>
          <cell r="G349">
            <v>26</v>
          </cell>
          <cell r="H349">
            <v>1944444.44</v>
          </cell>
          <cell r="I349">
            <v>626324.05000000005</v>
          </cell>
          <cell r="J349">
            <v>0</v>
          </cell>
          <cell r="K349">
            <v>238</v>
          </cell>
          <cell r="L349">
            <v>0</v>
          </cell>
          <cell r="M349">
            <v>1.9126308249999998E-2</v>
          </cell>
          <cell r="N349">
            <v>1.1929981895672391E-2</v>
          </cell>
          <cell r="O349">
            <v>-0.37625276453063583</v>
          </cell>
          <cell r="P349">
            <v>2571006.4900000002</v>
          </cell>
          <cell r="Q349">
            <v>50555555.600000024</v>
          </cell>
          <cell r="R349" t="str">
            <v>OK</v>
          </cell>
          <cell r="S349">
            <v>2490000</v>
          </cell>
          <cell r="T349">
            <v>44785</v>
          </cell>
          <cell r="U349" t="str">
            <v>PAGADO</v>
          </cell>
        </row>
        <row r="350">
          <cell r="A350" t="str">
            <v>20228</v>
          </cell>
          <cell r="B350" t="str">
            <v>BANCO DE BOGOTÁ</v>
          </cell>
          <cell r="C350" t="str">
            <v>LAMAR OPTICAL S.A.S</v>
          </cell>
          <cell r="D350" t="str">
            <v>00656006174</v>
          </cell>
          <cell r="E350">
            <v>44797</v>
          </cell>
          <cell r="F350">
            <v>10</v>
          </cell>
          <cell r="G350">
            <v>25</v>
          </cell>
          <cell r="H350">
            <v>1944444.44</v>
          </cell>
          <cell r="I350">
            <v>654735.54</v>
          </cell>
          <cell r="J350">
            <v>0</v>
          </cell>
          <cell r="K350">
            <v>238</v>
          </cell>
          <cell r="L350">
            <v>81006.490000000224</v>
          </cell>
          <cell r="M350">
            <v>1.9126308249999998E-2</v>
          </cell>
          <cell r="N350">
            <v>1.2950812867735544E-2</v>
          </cell>
          <cell r="O350">
            <v>-0.32287963267895436</v>
          </cell>
          <cell r="P350">
            <v>2680424.4700000002</v>
          </cell>
          <cell r="Q350">
            <v>48611111.160000026</v>
          </cell>
          <cell r="R350" t="str">
            <v>OK</v>
          </cell>
          <cell r="S350">
            <v>3000000</v>
          </cell>
          <cell r="T350">
            <v>44805</v>
          </cell>
          <cell r="U350" t="str">
            <v>PAGADO</v>
          </cell>
        </row>
        <row r="351">
          <cell r="A351" t="str">
            <v>20229</v>
          </cell>
          <cell r="B351" t="str">
            <v>BANCO DE BOGOTÁ</v>
          </cell>
          <cell r="C351" t="str">
            <v>LAMAR OPTICAL S.A.S</v>
          </cell>
          <cell r="D351" t="str">
            <v>00656006174</v>
          </cell>
          <cell r="E351">
            <v>44828</v>
          </cell>
          <cell r="F351">
            <v>11</v>
          </cell>
          <cell r="G351">
            <v>24</v>
          </cell>
          <cell r="H351">
            <v>1944444.44</v>
          </cell>
          <cell r="I351">
            <v>647336.9</v>
          </cell>
          <cell r="J351">
            <v>0</v>
          </cell>
          <cell r="K351">
            <v>238</v>
          </cell>
          <cell r="L351">
            <v>0</v>
          </cell>
          <cell r="M351">
            <v>1.9126308249999998E-2</v>
          </cell>
          <cell r="N351">
            <v>1.3316644786607254E-2</v>
          </cell>
          <cell r="O351">
            <v>-0.30375247473033617</v>
          </cell>
          <cell r="P351">
            <v>2592019.34</v>
          </cell>
          <cell r="Q351">
            <v>46666666.720000029</v>
          </cell>
          <cell r="R351" t="str">
            <v>OK</v>
          </cell>
          <cell r="S351">
            <v>2100000</v>
          </cell>
          <cell r="T351">
            <v>44834</v>
          </cell>
          <cell r="U351" t="str">
            <v>PAGADO</v>
          </cell>
        </row>
        <row r="352">
          <cell r="A352" t="str">
            <v>202210</v>
          </cell>
          <cell r="B352" t="str">
            <v>BANCO DE BOGOTÁ</v>
          </cell>
          <cell r="C352" t="str">
            <v>LAMAR OPTICAL S.A.S</v>
          </cell>
          <cell r="D352" t="str">
            <v>00656006174</v>
          </cell>
          <cell r="E352">
            <v>44858</v>
          </cell>
          <cell r="F352">
            <v>12</v>
          </cell>
          <cell r="G352">
            <v>23</v>
          </cell>
          <cell r="H352">
            <v>1944444.44</v>
          </cell>
          <cell r="I352">
            <v>658971.1</v>
          </cell>
          <cell r="J352">
            <v>0</v>
          </cell>
          <cell r="K352">
            <v>238</v>
          </cell>
          <cell r="L352">
            <v>492019.33999999985</v>
          </cell>
          <cell r="M352">
            <v>1.9126308249999998E-2</v>
          </cell>
          <cell r="N352">
            <v>1.4120809269576208E-2</v>
          </cell>
          <cell r="O352">
            <v>-0.26170753472112374</v>
          </cell>
          <cell r="P352">
            <v>3095672.88</v>
          </cell>
          <cell r="Q352">
            <v>44722222.280000031</v>
          </cell>
          <cell r="R352" t="str">
            <v>OK</v>
          </cell>
          <cell r="S352">
            <v>5076000</v>
          </cell>
          <cell r="T352">
            <v>44888</v>
          </cell>
          <cell r="U352" t="str">
            <v>PAGADO</v>
          </cell>
        </row>
        <row r="353">
          <cell r="A353" t="str">
            <v>202211</v>
          </cell>
          <cell r="B353" t="str">
            <v>BANCO DE BOGOTÁ</v>
          </cell>
          <cell r="C353" t="str">
            <v>LAMAR OPTICAL S.A.S</v>
          </cell>
          <cell r="D353" t="str">
            <v>00656006174</v>
          </cell>
          <cell r="E353">
            <v>44889</v>
          </cell>
          <cell r="F353">
            <v>13</v>
          </cell>
          <cell r="G353">
            <v>22</v>
          </cell>
          <cell r="H353">
            <v>1944444.44</v>
          </cell>
          <cell r="I353">
            <v>661254.14</v>
          </cell>
          <cell r="J353">
            <v>0</v>
          </cell>
          <cell r="K353">
            <v>238</v>
          </cell>
          <cell r="L353">
            <v>0</v>
          </cell>
          <cell r="M353">
            <v>1.9126308249999998E-2</v>
          </cell>
          <cell r="N353">
            <v>1.4785806838040687E-2</v>
          </cell>
          <cell r="O353">
            <v>-0.2269387983935327</v>
          </cell>
          <cell r="P353">
            <v>2605936.58</v>
          </cell>
          <cell r="Q353">
            <v>42777777.840000033</v>
          </cell>
          <cell r="R353" t="str">
            <v>OK</v>
          </cell>
          <cell r="S353">
            <v>2650000</v>
          </cell>
          <cell r="T353">
            <v>44890</v>
          </cell>
          <cell r="U353" t="str">
            <v>PAGADO</v>
          </cell>
        </row>
        <row r="354">
          <cell r="A354" t="str">
            <v>202212</v>
          </cell>
          <cell r="B354" t="str">
            <v>BANCO DE BOGOTÁ</v>
          </cell>
          <cell r="C354" t="str">
            <v>LAMAR OPTICAL S.A.S</v>
          </cell>
          <cell r="D354" t="str">
            <v>00656006174</v>
          </cell>
          <cell r="E354">
            <v>44919</v>
          </cell>
          <cell r="F354">
            <v>14</v>
          </cell>
          <cell r="G354">
            <v>21</v>
          </cell>
          <cell r="H354">
            <v>1944444.44</v>
          </cell>
          <cell r="I354">
            <v>635056</v>
          </cell>
          <cell r="J354">
            <v>0</v>
          </cell>
          <cell r="K354">
            <v>238</v>
          </cell>
          <cell r="L354">
            <v>0</v>
          </cell>
          <cell r="M354">
            <v>1.9126308249999998E-2</v>
          </cell>
          <cell r="N354">
            <v>1.484546491347152E-2</v>
          </cell>
          <cell r="O354">
            <v>-0.22381963526748438</v>
          </cell>
          <cell r="P354">
            <v>2579738.44</v>
          </cell>
          <cell r="Q354">
            <v>40833333.400000036</v>
          </cell>
          <cell r="R354" t="str">
            <v>OK</v>
          </cell>
          <cell r="S354">
            <v>3150000</v>
          </cell>
          <cell r="T354">
            <v>44939</v>
          </cell>
          <cell r="U354" t="str">
            <v>PAGADO</v>
          </cell>
        </row>
        <row r="355">
          <cell r="A355" t="str">
            <v>20231</v>
          </cell>
          <cell r="B355" t="str">
            <v>BANCO DE BOGOTÁ</v>
          </cell>
          <cell r="C355" t="str">
            <v>LAMAR OPTICAL S.A.S</v>
          </cell>
          <cell r="D355" t="str">
            <v>00656006174</v>
          </cell>
          <cell r="E355">
            <v>44950</v>
          </cell>
          <cell r="F355">
            <v>15</v>
          </cell>
          <cell r="G355">
            <v>20</v>
          </cell>
          <cell r="H355">
            <v>1944444.44</v>
          </cell>
          <cell r="I355">
            <v>617027.55000000005</v>
          </cell>
          <cell r="J355">
            <v>0</v>
          </cell>
          <cell r="K355">
            <v>238</v>
          </cell>
          <cell r="L355">
            <v>0</v>
          </cell>
          <cell r="M355">
            <v>1.9126308249999998E-2</v>
          </cell>
          <cell r="N355">
            <v>1.5110878750839369E-2</v>
          </cell>
          <cell r="O355">
            <v>-0.20994273681438913</v>
          </cell>
          <cell r="P355">
            <v>2561709.9900000002</v>
          </cell>
          <cell r="Q355">
            <v>38888888.960000038</v>
          </cell>
          <cell r="R355" t="str">
            <v>OK</v>
          </cell>
          <cell r="S355">
            <v>2600000</v>
          </cell>
          <cell r="T355">
            <v>44952</v>
          </cell>
          <cell r="U355" t="str">
            <v>PAGADO</v>
          </cell>
        </row>
        <row r="356">
          <cell r="A356" t="str">
            <v>20232</v>
          </cell>
          <cell r="B356" t="str">
            <v>BANCO DE BOGOTÁ</v>
          </cell>
          <cell r="C356" t="str">
            <v>LAMAR OPTICAL S.A.S</v>
          </cell>
          <cell r="D356" t="str">
            <v>00656006174</v>
          </cell>
          <cell r="E356">
            <v>44981</v>
          </cell>
          <cell r="F356">
            <v>16</v>
          </cell>
          <cell r="G356">
            <v>19</v>
          </cell>
          <cell r="H356">
            <v>1944444.44</v>
          </cell>
          <cell r="I356">
            <v>634957.09</v>
          </cell>
          <cell r="J356">
            <v>0</v>
          </cell>
          <cell r="K356">
            <v>238</v>
          </cell>
          <cell r="L356">
            <v>0</v>
          </cell>
          <cell r="M356">
            <v>1.9126308249999998E-2</v>
          </cell>
          <cell r="N356">
            <v>1.632746799871547E-2</v>
          </cell>
          <cell r="O356">
            <v>-0.14633457825215845</v>
          </cell>
          <cell r="P356">
            <v>2579639.5299999998</v>
          </cell>
          <cell r="Q356">
            <v>36944444.520000041</v>
          </cell>
          <cell r="R356" t="str">
            <v>OK</v>
          </cell>
          <cell r="S356">
            <v>2900000</v>
          </cell>
          <cell r="T356">
            <v>45008</v>
          </cell>
          <cell r="U356" t="str">
            <v>PAGADO</v>
          </cell>
        </row>
        <row r="357">
          <cell r="A357" t="str">
            <v>20233</v>
          </cell>
          <cell r="B357" t="str">
            <v>BANCO DE BOGOTÁ</v>
          </cell>
          <cell r="C357" t="str">
            <v>LAMAR OPTICAL S.A.S</v>
          </cell>
          <cell r="D357" t="str">
            <v>00656006174</v>
          </cell>
          <cell r="E357">
            <v>45009</v>
          </cell>
          <cell r="F357">
            <v>17</v>
          </cell>
          <cell r="G357">
            <v>18</v>
          </cell>
          <cell r="H357">
            <v>1944444.44</v>
          </cell>
          <cell r="I357">
            <v>595450.79</v>
          </cell>
          <cell r="J357">
            <v>0</v>
          </cell>
          <cell r="K357">
            <v>238</v>
          </cell>
          <cell r="L357">
            <v>0</v>
          </cell>
          <cell r="M357">
            <v>1.9126308249999998E-2</v>
          </cell>
          <cell r="N357">
            <v>1.6117464959519153E-2</v>
          </cell>
          <cell r="O357">
            <v>-0.15731437824551664</v>
          </cell>
          <cell r="P357">
            <v>2540133.23</v>
          </cell>
          <cell r="Q357">
            <v>35000000.080000043</v>
          </cell>
          <cell r="R357" t="str">
            <v>OK</v>
          </cell>
          <cell r="S357">
            <v>2480000</v>
          </cell>
          <cell r="T357">
            <v>45029</v>
          </cell>
          <cell r="U357" t="str">
            <v>PAGADO</v>
          </cell>
        </row>
        <row r="358">
          <cell r="A358" t="str">
            <v>20234</v>
          </cell>
          <cell r="B358" t="str">
            <v>BANCO DE BOGOTÁ</v>
          </cell>
          <cell r="C358" t="str">
            <v>LAMAR OPTICAL S.A.S</v>
          </cell>
          <cell r="D358" t="str">
            <v>00656006174</v>
          </cell>
          <cell r="E358">
            <v>45040</v>
          </cell>
          <cell r="F358">
            <v>18</v>
          </cell>
          <cell r="G358">
            <v>17</v>
          </cell>
          <cell r="H358">
            <v>1944444.44</v>
          </cell>
          <cell r="I358">
            <v>570119.53</v>
          </cell>
          <cell r="J358">
            <v>0</v>
          </cell>
          <cell r="K358">
            <v>238</v>
          </cell>
          <cell r="L358">
            <v>60133.229999999981</v>
          </cell>
          <cell r="M358">
            <v>1.9126308249999998E-2</v>
          </cell>
          <cell r="N358">
            <v>1.6289129391339113E-2</v>
          </cell>
          <cell r="O358">
            <v>-0.14833907419958503</v>
          </cell>
          <cell r="P358">
            <v>2574935.1999999997</v>
          </cell>
          <cell r="Q358">
            <v>33055555.640000042</v>
          </cell>
          <cell r="R358" t="str">
            <v>OK</v>
          </cell>
          <cell r="S358">
            <v>2800000</v>
          </cell>
          <cell r="T358">
            <v>45065</v>
          </cell>
          <cell r="U358" t="str">
            <v>PAGADO</v>
          </cell>
        </row>
        <row r="359">
          <cell r="A359" t="str">
            <v>20235</v>
          </cell>
          <cell r="B359" t="str">
            <v>BANCO DE BOGOTÁ</v>
          </cell>
          <cell r="C359" t="str">
            <v>LAMAR OPTICAL S.A.S</v>
          </cell>
          <cell r="D359" t="str">
            <v>00656006174</v>
          </cell>
          <cell r="E359">
            <v>45070</v>
          </cell>
          <cell r="F359">
            <v>19</v>
          </cell>
          <cell r="G359">
            <v>16</v>
          </cell>
          <cell r="H359">
            <v>1944444.44</v>
          </cell>
          <cell r="I359">
            <v>539382.73</v>
          </cell>
          <cell r="J359">
            <v>0</v>
          </cell>
          <cell r="K359">
            <v>238</v>
          </cell>
          <cell r="L359">
            <v>0</v>
          </cell>
          <cell r="M359">
            <v>1.9126308249999998E-2</v>
          </cell>
          <cell r="N359">
            <v>1.6317460697810836E-2</v>
          </cell>
          <cell r="O359">
            <v>-0.1468578000246944</v>
          </cell>
          <cell r="P359">
            <v>2484065.17</v>
          </cell>
          <cell r="Q359">
            <v>31111111.20000004</v>
          </cell>
          <cell r="R359" t="str">
            <v>OK</v>
          </cell>
          <cell r="S359">
            <v>2500000</v>
          </cell>
          <cell r="T359">
            <v>45072</v>
          </cell>
          <cell r="U359" t="str">
            <v>PAGADO</v>
          </cell>
        </row>
        <row r="360">
          <cell r="A360" t="str">
            <v>20236</v>
          </cell>
          <cell r="B360" t="str">
            <v>BANCO DE BOGOTÁ</v>
          </cell>
          <cell r="C360" t="str">
            <v>LAMAR OPTICAL S.A.S</v>
          </cell>
          <cell r="D360" t="str">
            <v>00656006174</v>
          </cell>
          <cell r="E360">
            <v>45101</v>
          </cell>
          <cell r="F360">
            <v>20</v>
          </cell>
          <cell r="G360">
            <v>15</v>
          </cell>
          <cell r="H360">
            <v>1944444.44</v>
          </cell>
          <cell r="I360">
            <v>503375.63</v>
          </cell>
          <cell r="J360">
            <v>0</v>
          </cell>
          <cell r="K360">
            <v>238</v>
          </cell>
          <cell r="L360">
            <v>0</v>
          </cell>
          <cell r="M360">
            <v>1.9126308249999998E-2</v>
          </cell>
          <cell r="N360">
            <v>1.617993091805732E-2</v>
          </cell>
          <cell r="O360">
            <v>-0.15404840774448347</v>
          </cell>
          <cell r="P360">
            <v>2448058.0699999998</v>
          </cell>
          <cell r="Q360">
            <v>29166666.760000039</v>
          </cell>
          <cell r="R360" t="str">
            <v>OK</v>
          </cell>
          <cell r="S360">
            <v>2830000</v>
          </cell>
          <cell r="T360">
            <v>45131</v>
          </cell>
          <cell r="U360" t="str">
            <v>PAGADO</v>
          </cell>
        </row>
        <row r="361">
          <cell r="A361" t="str">
            <v>20237</v>
          </cell>
          <cell r="B361" t="str">
            <v>BANCO DE BOGOTÁ</v>
          </cell>
          <cell r="C361" t="str">
            <v>LAMAR OPTICAL S.A.S</v>
          </cell>
          <cell r="D361" t="str">
            <v>00656006174</v>
          </cell>
          <cell r="E361">
            <v>45131</v>
          </cell>
          <cell r="F361">
            <v>21</v>
          </cell>
          <cell r="G361">
            <v>14</v>
          </cell>
          <cell r="H361">
            <v>1944444.44</v>
          </cell>
          <cell r="I361">
            <v>480835.39</v>
          </cell>
          <cell r="J361">
            <v>0</v>
          </cell>
          <cell r="K361">
            <v>238</v>
          </cell>
          <cell r="L361">
            <v>0</v>
          </cell>
          <cell r="M361">
            <v>1.9126308249999998E-2</v>
          </cell>
          <cell r="N361">
            <v>1.6485784747245467E-2</v>
          </cell>
          <cell r="O361">
            <v>-0.13805714454876739</v>
          </cell>
          <cell r="P361">
            <v>2425517.83</v>
          </cell>
          <cell r="Q361">
            <v>27222222.320000038</v>
          </cell>
          <cell r="R361" t="str">
            <v>OK</v>
          </cell>
          <cell r="S361">
            <v>2720000</v>
          </cell>
          <cell r="T361">
            <v>45161</v>
          </cell>
          <cell r="U361" t="str">
            <v>PAGADO</v>
          </cell>
        </row>
        <row r="362">
          <cell r="A362" t="str">
            <v>20238</v>
          </cell>
          <cell r="B362" t="str">
            <v>BANCO DE BOGOTÁ</v>
          </cell>
          <cell r="C362" t="str">
            <v>LAMAR OPTICAL S.A.S</v>
          </cell>
          <cell r="D362" t="str">
            <v>00656006174</v>
          </cell>
          <cell r="E362">
            <v>45162</v>
          </cell>
          <cell r="F362">
            <v>22</v>
          </cell>
          <cell r="G362">
            <v>13</v>
          </cell>
          <cell r="H362">
            <v>1944444.44</v>
          </cell>
          <cell r="I362">
            <v>436808.17</v>
          </cell>
          <cell r="J362">
            <v>0</v>
          </cell>
          <cell r="K362">
            <v>238</v>
          </cell>
          <cell r="L362">
            <v>0</v>
          </cell>
          <cell r="M362">
            <v>1.9126308249999998E-2</v>
          </cell>
          <cell r="N362">
            <v>1.6046014350528579E-2</v>
          </cell>
          <cell r="O362">
            <v>-0.1610501022575237</v>
          </cell>
          <cell r="P362">
            <v>2381490.61</v>
          </cell>
          <cell r="Q362">
            <v>25277777.880000036</v>
          </cell>
          <cell r="R362" t="str">
            <v>OK</v>
          </cell>
          <cell r="S362">
            <v>2800000</v>
          </cell>
          <cell r="T362">
            <v>45190</v>
          </cell>
          <cell r="U362" t="str">
            <v>PAGADO</v>
          </cell>
        </row>
        <row r="363">
          <cell r="A363" t="str">
            <v>20239</v>
          </cell>
          <cell r="B363" t="str">
            <v>BANCO DE BOGOTÁ</v>
          </cell>
          <cell r="C363" t="str">
            <v>LAMAR OPTICAL S.A.S</v>
          </cell>
          <cell r="D363" t="str">
            <v>00656006174</v>
          </cell>
          <cell r="E363">
            <v>45193</v>
          </cell>
          <cell r="F363">
            <v>23</v>
          </cell>
          <cell r="G363">
            <v>12</v>
          </cell>
          <cell r="H363">
            <v>1944444.44</v>
          </cell>
          <cell r="I363">
            <v>416808.17</v>
          </cell>
          <cell r="J363">
            <v>0</v>
          </cell>
          <cell r="K363">
            <v>238</v>
          </cell>
          <cell r="L363">
            <v>0</v>
          </cell>
          <cell r="M363">
            <v>1.9126308249999998E-2</v>
          </cell>
          <cell r="N363">
            <v>1.6489114350901141E-2</v>
          </cell>
          <cell r="O363">
            <v>-0.1378830595339201</v>
          </cell>
          <cell r="P363">
            <v>2361490.61</v>
          </cell>
          <cell r="Q363">
            <v>23333333.440000035</v>
          </cell>
          <cell r="R363" t="str">
            <v>OK</v>
          </cell>
          <cell r="S363">
            <v>2250000</v>
          </cell>
          <cell r="T363">
            <v>45203</v>
          </cell>
          <cell r="U363" t="str">
            <v>PAGADO</v>
          </cell>
        </row>
        <row r="364">
          <cell r="A364" t="str">
            <v>202310</v>
          </cell>
          <cell r="B364" t="str">
            <v>BANCO DE BOGOTÁ</v>
          </cell>
          <cell r="C364" t="str">
            <v>LAMAR OPTICAL S.A.S</v>
          </cell>
          <cell r="D364" t="str">
            <v>00656006174</v>
          </cell>
          <cell r="E364">
            <v>45223</v>
          </cell>
          <cell r="F364">
            <v>24</v>
          </cell>
          <cell r="G364">
            <v>11</v>
          </cell>
          <cell r="H364">
            <v>1944444.44</v>
          </cell>
          <cell r="I364">
            <v>384376.46</v>
          </cell>
          <cell r="J364">
            <v>0</v>
          </cell>
          <cell r="K364">
            <v>1345238</v>
          </cell>
          <cell r="L364">
            <v>0</v>
          </cell>
          <cell r="M364">
            <v>1.9126308249999998E-2</v>
          </cell>
          <cell r="N364">
            <v>1.6473276781836424E-2</v>
          </cell>
          <cell r="O364">
            <v>-0.13871111107725531</v>
          </cell>
          <cell r="P364">
            <v>3674058.9</v>
          </cell>
          <cell r="Q364">
            <v>21388889.000000034</v>
          </cell>
          <cell r="R364" t="str">
            <v>OK</v>
          </cell>
          <cell r="S364">
            <v>3800000</v>
          </cell>
          <cell r="T364">
            <v>45253</v>
          </cell>
          <cell r="U364" t="str">
            <v>PAGADO</v>
          </cell>
        </row>
        <row r="365">
          <cell r="A365" t="str">
            <v>202311</v>
          </cell>
          <cell r="B365" t="str">
            <v>BANCO DE BOGOTÁ</v>
          </cell>
          <cell r="C365" t="str">
            <v>LAMAR OPTICAL S.A.S</v>
          </cell>
          <cell r="D365" t="str">
            <v>00656006174</v>
          </cell>
          <cell r="E365">
            <v>45254</v>
          </cell>
          <cell r="F365">
            <v>25</v>
          </cell>
          <cell r="G365">
            <v>10</v>
          </cell>
          <cell r="H365">
            <v>1944444.44</v>
          </cell>
          <cell r="I365">
            <v>250068.30849531724</v>
          </cell>
          <cell r="J365">
            <v>0</v>
          </cell>
          <cell r="K365">
            <v>238</v>
          </cell>
          <cell r="L365">
            <v>0</v>
          </cell>
          <cell r="M365">
            <v>1.9126308249999998E-2</v>
          </cell>
          <cell r="N365">
            <v>1.1691505271513487E-2</v>
          </cell>
          <cell r="O365">
            <v>-0.38872127758824093</v>
          </cell>
          <cell r="P365">
            <v>2194750.7484953171</v>
          </cell>
          <cell r="Q365">
            <v>19444444.560000032</v>
          </cell>
          <cell r="R365" t="str">
            <v>OK</v>
          </cell>
          <cell r="S365">
            <v>2561000</v>
          </cell>
          <cell r="T365">
            <v>45286</v>
          </cell>
          <cell r="U365" t="str">
            <v>PAGADO</v>
          </cell>
        </row>
        <row r="366">
          <cell r="A366" t="str">
            <v>202312</v>
          </cell>
          <cell r="B366" t="str">
            <v>BANCO DE BOGOTÁ</v>
          </cell>
          <cell r="C366" t="str">
            <v>LAMAR OPTICAL S.A.S</v>
          </cell>
          <cell r="D366" t="str">
            <v>00656006174</v>
          </cell>
          <cell r="E366">
            <v>45284</v>
          </cell>
          <cell r="F366">
            <v>26</v>
          </cell>
          <cell r="G366">
            <v>9</v>
          </cell>
          <cell r="H366">
            <v>1944444.44</v>
          </cell>
          <cell r="I366">
            <v>231457.22056060206</v>
          </cell>
          <cell r="J366">
            <v>0</v>
          </cell>
          <cell r="K366">
            <v>238</v>
          </cell>
          <cell r="L366">
            <v>0</v>
          </cell>
          <cell r="M366">
            <v>1.9126308249999998E-2</v>
          </cell>
          <cell r="N366">
            <v>1.1903514129518631E-2</v>
          </cell>
          <cell r="O366">
            <v>-0.37763660535385168</v>
          </cell>
          <cell r="P366">
            <v>2176139.6605606019</v>
          </cell>
          <cell r="Q366">
            <v>17500000.120000031</v>
          </cell>
          <cell r="R366" t="str">
            <v>OK</v>
          </cell>
          <cell r="S366">
            <v>3000000</v>
          </cell>
          <cell r="T366">
            <v>45314</v>
          </cell>
          <cell r="U366" t="str">
            <v>PAGADO</v>
          </cell>
        </row>
        <row r="367">
          <cell r="A367" t="str">
            <v>20241</v>
          </cell>
          <cell r="B367" t="str">
            <v>BANCO DE BOGOTÁ</v>
          </cell>
          <cell r="C367" t="str">
            <v>LAMAR OPTICAL S.A.S</v>
          </cell>
          <cell r="D367" t="str">
            <v>00656006174</v>
          </cell>
          <cell r="E367">
            <v>45315</v>
          </cell>
          <cell r="F367">
            <v>27</v>
          </cell>
          <cell r="G367">
            <v>8</v>
          </cell>
          <cell r="H367">
            <v>1944444.44</v>
          </cell>
          <cell r="I367">
            <v>204005.48039642026</v>
          </cell>
          <cell r="J367">
            <v>0</v>
          </cell>
          <cell r="K367">
            <v>238</v>
          </cell>
          <cell r="L367">
            <v>0</v>
          </cell>
          <cell r="M367">
            <v>1.9126308249999998E-2</v>
          </cell>
          <cell r="N367">
            <v>1.1657455942715726E-2</v>
          </cell>
          <cell r="O367">
            <v>-0.39050151287215995</v>
          </cell>
          <cell r="P367">
            <v>2148687.9203964202</v>
          </cell>
          <cell r="Q367">
            <v>15555555.680000031</v>
          </cell>
          <cell r="R367" t="str">
            <v>OK</v>
          </cell>
          <cell r="S367">
            <v>2050000</v>
          </cell>
          <cell r="T367">
            <v>45345</v>
          </cell>
          <cell r="U367" t="str">
            <v>PAGADO</v>
          </cell>
        </row>
        <row r="368">
          <cell r="A368" t="str">
            <v>20242</v>
          </cell>
          <cell r="B368" t="str">
            <v>BANCO DE BOGOTÁ</v>
          </cell>
          <cell r="C368" t="str">
            <v>LAMAR OPTICAL S.A.S</v>
          </cell>
          <cell r="D368" t="str">
            <v>00656006174</v>
          </cell>
          <cell r="E368">
            <v>45346</v>
          </cell>
          <cell r="F368">
            <v>28</v>
          </cell>
          <cell r="G368">
            <v>7</v>
          </cell>
          <cell r="H368">
            <v>1944444.44</v>
          </cell>
          <cell r="I368">
            <v>184101.03831585619</v>
          </cell>
          <cell r="J368">
            <v>0</v>
          </cell>
          <cell r="K368">
            <v>238</v>
          </cell>
          <cell r="L368">
            <v>98687.920396420173</v>
          </cell>
          <cell r="M368">
            <v>1.9126308249999998E-2</v>
          </cell>
          <cell r="N368">
            <v>1.1835066654195913E-2</v>
          </cell>
          <cell r="O368">
            <v>-0.38121531350955229</v>
          </cell>
          <cell r="P368">
            <v>2227471.3987122765</v>
          </cell>
          <cell r="Q368">
            <v>13611111.240000032</v>
          </cell>
          <cell r="R368" t="str">
            <v>OK</v>
          </cell>
          <cell r="S368">
            <v>2480000</v>
          </cell>
          <cell r="T368">
            <v>45377</v>
          </cell>
          <cell r="U368" t="str">
            <v>PAGADO</v>
          </cell>
        </row>
        <row r="369">
          <cell r="A369" t="str">
            <v>20243</v>
          </cell>
          <cell r="B369" t="str">
            <v>BANCO DE BOGOTÁ</v>
          </cell>
          <cell r="C369" t="str">
            <v>LAMAR OPTICAL S.A.S</v>
          </cell>
          <cell r="D369" t="str">
            <v>00656006174</v>
          </cell>
          <cell r="E369">
            <v>45375</v>
          </cell>
          <cell r="F369">
            <v>29</v>
          </cell>
          <cell r="G369">
            <v>6</v>
          </cell>
          <cell r="H369">
            <v>1944444.44</v>
          </cell>
          <cell r="I369">
            <v>163937.64519644398</v>
          </cell>
          <cell r="J369">
            <v>0</v>
          </cell>
          <cell r="K369">
            <v>238</v>
          </cell>
          <cell r="L369">
            <v>0</v>
          </cell>
          <cell r="M369">
            <v>1.9126308249999998E-2</v>
          </cell>
          <cell r="N369">
            <v>1.2044398308542778E-2</v>
          </cell>
          <cell r="O369">
            <v>-0.370270616205154</v>
          </cell>
          <cell r="P369">
            <v>2108620.0851964438</v>
          </cell>
          <cell r="Q369">
            <v>11666666.800000032</v>
          </cell>
          <cell r="R369" t="str">
            <v>OK</v>
          </cell>
          <cell r="S369">
            <v>2183000</v>
          </cell>
          <cell r="T369">
            <v>45408</v>
          </cell>
          <cell r="U369" t="str">
            <v>PAGADO</v>
          </cell>
        </row>
        <row r="370">
          <cell r="A370" t="str">
            <v>20244</v>
          </cell>
          <cell r="B370" t="str">
            <v>BANCO DE BOGOTÁ</v>
          </cell>
          <cell r="C370" t="str">
            <v>LAMAR OPTICAL S.A.S</v>
          </cell>
          <cell r="D370" t="str">
            <v>00656006174</v>
          </cell>
          <cell r="E370">
            <v>45406</v>
          </cell>
          <cell r="F370">
            <v>30</v>
          </cell>
          <cell r="G370">
            <v>5</v>
          </cell>
          <cell r="H370">
            <v>1944444.44</v>
          </cell>
          <cell r="I370">
            <v>143582.23786920638</v>
          </cell>
          <cell r="J370">
            <v>0</v>
          </cell>
          <cell r="K370">
            <v>238</v>
          </cell>
          <cell r="L370">
            <v>0</v>
          </cell>
          <cell r="M370">
            <v>1.9126308249999998E-2</v>
          </cell>
          <cell r="N370">
            <v>1.230704881956567E-2</v>
          </cell>
          <cell r="O370">
            <v>-0.35653819552104782</v>
          </cell>
          <cell r="P370">
            <v>2088264.6778692063</v>
          </cell>
          <cell r="Q370">
            <v>9722222.3600000329</v>
          </cell>
          <cell r="R370" t="str">
            <v>OK</v>
          </cell>
          <cell r="S370">
            <v>2500000</v>
          </cell>
          <cell r="T370">
            <v>45439</v>
          </cell>
          <cell r="U370" t="str">
            <v>PAGADO</v>
          </cell>
        </row>
        <row r="371">
          <cell r="A371" t="str">
            <v>20245</v>
          </cell>
          <cell r="B371" t="str">
            <v>BANCO DE BOGOTÁ</v>
          </cell>
          <cell r="C371" t="str">
            <v>LAMAR OPTICAL S.A.S</v>
          </cell>
          <cell r="D371" t="str">
            <v>00656006174</v>
          </cell>
          <cell r="E371">
            <v>45436</v>
          </cell>
          <cell r="F371">
            <v>31</v>
          </cell>
          <cell r="G371">
            <v>4</v>
          </cell>
          <cell r="H371">
            <v>1944444.44</v>
          </cell>
          <cell r="I371">
            <v>123117.70769805503</v>
          </cell>
          <cell r="J371">
            <v>0</v>
          </cell>
          <cell r="K371">
            <v>238</v>
          </cell>
          <cell r="L371">
            <v>0</v>
          </cell>
          <cell r="M371">
            <v>1.9126308249999998E-2</v>
          </cell>
          <cell r="N371">
            <v>1.2663535469482371E-2</v>
          </cell>
          <cell r="O371">
            <v>-0.33789964566306863</v>
          </cell>
          <cell r="P371">
            <v>2067800.147698055</v>
          </cell>
          <cell r="Q371">
            <v>7777777.9200000335</v>
          </cell>
          <cell r="R371" t="str">
            <v>OK</v>
          </cell>
          <cell r="S371">
            <v>2400000</v>
          </cell>
          <cell r="T371">
            <v>45456</v>
          </cell>
          <cell r="U371" t="str">
            <v>PAGADO</v>
          </cell>
        </row>
        <row r="372">
          <cell r="A372" t="str">
            <v>20246</v>
          </cell>
          <cell r="B372" t="str">
            <v>BANCO DE BOGOTÁ</v>
          </cell>
          <cell r="C372" t="str">
            <v>LAMAR OPTICAL S.A.S</v>
          </cell>
          <cell r="D372" t="str">
            <v>00656006174</v>
          </cell>
          <cell r="E372">
            <v>45467</v>
          </cell>
          <cell r="F372">
            <v>32</v>
          </cell>
          <cell r="G372">
            <v>3</v>
          </cell>
          <cell r="H372">
            <v>1944444.44</v>
          </cell>
          <cell r="I372">
            <v>102607.16371657977</v>
          </cell>
          <cell r="J372">
            <v>0</v>
          </cell>
          <cell r="K372">
            <v>238</v>
          </cell>
          <cell r="L372">
            <v>0</v>
          </cell>
          <cell r="M372">
            <v>1.9126308249999998E-2</v>
          </cell>
          <cell r="N372">
            <v>1.3192349379471526E-2</v>
          </cell>
          <cell r="O372">
            <v>-0.31025113644335789</v>
          </cell>
          <cell r="P372">
            <v>2047289.6037165797</v>
          </cell>
          <cell r="Q372">
            <v>5833333.480000034</v>
          </cell>
          <cell r="R372" t="str">
            <v>OK</v>
          </cell>
          <cell r="S372">
            <v>1800000</v>
          </cell>
          <cell r="T372">
            <v>45461</v>
          </cell>
          <cell r="U372" t="str">
            <v>PAGADO</v>
          </cell>
        </row>
        <row r="373">
          <cell r="A373" t="str">
            <v>20247</v>
          </cell>
          <cell r="B373" t="str">
            <v>BANCO DE BOGOTÁ</v>
          </cell>
          <cell r="C373" t="str">
            <v>LAMAR OPTICAL S.A.S</v>
          </cell>
          <cell r="D373" t="str">
            <v>00656006174</v>
          </cell>
          <cell r="E373">
            <v>45497</v>
          </cell>
          <cell r="F373">
            <v>33</v>
          </cell>
          <cell r="G373">
            <v>2</v>
          </cell>
          <cell r="H373">
            <v>1944444.44</v>
          </cell>
          <cell r="I373">
            <v>82115.612197758397</v>
          </cell>
          <cell r="J373">
            <v>0</v>
          </cell>
          <cell r="K373">
            <v>238</v>
          </cell>
          <cell r="L373">
            <v>247289.60371657973</v>
          </cell>
          <cell r="M373">
            <v>1.9126308249999998E-2</v>
          </cell>
          <cell r="N373">
            <v>1.4076961737109176E-2</v>
          </cell>
          <cell r="O373">
            <v>-0.26400005933663762</v>
          </cell>
          <cell r="P373">
            <v>2274087.6559143383</v>
          </cell>
          <cell r="Q373">
            <v>3888889.040000034</v>
          </cell>
          <cell r="R373" t="str">
            <v>OK</v>
          </cell>
          <cell r="S373">
            <v>2274087.6559143383</v>
          </cell>
          <cell r="T373">
            <v>45514</v>
          </cell>
          <cell r="U373" t="str">
            <v>PAGADO</v>
          </cell>
        </row>
        <row r="374">
          <cell r="A374" t="str">
            <v>20248</v>
          </cell>
          <cell r="B374" t="str">
            <v>BANCO DE BOGOTÁ</v>
          </cell>
          <cell r="C374" t="str">
            <v>LAMAR OPTICAL S.A.S</v>
          </cell>
          <cell r="D374" t="str">
            <v>00656006174</v>
          </cell>
          <cell r="E374">
            <v>45528</v>
          </cell>
          <cell r="F374">
            <v>34</v>
          </cell>
          <cell r="G374">
            <v>1</v>
          </cell>
          <cell r="H374">
            <v>1944444.44</v>
          </cell>
          <cell r="I374">
            <v>61868.797620632235</v>
          </cell>
          <cell r="J374">
            <v>0</v>
          </cell>
          <cell r="K374">
            <v>238</v>
          </cell>
          <cell r="L374">
            <v>0</v>
          </cell>
          <cell r="M374">
            <v>1.9126308249999998E-2</v>
          </cell>
          <cell r="N374">
            <v>1.5909118769979535E-2</v>
          </cell>
          <cell r="O374">
            <v>-0.16820755150280842</v>
          </cell>
          <cell r="P374">
            <v>2006551.2376206322</v>
          </cell>
          <cell r="Q374">
            <v>1944444.6000000341</v>
          </cell>
          <cell r="R374" t="str">
            <v>OK</v>
          </cell>
          <cell r="S374">
            <v>1725912.3440856617</v>
          </cell>
          <cell r="T374">
            <v>45514</v>
          </cell>
          <cell r="U374" t="str">
            <v>PAGADO</v>
          </cell>
        </row>
        <row r="375">
          <cell r="A375" t="str">
            <v>20249</v>
          </cell>
          <cell r="B375" t="str">
            <v>BANCO DE BOGOTÁ</v>
          </cell>
          <cell r="C375" t="str">
            <v>LAMAR OPTICAL S.A.S</v>
          </cell>
          <cell r="D375" t="str">
            <v>00656006174</v>
          </cell>
          <cell r="E375">
            <v>45559</v>
          </cell>
          <cell r="F375">
            <v>35</v>
          </cell>
          <cell r="G375">
            <v>0</v>
          </cell>
          <cell r="H375">
            <v>1944444.44</v>
          </cell>
          <cell r="I375">
            <v>82115.612197758397</v>
          </cell>
          <cell r="J375">
            <v>0</v>
          </cell>
          <cell r="K375">
            <v>238</v>
          </cell>
          <cell r="L375">
            <v>280638.89353497047</v>
          </cell>
          <cell r="M375">
            <v>1.9126308249999998E-2</v>
          </cell>
          <cell r="N375">
            <v>1.1100000000000001</v>
          </cell>
          <cell r="O375">
            <v>57.03524577201145</v>
          </cell>
          <cell r="P375">
            <v>2307436.9457327286</v>
          </cell>
          <cell r="Q375">
            <v>0.16000003414228559</v>
          </cell>
          <cell r="R375">
            <v>-22</v>
          </cell>
          <cell r="U375" t="str">
            <v>PENDIENTE</v>
          </cell>
        </row>
        <row r="376">
          <cell r="A376" t="str">
            <v>202110</v>
          </cell>
          <cell r="B376" t="str">
            <v>SERFINANZAS</v>
          </cell>
          <cell r="C376" t="str">
            <v>LAMAR OPTICAL S.A.S</v>
          </cell>
          <cell r="D376" t="str">
            <v>111000149294</v>
          </cell>
          <cell r="E376">
            <v>44481</v>
          </cell>
          <cell r="F376">
            <v>0</v>
          </cell>
          <cell r="G376">
            <v>36</v>
          </cell>
          <cell r="H376">
            <v>0</v>
          </cell>
          <cell r="I376">
            <v>0</v>
          </cell>
          <cell r="J376">
            <v>0</v>
          </cell>
          <cell r="K376">
            <v>0</v>
          </cell>
          <cell r="L376">
            <v>0</v>
          </cell>
          <cell r="M376">
            <v>1.0196107500000001E-2</v>
          </cell>
          <cell r="N376">
            <v>0</v>
          </cell>
          <cell r="O376">
            <v>-1</v>
          </cell>
          <cell r="P376">
            <v>0</v>
          </cell>
          <cell r="Q376">
            <v>200000000</v>
          </cell>
          <cell r="R376" t="str">
            <v>OK</v>
          </cell>
          <cell r="S376">
            <v>0</v>
          </cell>
          <cell r="T376">
            <v>44677</v>
          </cell>
          <cell r="U376" t="str">
            <v>PAGADO</v>
          </cell>
        </row>
        <row r="377">
          <cell r="A377" t="str">
            <v>202111</v>
          </cell>
          <cell r="B377" t="str">
            <v>SERFINANZAS</v>
          </cell>
          <cell r="C377" t="str">
            <v>LAMAR OPTICAL S.A.S</v>
          </cell>
          <cell r="D377" t="str">
            <v>111000149294</v>
          </cell>
          <cell r="E377">
            <v>44512</v>
          </cell>
          <cell r="F377">
            <v>1</v>
          </cell>
          <cell r="G377">
            <v>35</v>
          </cell>
          <cell r="H377">
            <v>4626142.43</v>
          </cell>
          <cell r="I377">
            <v>2039221.5</v>
          </cell>
          <cell r="J377">
            <v>0</v>
          </cell>
          <cell r="K377">
            <v>641667</v>
          </cell>
          <cell r="L377">
            <v>0</v>
          </cell>
          <cell r="M377">
            <v>1.0196107500000001E-2</v>
          </cell>
          <cell r="N377">
            <v>1.0196107500000001E-2</v>
          </cell>
          <cell r="O377">
            <v>0</v>
          </cell>
          <cell r="P377">
            <v>7307030.9299999997</v>
          </cell>
          <cell r="Q377">
            <v>195373857.56999999</v>
          </cell>
          <cell r="R377" t="str">
            <v>OK</v>
          </cell>
          <cell r="S377">
            <v>7318726.2400000002</v>
          </cell>
          <cell r="T377">
            <v>44514</v>
          </cell>
          <cell r="U377" t="str">
            <v>PAGADO</v>
          </cell>
        </row>
        <row r="378">
          <cell r="A378" t="str">
            <v>202112</v>
          </cell>
          <cell r="B378" t="str">
            <v>SERFINANZAS</v>
          </cell>
          <cell r="C378" t="str">
            <v>LAMAR OPTICAL S.A.S</v>
          </cell>
          <cell r="D378" t="str">
            <v>111000149294</v>
          </cell>
          <cell r="E378">
            <v>44542</v>
          </cell>
          <cell r="F378">
            <v>2</v>
          </cell>
          <cell r="G378">
            <v>34</v>
          </cell>
          <cell r="H378">
            <v>4647295.04</v>
          </cell>
          <cell r="I378">
            <v>2053109.46</v>
          </cell>
          <cell r="J378">
            <v>0</v>
          </cell>
          <cell r="K378">
            <v>641667</v>
          </cell>
          <cell r="L378">
            <v>0</v>
          </cell>
          <cell r="M378">
            <v>1.0196107500000001E-2</v>
          </cell>
          <cell r="N378">
            <v>1.0508619144526011E-2</v>
          </cell>
          <cell r="O378">
            <v>3.0650093138583578E-2</v>
          </cell>
          <cell r="P378">
            <v>7342071.5</v>
          </cell>
          <cell r="Q378">
            <v>190726562.53</v>
          </cell>
          <cell r="R378" t="str">
            <v>OK</v>
          </cell>
          <cell r="S378">
            <v>7342071.5</v>
          </cell>
          <cell r="T378">
            <v>44543</v>
          </cell>
          <cell r="U378" t="str">
            <v>PAGADO</v>
          </cell>
        </row>
        <row r="379">
          <cell r="A379" t="str">
            <v>20221</v>
          </cell>
          <cell r="B379" t="str">
            <v>SERFINANZAS</v>
          </cell>
          <cell r="C379" t="str">
            <v>LAMAR OPTICAL S.A.S</v>
          </cell>
          <cell r="D379" t="str">
            <v>111000149294</v>
          </cell>
          <cell r="E379">
            <v>44573</v>
          </cell>
          <cell r="F379">
            <v>3</v>
          </cell>
          <cell r="G379">
            <v>33</v>
          </cell>
          <cell r="H379">
            <v>4674447.5999999996</v>
          </cell>
          <cell r="I379">
            <v>2055201.41</v>
          </cell>
          <cell r="J379">
            <v>0</v>
          </cell>
          <cell r="K379">
            <v>641667</v>
          </cell>
          <cell r="L379">
            <v>0</v>
          </cell>
          <cell r="M379">
            <v>1.0196107500000001E-2</v>
          </cell>
          <cell r="N379">
            <v>1.0775643322763344E-2</v>
          </cell>
          <cell r="O379">
            <v>5.6838928263883259E-2</v>
          </cell>
          <cell r="P379">
            <v>7371316.0099999998</v>
          </cell>
          <cell r="Q379">
            <v>186052114.93000001</v>
          </cell>
          <cell r="R379" t="str">
            <v>OK</v>
          </cell>
          <cell r="S379">
            <v>7371316.0099999998</v>
          </cell>
          <cell r="T379">
            <v>44573</v>
          </cell>
          <cell r="U379" t="str">
            <v>PAGADO</v>
          </cell>
        </row>
        <row r="380">
          <cell r="A380" t="str">
            <v>20222</v>
          </cell>
          <cell r="B380" t="str">
            <v>SERFINANZAS</v>
          </cell>
          <cell r="C380" t="str">
            <v>LAMAR OPTICAL S.A.S</v>
          </cell>
          <cell r="D380" t="str">
            <v>111000149294</v>
          </cell>
          <cell r="E380">
            <v>44604</v>
          </cell>
          <cell r="F380">
            <v>4</v>
          </cell>
          <cell r="G380">
            <v>32</v>
          </cell>
          <cell r="H380">
            <v>4695568.72</v>
          </cell>
          <cell r="I380">
            <v>2073592.99</v>
          </cell>
          <cell r="J380">
            <v>0</v>
          </cell>
          <cell r="K380">
            <v>641667</v>
          </cell>
          <cell r="L380">
            <v>0</v>
          </cell>
          <cell r="M380">
            <v>1.0196107500000001E-2</v>
          </cell>
          <cell r="N380">
            <v>1.114522665211393E-2</v>
          </cell>
          <cell r="O380">
            <v>9.308642068690709E-2</v>
          </cell>
          <cell r="P380">
            <v>7410828.71</v>
          </cell>
          <cell r="Q380">
            <v>181356546.21000001</v>
          </cell>
          <cell r="R380" t="str">
            <v>OK</v>
          </cell>
          <cell r="S380">
            <v>7420199.1100000003</v>
          </cell>
          <cell r="T380">
            <v>44607</v>
          </cell>
          <cell r="U380" t="str">
            <v>PAGADO</v>
          </cell>
        </row>
        <row r="381">
          <cell r="A381" t="str">
            <v>20223</v>
          </cell>
          <cell r="B381" t="str">
            <v>SERFINANZAS</v>
          </cell>
          <cell r="C381" t="str">
            <v>LAMAR OPTICAL S.A.S</v>
          </cell>
          <cell r="D381" t="str">
            <v>111000149294</v>
          </cell>
          <cell r="E381">
            <v>44632</v>
          </cell>
          <cell r="F381">
            <v>5</v>
          </cell>
          <cell r="G381">
            <v>31</v>
          </cell>
          <cell r="H381">
            <v>4722934.8</v>
          </cell>
          <cell r="I381">
            <v>2080020.99</v>
          </cell>
          <cell r="J381">
            <v>0</v>
          </cell>
          <cell r="K381">
            <v>641667</v>
          </cell>
          <cell r="L381">
            <v>0</v>
          </cell>
          <cell r="M381">
            <v>1.0196107500000001E-2</v>
          </cell>
          <cell r="N381">
            <v>1.1469235787008539E-2</v>
          </cell>
          <cell r="O381">
            <v>0.1248641490891047</v>
          </cell>
          <cell r="P381">
            <v>7444622.79</v>
          </cell>
          <cell r="Q381">
            <v>176633611.41</v>
          </cell>
          <cell r="R381" t="str">
            <v>OK</v>
          </cell>
          <cell r="S381">
            <v>7463601.4800000004</v>
          </cell>
          <cell r="T381">
            <v>45002</v>
          </cell>
          <cell r="U381" t="str">
            <v>PAGADO</v>
          </cell>
        </row>
        <row r="382">
          <cell r="A382" t="str">
            <v>20224</v>
          </cell>
          <cell r="B382" t="str">
            <v>SERFINANZAS</v>
          </cell>
          <cell r="C382" t="str">
            <v>LAMAR OPTICAL S.A.S</v>
          </cell>
          <cell r="D382" t="str">
            <v>111000149294</v>
          </cell>
          <cell r="E382">
            <v>44663</v>
          </cell>
          <cell r="F382">
            <v>6</v>
          </cell>
          <cell r="G382">
            <v>30</v>
          </cell>
          <cell r="H382">
            <v>4715809.6100000003</v>
          </cell>
          <cell r="I382">
            <v>2170627.7799999998</v>
          </cell>
          <cell r="J382">
            <v>0</v>
          </cell>
          <cell r="K382">
            <v>641667</v>
          </cell>
          <cell r="L382">
            <v>0</v>
          </cell>
          <cell r="M382">
            <v>1.0196107500000001E-2</v>
          </cell>
          <cell r="N382">
            <v>1.2288871651735424E-2</v>
          </cell>
          <cell r="O382">
            <v>0.20525128356438205</v>
          </cell>
          <cell r="P382">
            <v>7528104.3900000006</v>
          </cell>
          <cell r="Q382">
            <v>171917801.79999998</v>
          </cell>
          <cell r="R382" t="str">
            <v>OK</v>
          </cell>
          <cell r="S382">
            <v>7580000</v>
          </cell>
          <cell r="T382">
            <v>44677</v>
          </cell>
          <cell r="U382" t="str">
            <v>PAGADO</v>
          </cell>
        </row>
        <row r="383">
          <cell r="A383" t="str">
            <v>20225</v>
          </cell>
          <cell r="B383" t="str">
            <v>SERFINANZAS</v>
          </cell>
          <cell r="C383" t="str">
            <v>LAMAR OPTICAL S.A.S</v>
          </cell>
          <cell r="D383" t="str">
            <v>111000149294</v>
          </cell>
          <cell r="E383">
            <v>44693</v>
          </cell>
          <cell r="F383">
            <v>7</v>
          </cell>
          <cell r="G383">
            <v>29</v>
          </cell>
          <cell r="H383">
            <v>4748870.1500000004</v>
          </cell>
          <cell r="I383">
            <v>2202602.42</v>
          </cell>
          <cell r="J383">
            <v>0</v>
          </cell>
          <cell r="K383">
            <v>641667</v>
          </cell>
          <cell r="L383">
            <v>0</v>
          </cell>
          <cell r="M383">
            <v>1.0196107500000001E-2</v>
          </cell>
          <cell r="N383">
            <v>1.2811950809854993E-2</v>
          </cell>
          <cell r="O383">
            <v>0.25655313165882099</v>
          </cell>
          <cell r="P383">
            <v>7593139.5700000003</v>
          </cell>
          <cell r="Q383">
            <v>167168931.64999998</v>
          </cell>
          <cell r="R383" t="str">
            <v>OK</v>
          </cell>
          <cell r="S383">
            <v>7594200</v>
          </cell>
          <cell r="T383">
            <v>44699</v>
          </cell>
          <cell r="U383" t="str">
            <v>PAGADO</v>
          </cell>
        </row>
        <row r="384">
          <cell r="A384" t="str">
            <v>20226</v>
          </cell>
          <cell r="B384" t="str">
            <v>SERFINANZAS</v>
          </cell>
          <cell r="C384" t="str">
            <v>LAMAR OPTICAL S.A.S</v>
          </cell>
          <cell r="D384" t="str">
            <v>111000149294</v>
          </cell>
          <cell r="E384">
            <v>44724</v>
          </cell>
          <cell r="F384">
            <v>8</v>
          </cell>
          <cell r="G384">
            <v>28</v>
          </cell>
          <cell r="H384">
            <v>4757472.0199999996</v>
          </cell>
          <cell r="I384">
            <v>2255354.25</v>
          </cell>
          <cell r="J384">
            <v>0</v>
          </cell>
          <cell r="K384">
            <v>641667</v>
          </cell>
          <cell r="L384">
            <v>0</v>
          </cell>
          <cell r="M384">
            <v>1.0196107500000001E-2</v>
          </cell>
          <cell r="N384">
            <v>1.3491467749055273E-2</v>
          </cell>
          <cell r="O384">
            <v>0.32319787223264096</v>
          </cell>
          <cell r="P384">
            <v>7654493.2699999996</v>
          </cell>
          <cell r="Q384">
            <v>162411459.62999997</v>
          </cell>
          <cell r="R384" t="str">
            <v>OK</v>
          </cell>
          <cell r="S384">
            <v>7660000</v>
          </cell>
          <cell r="T384">
            <v>44728</v>
          </cell>
          <cell r="U384" t="str">
            <v>PAGADO</v>
          </cell>
        </row>
        <row r="385">
          <cell r="A385" t="str">
            <v>20227</v>
          </cell>
          <cell r="B385" t="str">
            <v>SERFINANZAS</v>
          </cell>
          <cell r="C385" t="str">
            <v>LAMAR OPTICAL S.A.S</v>
          </cell>
          <cell r="D385" t="str">
            <v>111000149294</v>
          </cell>
          <cell r="E385">
            <v>44754</v>
          </cell>
          <cell r="F385">
            <v>9</v>
          </cell>
          <cell r="G385">
            <v>27</v>
          </cell>
          <cell r="H385">
            <v>4786769.83</v>
          </cell>
          <cell r="I385">
            <v>2323863.8199999998</v>
          </cell>
          <cell r="J385">
            <v>0</v>
          </cell>
          <cell r="K385">
            <v>641667</v>
          </cell>
          <cell r="L385">
            <v>0</v>
          </cell>
          <cell r="M385">
            <v>1.0196107500000001E-2</v>
          </cell>
          <cell r="N385">
            <v>1.4308496612826115E-2</v>
          </cell>
          <cell r="O385">
            <v>0.40332932080464179</v>
          </cell>
          <cell r="P385">
            <v>7752300.6500000004</v>
          </cell>
          <cell r="Q385">
            <v>157624689.79999995</v>
          </cell>
          <cell r="R385" t="str">
            <v>OK</v>
          </cell>
          <cell r="S385">
            <v>7850000</v>
          </cell>
          <cell r="T385">
            <v>44784</v>
          </cell>
          <cell r="U385" t="str">
            <v>PAGADO</v>
          </cell>
        </row>
        <row r="386">
          <cell r="A386" t="str">
            <v>20228</v>
          </cell>
          <cell r="B386" t="str">
            <v>SERFINANZAS</v>
          </cell>
          <cell r="C386" t="str">
            <v>LAMAR OPTICAL S.A.S</v>
          </cell>
          <cell r="D386" t="str">
            <v>111000149294</v>
          </cell>
          <cell r="E386">
            <v>44785</v>
          </cell>
          <cell r="F386">
            <v>10</v>
          </cell>
          <cell r="G386">
            <v>26</v>
          </cell>
          <cell r="H386">
            <v>4950096.42</v>
          </cell>
          <cell r="I386">
            <v>2348785.0699999998</v>
          </cell>
          <cell r="J386">
            <v>0</v>
          </cell>
          <cell r="K386">
            <v>641667</v>
          </cell>
          <cell r="L386">
            <v>0</v>
          </cell>
          <cell r="M386">
            <v>1.0196107500000001E-2</v>
          </cell>
          <cell r="N386">
            <v>1.4901124138485065E-2</v>
          </cell>
          <cell r="O386">
            <v>0.46145223934575652</v>
          </cell>
          <cell r="P386">
            <v>7940548.4900000002</v>
          </cell>
          <cell r="Q386">
            <v>152674593.37999997</v>
          </cell>
          <cell r="R386" t="str">
            <v>OK</v>
          </cell>
          <cell r="S386">
            <v>7780000</v>
          </cell>
          <cell r="T386">
            <v>44786</v>
          </cell>
          <cell r="U386" t="str">
            <v>PAGADO</v>
          </cell>
        </row>
        <row r="387">
          <cell r="A387" t="str">
            <v>20229</v>
          </cell>
          <cell r="B387" t="str">
            <v>SERFINANZAS</v>
          </cell>
          <cell r="C387" t="str">
            <v>LAMAR OPTICAL S.A.S</v>
          </cell>
          <cell r="D387" t="str">
            <v>111000149294</v>
          </cell>
          <cell r="E387">
            <v>44816</v>
          </cell>
          <cell r="F387">
            <v>11</v>
          </cell>
          <cell r="G387">
            <v>25</v>
          </cell>
          <cell r="H387">
            <v>4780882.04</v>
          </cell>
          <cell r="I387">
            <v>2463575.13</v>
          </cell>
          <cell r="J387">
            <v>0</v>
          </cell>
          <cell r="K387">
            <v>637134.68000000005</v>
          </cell>
          <cell r="L387">
            <v>160548.49000000022</v>
          </cell>
          <cell r="M387">
            <v>1.0196107500000001E-2</v>
          </cell>
          <cell r="N387">
            <v>1.6136117185315019E-2</v>
          </cell>
          <cell r="O387">
            <v>0.58257621208044519</v>
          </cell>
          <cell r="P387">
            <v>8042140.3399999999</v>
          </cell>
          <cell r="Q387">
            <v>147893711.33999997</v>
          </cell>
          <cell r="R387" t="str">
            <v>OK</v>
          </cell>
          <cell r="S387">
            <v>7953316.2699999996</v>
          </cell>
          <cell r="T387">
            <v>44834</v>
          </cell>
          <cell r="U387" t="str">
            <v>PAGADO</v>
          </cell>
        </row>
        <row r="388">
          <cell r="A388" t="str">
            <v>202210</v>
          </cell>
          <cell r="B388" t="str">
            <v>SERFINANZAS</v>
          </cell>
          <cell r="C388" t="str">
            <v>LAMAR OPTICAL S.A.S</v>
          </cell>
          <cell r="D388" t="str">
            <v>111000149294</v>
          </cell>
          <cell r="E388">
            <v>44846</v>
          </cell>
          <cell r="F388">
            <v>12</v>
          </cell>
          <cell r="G388">
            <v>24</v>
          </cell>
          <cell r="H388">
            <v>4818313.18</v>
          </cell>
          <cell r="I388">
            <v>2482476.7599999998</v>
          </cell>
          <cell r="J388">
            <v>0</v>
          </cell>
          <cell r="K388">
            <v>641667</v>
          </cell>
          <cell r="L388">
            <v>88824.070000000298</v>
          </cell>
          <cell r="M388">
            <v>1.0196107500000001E-2</v>
          </cell>
          <cell r="N388">
            <v>1.6785546440801085E-2</v>
          </cell>
          <cell r="O388">
            <v>0.6462700536259629</v>
          </cell>
          <cell r="P388">
            <v>8031281.0099999998</v>
          </cell>
          <cell r="Q388">
            <v>143075398.15999997</v>
          </cell>
          <cell r="R388" t="str">
            <v>OK</v>
          </cell>
          <cell r="S388">
            <v>7979934.3600000003</v>
          </cell>
          <cell r="T388">
            <v>44855</v>
          </cell>
          <cell r="U388" t="str">
            <v>PAGADO</v>
          </cell>
        </row>
        <row r="389">
          <cell r="A389" t="str">
            <v>202211</v>
          </cell>
          <cell r="B389" t="str">
            <v>SERFINANZAS</v>
          </cell>
          <cell r="C389" t="str">
            <v>LAMAR OPTICAL S.A.S</v>
          </cell>
          <cell r="D389" t="str">
            <v>111000149294</v>
          </cell>
          <cell r="E389">
            <v>44877</v>
          </cell>
          <cell r="F389">
            <v>13</v>
          </cell>
          <cell r="G389">
            <v>23</v>
          </cell>
          <cell r="H389">
            <v>4903188.67</v>
          </cell>
          <cell r="I389">
            <v>2391766.54</v>
          </cell>
          <cell r="J389">
            <v>0</v>
          </cell>
          <cell r="K389">
            <v>0</v>
          </cell>
          <cell r="L389">
            <v>51346.649999999441</v>
          </cell>
          <cell r="M389">
            <v>1.0196107500000001E-2</v>
          </cell>
          <cell r="N389">
            <v>1.6716826028506371E-2</v>
          </cell>
          <cell r="O389">
            <v>0.63953018625062263</v>
          </cell>
          <cell r="P389">
            <v>7346301.8599999994</v>
          </cell>
          <cell r="Q389">
            <v>138172209.48999998</v>
          </cell>
          <cell r="R389" t="str">
            <v>OK</v>
          </cell>
          <cell r="S389">
            <v>7397740.29</v>
          </cell>
          <cell r="T389">
            <v>44889</v>
          </cell>
          <cell r="U389" t="str">
            <v>PAGADO</v>
          </cell>
        </row>
        <row r="390">
          <cell r="A390" t="str">
            <v>202212</v>
          </cell>
          <cell r="B390" t="str">
            <v>SERFINANZAS</v>
          </cell>
          <cell r="C390" t="str">
            <v>LAMAR OPTICAL S.A.S</v>
          </cell>
          <cell r="D390" t="str">
            <v>111000149294</v>
          </cell>
          <cell r="E390">
            <v>44907</v>
          </cell>
          <cell r="F390">
            <v>14</v>
          </cell>
          <cell r="G390">
            <v>22</v>
          </cell>
          <cell r="H390">
            <v>4950096.42</v>
          </cell>
          <cell r="I390">
            <v>2394233.66</v>
          </cell>
          <cell r="J390">
            <v>0</v>
          </cell>
          <cell r="K390">
            <v>0</v>
          </cell>
          <cell r="L390">
            <v>0</v>
          </cell>
          <cell r="M390">
            <v>1.0196107500000001E-2</v>
          </cell>
          <cell r="N390">
            <v>1.7327895883240397E-2</v>
          </cell>
          <cell r="O390">
            <v>0.69946186652508269</v>
          </cell>
          <cell r="P390">
            <v>7344330.0800000001</v>
          </cell>
          <cell r="Q390">
            <v>133222113.06999998</v>
          </cell>
          <cell r="R390" t="str">
            <v>OK</v>
          </cell>
          <cell r="S390">
            <v>7433461.4199999999</v>
          </cell>
          <cell r="T390">
            <v>44936</v>
          </cell>
          <cell r="U390" t="str">
            <v>PAGADO</v>
          </cell>
        </row>
        <row r="391">
          <cell r="A391" t="str">
            <v>20231</v>
          </cell>
          <cell r="B391" t="str">
            <v>SERFINANZAS</v>
          </cell>
          <cell r="C391" t="str">
            <v>LAMAR OPTICAL S.A.S</v>
          </cell>
          <cell r="D391" t="str">
            <v>111000149294</v>
          </cell>
          <cell r="E391">
            <v>44938</v>
          </cell>
          <cell r="F391">
            <v>15</v>
          </cell>
          <cell r="G391">
            <v>21</v>
          </cell>
          <cell r="H391">
            <v>4991744.8600000003</v>
          </cell>
          <cell r="I391">
            <v>2414940.81</v>
          </cell>
          <cell r="J391">
            <v>0</v>
          </cell>
          <cell r="K391">
            <v>6564815</v>
          </cell>
          <cell r="L391">
            <v>0</v>
          </cell>
          <cell r="M391">
            <v>1.0196107500000001E-2</v>
          </cell>
          <cell r="N391">
            <v>1.8127176895408482E-2</v>
          </cell>
          <cell r="O391">
            <v>0.77785266538318476</v>
          </cell>
          <cell r="P391">
            <v>13971500.67</v>
          </cell>
          <cell r="Q391">
            <v>128230368.20999998</v>
          </cell>
          <cell r="R391" t="str">
            <v>OK</v>
          </cell>
          <cell r="S391">
            <v>14032848.710000001</v>
          </cell>
          <cell r="T391">
            <v>44951</v>
          </cell>
          <cell r="U391" t="str">
            <v>PAGADO</v>
          </cell>
        </row>
        <row r="392">
          <cell r="A392" t="str">
            <v>20232</v>
          </cell>
          <cell r="B392" t="str">
            <v>SERFINANZAS</v>
          </cell>
          <cell r="C392" t="str">
            <v>LAMAR OPTICAL S.A.S</v>
          </cell>
          <cell r="D392" t="str">
            <v>111000149294</v>
          </cell>
          <cell r="E392">
            <v>44969</v>
          </cell>
          <cell r="F392">
            <v>16</v>
          </cell>
          <cell r="G392">
            <v>20</v>
          </cell>
          <cell r="H392">
            <v>5057448.82</v>
          </cell>
          <cell r="I392">
            <v>2384202.9700000002</v>
          </cell>
          <cell r="J392">
            <v>0</v>
          </cell>
          <cell r="K392">
            <v>0</v>
          </cell>
          <cell r="L392">
            <v>0</v>
          </cell>
          <cell r="M392">
            <v>1.0196107500000001E-2</v>
          </cell>
          <cell r="N392">
            <v>1.8593122700041265E-2</v>
          </cell>
          <cell r="O392">
            <v>0.82355106593778693</v>
          </cell>
          <cell r="P392">
            <v>7441651.790000001</v>
          </cell>
          <cell r="Q392">
            <v>123172919.38999999</v>
          </cell>
          <cell r="R392" t="str">
            <v>OK</v>
          </cell>
          <cell r="S392">
            <v>8000000</v>
          </cell>
          <cell r="T392">
            <v>44999</v>
          </cell>
          <cell r="U392" t="str">
            <v>PAGADO</v>
          </cell>
        </row>
        <row r="393">
          <cell r="A393" t="str">
            <v>20233</v>
          </cell>
          <cell r="B393" t="str">
            <v>SERFINANZAS</v>
          </cell>
          <cell r="C393" t="str">
            <v>LAMAR OPTICAL S.A.S</v>
          </cell>
          <cell r="D393" t="str">
            <v>111000149294</v>
          </cell>
          <cell r="E393">
            <v>44997</v>
          </cell>
          <cell r="F393">
            <v>17</v>
          </cell>
          <cell r="G393">
            <v>19</v>
          </cell>
          <cell r="H393">
            <v>5147152.24</v>
          </cell>
          <cell r="I393">
            <v>2300400.4</v>
          </cell>
          <cell r="J393">
            <v>0</v>
          </cell>
          <cell r="K393">
            <v>0</v>
          </cell>
          <cell r="L393">
            <v>0</v>
          </cell>
          <cell r="M393">
            <v>1.0196107500000001E-2</v>
          </cell>
          <cell r="N393">
            <v>1.8676186384088921E-2</v>
          </cell>
          <cell r="O393">
            <v>0.83169767326295063</v>
          </cell>
          <cell r="P393">
            <v>7447552.6400000006</v>
          </cell>
          <cell r="Q393">
            <v>118025767.14999999</v>
          </cell>
          <cell r="R393" t="str">
            <v>OK</v>
          </cell>
          <cell r="S393">
            <v>7111632.6100000003</v>
          </cell>
          <cell r="T393">
            <v>45009</v>
          </cell>
          <cell r="U393" t="str">
            <v>PAGADO</v>
          </cell>
        </row>
        <row r="394">
          <cell r="A394" t="str">
            <v>20234</v>
          </cell>
          <cell r="B394" t="str">
            <v>SERFINANZAS</v>
          </cell>
          <cell r="C394" t="str">
            <v>LAMAR OPTICAL S.A.S</v>
          </cell>
          <cell r="D394" t="str">
            <v>111000149294</v>
          </cell>
          <cell r="E394">
            <v>45028</v>
          </cell>
          <cell r="F394">
            <v>18</v>
          </cell>
          <cell r="G394">
            <v>18</v>
          </cell>
          <cell r="H394">
            <v>5224783.93</v>
          </cell>
          <cell r="I394">
            <v>2248577.33</v>
          </cell>
          <cell r="J394">
            <v>0</v>
          </cell>
          <cell r="K394">
            <v>0</v>
          </cell>
          <cell r="L394">
            <v>335920.03000000026</v>
          </cell>
          <cell r="M394">
            <v>1.0196107500000001E-2</v>
          </cell>
          <cell r="N394">
            <v>1.9051579873590341E-2</v>
          </cell>
          <cell r="O394">
            <v>0.86851500669155746</v>
          </cell>
          <cell r="P394">
            <v>7809281.29</v>
          </cell>
          <cell r="Q394">
            <v>112800983.22</v>
          </cell>
          <cell r="R394" t="str">
            <v>OK</v>
          </cell>
          <cell r="S394">
            <v>7501052.3399999999</v>
          </cell>
          <cell r="T394">
            <v>45033</v>
          </cell>
          <cell r="U394" t="str">
            <v>PAGADO</v>
          </cell>
        </row>
        <row r="395">
          <cell r="A395" t="str">
            <v>20235</v>
          </cell>
          <cell r="B395" t="str">
            <v>SERFINANZAS</v>
          </cell>
          <cell r="C395" t="str">
            <v>LAMAR OPTICAL S.A.S</v>
          </cell>
          <cell r="D395" t="str">
            <v>111000149294</v>
          </cell>
          <cell r="E395">
            <v>45058</v>
          </cell>
          <cell r="F395">
            <v>19</v>
          </cell>
          <cell r="G395">
            <v>17</v>
          </cell>
          <cell r="H395">
            <v>5393566.6799999997</v>
          </cell>
          <cell r="I395">
            <v>1983321.2200000007</v>
          </cell>
          <cell r="J395">
            <v>0</v>
          </cell>
          <cell r="K395">
            <v>0</v>
          </cell>
          <cell r="L395">
            <v>308228.95000000019</v>
          </cell>
          <cell r="M395">
            <v>1.0196107500000001E-2</v>
          </cell>
          <cell r="N395">
            <v>1.7582481671563576E-2</v>
          </cell>
          <cell r="O395">
            <v>0.72443078611750367</v>
          </cell>
          <cell r="P395">
            <v>7685116.8500000006</v>
          </cell>
          <cell r="Q395">
            <v>107407416.53999999</v>
          </cell>
          <cell r="R395" t="str">
            <v>OK</v>
          </cell>
          <cell r="S395">
            <v>7454898.5899999999</v>
          </cell>
          <cell r="T395">
            <v>45072</v>
          </cell>
          <cell r="U395" t="str">
            <v>PAGADO</v>
          </cell>
        </row>
        <row r="396">
          <cell r="A396" t="str">
            <v>20236</v>
          </cell>
          <cell r="B396" t="str">
            <v>SERFINANZAS</v>
          </cell>
          <cell r="C396" t="str">
            <v>LAMAR OPTICAL S.A.S</v>
          </cell>
          <cell r="D396" t="str">
            <v>111000149294</v>
          </cell>
          <cell r="E396">
            <v>45089</v>
          </cell>
          <cell r="F396">
            <v>20</v>
          </cell>
          <cell r="G396">
            <v>16</v>
          </cell>
          <cell r="H396">
            <v>5570214.8300000001</v>
          </cell>
          <cell r="I396">
            <v>1826800.32</v>
          </cell>
          <cell r="J396">
            <v>0</v>
          </cell>
          <cell r="K396">
            <v>0</v>
          </cell>
          <cell r="L396">
            <v>230218.26000000071</v>
          </cell>
          <cell r="M396">
            <v>1.0196107500000001E-2</v>
          </cell>
          <cell r="N396">
            <v>1.7008139464183784E-2</v>
          </cell>
          <cell r="O396">
            <v>0.66810123021788281</v>
          </cell>
          <cell r="P396">
            <v>7627233.4100000011</v>
          </cell>
          <cell r="Q396">
            <v>101837201.70999999</v>
          </cell>
          <cell r="R396" t="str">
            <v>OK</v>
          </cell>
          <cell r="S396">
            <v>7521873.4199999999</v>
          </cell>
          <cell r="T396">
            <v>45114</v>
          </cell>
          <cell r="U396" t="str">
            <v>PAGADO</v>
          </cell>
        </row>
        <row r="397">
          <cell r="A397" t="str">
            <v>20237</v>
          </cell>
          <cell r="B397" t="str">
            <v>SERFINANZAS</v>
          </cell>
          <cell r="C397" t="str">
            <v>LAMAR OPTICAL S.A.S</v>
          </cell>
          <cell r="D397" t="str">
            <v>111000149294</v>
          </cell>
          <cell r="E397">
            <v>45119</v>
          </cell>
          <cell r="F397">
            <v>21</v>
          </cell>
          <cell r="G397">
            <v>15</v>
          </cell>
          <cell r="H397">
            <v>5654769.1500000004</v>
          </cell>
          <cell r="I397">
            <v>1762857.72</v>
          </cell>
          <cell r="J397">
            <v>0</v>
          </cell>
          <cell r="K397">
            <v>0</v>
          </cell>
          <cell r="L397">
            <v>105359.99000000115</v>
          </cell>
          <cell r="M397">
            <v>1.0196107500000001E-2</v>
          </cell>
          <cell r="N397">
            <v>1.7310547524862857E-2</v>
          </cell>
          <cell r="O397">
            <v>0.69776039776580001</v>
          </cell>
          <cell r="P397">
            <v>7522986.8600000013</v>
          </cell>
          <cell r="Q397">
            <v>96182432.559999987</v>
          </cell>
          <cell r="R397" t="str">
            <v>OK</v>
          </cell>
          <cell r="S397">
            <v>8500000</v>
          </cell>
          <cell r="T397">
            <v>45163</v>
          </cell>
          <cell r="U397" t="str">
            <v>PAGADO</v>
          </cell>
        </row>
        <row r="398">
          <cell r="A398" t="str">
            <v>20238</v>
          </cell>
          <cell r="B398" t="str">
            <v>SERFINANZAS</v>
          </cell>
          <cell r="C398" t="str">
            <v>LAMAR OPTICAL S.A.S</v>
          </cell>
          <cell r="D398" t="str">
            <v>111000149294</v>
          </cell>
          <cell r="E398">
            <v>45150</v>
          </cell>
          <cell r="F398">
            <v>22</v>
          </cell>
          <cell r="G398">
            <v>14</v>
          </cell>
          <cell r="H398">
            <v>4950096.42</v>
          </cell>
          <cell r="I398">
            <v>1160142.157699116</v>
          </cell>
          <cell r="J398">
            <v>0</v>
          </cell>
          <cell r="K398">
            <v>0</v>
          </cell>
          <cell r="L398">
            <v>0</v>
          </cell>
          <cell r="M398">
            <v>1.0196107500000001E-2</v>
          </cell>
          <cell r="N398">
            <v>1.2061892456040791E-2</v>
          </cell>
          <cell r="O398">
            <v>0.18298992591445229</v>
          </cell>
          <cell r="P398">
            <v>6110238.5776991155</v>
          </cell>
          <cell r="Q398">
            <v>91232336.139999986</v>
          </cell>
          <cell r="R398" t="str">
            <v>OK</v>
          </cell>
          <cell r="S398">
            <v>6699500.3899999997</v>
          </cell>
          <cell r="T398">
            <v>45175</v>
          </cell>
          <cell r="U398" t="str">
            <v>PAGADO</v>
          </cell>
        </row>
        <row r="399">
          <cell r="A399" t="str">
            <v>20239</v>
          </cell>
          <cell r="B399" t="str">
            <v>SERFINANZAS</v>
          </cell>
          <cell r="C399" t="str">
            <v>LAMAR OPTICAL S.A.S</v>
          </cell>
          <cell r="D399" t="str">
            <v>111000149294</v>
          </cell>
          <cell r="E399">
            <v>45181</v>
          </cell>
          <cell r="F399">
            <v>23</v>
          </cell>
          <cell r="G399">
            <v>13</v>
          </cell>
          <cell r="H399">
            <v>4950096.42</v>
          </cell>
          <cell r="I399">
            <v>1082184.30913322</v>
          </cell>
          <cell r="J399">
            <v>0</v>
          </cell>
          <cell r="K399">
            <v>0</v>
          </cell>
          <cell r="L399">
            <v>0</v>
          </cell>
          <cell r="M399">
            <v>1.0196107500000001E-2</v>
          </cell>
          <cell r="N399">
            <v>1.1861850248716213E-2</v>
          </cell>
          <cell r="O399">
            <v>0.16337045766889102</v>
          </cell>
          <cell r="P399">
            <v>6032280.7291332204</v>
          </cell>
          <cell r="Q399">
            <v>86282239.719999984</v>
          </cell>
          <cell r="R399" t="str">
            <v>OK</v>
          </cell>
          <cell r="S399">
            <v>7585349.3899999997</v>
          </cell>
          <cell r="T399">
            <v>45212</v>
          </cell>
          <cell r="U399" t="str">
            <v>PAGADO</v>
          </cell>
        </row>
        <row r="400">
          <cell r="A400" t="str">
            <v>202310</v>
          </cell>
          <cell r="B400" t="str">
            <v>SERFINANZAS</v>
          </cell>
          <cell r="C400" t="str">
            <v>LAMAR OPTICAL S.A.S</v>
          </cell>
          <cell r="D400" t="str">
            <v>111000149294</v>
          </cell>
          <cell r="E400">
            <v>45211</v>
          </cell>
          <cell r="F400">
            <v>24</v>
          </cell>
          <cell r="G400">
            <v>12</v>
          </cell>
          <cell r="H400">
            <v>4950096.42</v>
          </cell>
          <cell r="I400">
            <v>1004269.6944203413</v>
          </cell>
          <cell r="J400">
            <v>0</v>
          </cell>
          <cell r="K400">
            <v>0</v>
          </cell>
          <cell r="L400">
            <v>0</v>
          </cell>
          <cell r="M400">
            <v>1.0196107500000001E-2</v>
          </cell>
          <cell r="N400">
            <v>1.163935588226918E-2</v>
          </cell>
          <cell r="O400">
            <v>0.14154895701807568</v>
          </cell>
          <cell r="P400">
            <v>5954366.1144203413</v>
          </cell>
          <cell r="Q400">
            <v>81332143.299999982</v>
          </cell>
          <cell r="R400" t="str">
            <v>OK</v>
          </cell>
          <cell r="S400">
            <v>7600000</v>
          </cell>
          <cell r="T400">
            <v>45244</v>
          </cell>
          <cell r="U400" t="str">
            <v>PAGADO</v>
          </cell>
        </row>
        <row r="401">
          <cell r="A401" t="str">
            <v>202311</v>
          </cell>
          <cell r="B401" t="str">
            <v>SERFINANZAS</v>
          </cell>
          <cell r="C401" t="str">
            <v>LAMAR OPTICAL S.A.S</v>
          </cell>
          <cell r="D401" t="str">
            <v>111000149294</v>
          </cell>
          <cell r="E401">
            <v>45242</v>
          </cell>
          <cell r="F401">
            <v>25</v>
          </cell>
          <cell r="G401">
            <v>11</v>
          </cell>
          <cell r="H401">
            <v>4950096.42</v>
          </cell>
          <cell r="I401">
            <v>926296.11245226592</v>
          </cell>
          <cell r="J401">
            <v>0</v>
          </cell>
          <cell r="K401">
            <v>0</v>
          </cell>
          <cell r="L401">
            <v>0</v>
          </cell>
          <cell r="M401">
            <v>1.0196107500000001E-2</v>
          </cell>
          <cell r="N401">
            <v>1.1389053268097832E-2</v>
          </cell>
          <cell r="O401">
            <v>0.1170001167698389</v>
          </cell>
          <cell r="P401">
            <v>5876392.5324522657</v>
          </cell>
          <cell r="Q401">
            <v>76382046.87999998</v>
          </cell>
          <cell r="R401" t="str">
            <v>OK</v>
          </cell>
          <cell r="S401">
            <v>7560971.0199999996</v>
          </cell>
          <cell r="T401">
            <v>45272</v>
          </cell>
          <cell r="U401" t="str">
            <v>PAGADO</v>
          </cell>
        </row>
        <row r="402">
          <cell r="A402" t="str">
            <v>202312</v>
          </cell>
          <cell r="B402" t="str">
            <v>SERFINANZAS</v>
          </cell>
          <cell r="C402" t="str">
            <v>LAMAR OPTICAL S.A.S</v>
          </cell>
          <cell r="D402" t="str">
            <v>111000149294</v>
          </cell>
          <cell r="E402">
            <v>45272</v>
          </cell>
          <cell r="F402">
            <v>26</v>
          </cell>
          <cell r="G402">
            <v>10</v>
          </cell>
          <cell r="H402">
            <v>6084728.21</v>
          </cell>
          <cell r="I402">
            <v>1323840.23</v>
          </cell>
          <cell r="J402">
            <v>0</v>
          </cell>
          <cell r="K402">
            <v>0</v>
          </cell>
          <cell r="L402">
            <v>0</v>
          </cell>
          <cell r="M402">
            <v>1.0196107500000001E-2</v>
          </cell>
          <cell r="N402">
            <v>1.7331824480690067E-2</v>
          </cell>
          <cell r="O402">
            <v>0.69984717017646836</v>
          </cell>
          <cell r="P402">
            <v>7408568.4399999995</v>
          </cell>
          <cell r="Q402">
            <v>70297318.669999987</v>
          </cell>
          <cell r="R402" t="str">
            <v>OK</v>
          </cell>
          <cell r="S402">
            <v>7566406.5999999996</v>
          </cell>
          <cell r="T402">
            <v>45302</v>
          </cell>
          <cell r="U402" t="str">
            <v>PAGADO</v>
          </cell>
        </row>
        <row r="403">
          <cell r="A403" t="str">
            <v>20241</v>
          </cell>
          <cell r="B403" t="str">
            <v>SERFINANZAS</v>
          </cell>
          <cell r="C403" t="str">
            <v>LAMAR OPTICAL S.A.S</v>
          </cell>
          <cell r="D403" t="str">
            <v>111000149294</v>
          </cell>
          <cell r="E403">
            <v>45303</v>
          </cell>
          <cell r="F403">
            <v>27</v>
          </cell>
          <cell r="G403">
            <v>9</v>
          </cell>
          <cell r="H403">
            <v>6323977.7800000003</v>
          </cell>
          <cell r="I403">
            <v>1205219.47</v>
          </cell>
          <cell r="J403">
            <v>0</v>
          </cell>
          <cell r="K403">
            <v>3901436</v>
          </cell>
          <cell r="L403">
            <v>0</v>
          </cell>
          <cell r="M403">
            <v>1.0196107500000001E-2</v>
          </cell>
          <cell r="N403">
            <v>1.714460085821649E-2</v>
          </cell>
          <cell r="O403">
            <v>0.68148490570705422</v>
          </cell>
          <cell r="P403">
            <v>11430633.25</v>
          </cell>
          <cell r="Q403">
            <v>63973340.889999986</v>
          </cell>
          <cell r="R403" t="str">
            <v>OK</v>
          </cell>
          <cell r="S403">
            <v>11551545</v>
          </cell>
          <cell r="T403">
            <v>45336</v>
          </cell>
          <cell r="U403" t="str">
            <v>PAGADO</v>
          </cell>
        </row>
        <row r="404">
          <cell r="A404" t="str">
            <v>20242</v>
          </cell>
          <cell r="B404" t="str">
            <v>SERFINANZAS</v>
          </cell>
          <cell r="C404" t="str">
            <v>LAMAR OPTICAL S.A.S</v>
          </cell>
          <cell r="D404" t="str">
            <v>111000149294</v>
          </cell>
          <cell r="E404">
            <v>45334</v>
          </cell>
          <cell r="F404">
            <v>28</v>
          </cell>
          <cell r="G404">
            <v>8</v>
          </cell>
          <cell r="H404">
            <v>6323977.7800000003</v>
          </cell>
          <cell r="I404">
            <v>1059277.3799999999</v>
          </cell>
          <cell r="J404">
            <v>0</v>
          </cell>
          <cell r="K404">
            <v>0</v>
          </cell>
          <cell r="L404">
            <v>0</v>
          </cell>
          <cell r="M404">
            <v>1.0196107500000001E-2</v>
          </cell>
          <cell r="N404">
            <v>1.6558106318402096E-2</v>
          </cell>
          <cell r="O404">
            <v>0.6239634898319868</v>
          </cell>
          <cell r="P404">
            <v>7383255.1600000001</v>
          </cell>
          <cell r="Q404">
            <v>57649363.109999985</v>
          </cell>
          <cell r="R404" t="str">
            <v>OK</v>
          </cell>
          <cell r="S404">
            <v>7500000</v>
          </cell>
          <cell r="T404">
            <v>45364</v>
          </cell>
          <cell r="U404" t="str">
            <v>PAGADO</v>
          </cell>
        </row>
        <row r="405">
          <cell r="A405" t="str">
            <v>20243</v>
          </cell>
          <cell r="B405" t="str">
            <v>SERFINANZAS</v>
          </cell>
          <cell r="C405" t="str">
            <v>LAMAR OPTICAL S.A.S</v>
          </cell>
          <cell r="D405" t="str">
            <v>111000149294</v>
          </cell>
          <cell r="E405">
            <v>45363</v>
          </cell>
          <cell r="F405">
            <v>29</v>
          </cell>
          <cell r="G405">
            <v>7</v>
          </cell>
          <cell r="H405">
            <v>4950096.42</v>
          </cell>
          <cell r="I405">
            <v>614452.06826537871</v>
          </cell>
          <cell r="J405">
            <v>0</v>
          </cell>
          <cell r="K405">
            <v>0</v>
          </cell>
          <cell r="L405">
            <v>0</v>
          </cell>
          <cell r="M405">
            <v>1.0196107500000001E-2</v>
          </cell>
          <cell r="N405">
            <v>1.0658436366295165E-2</v>
          </cell>
          <cell r="O405">
            <v>4.5343663382831467E-2</v>
          </cell>
          <cell r="P405">
            <v>5564548.4882653784</v>
          </cell>
          <cell r="Q405">
            <v>52699266.689999983</v>
          </cell>
          <cell r="R405" t="str">
            <v>OK</v>
          </cell>
          <cell r="S405">
            <v>7475083.8499999996</v>
          </cell>
          <cell r="T405">
            <v>45393</v>
          </cell>
          <cell r="U405" t="str">
            <v>PAGADO</v>
          </cell>
        </row>
        <row r="406">
          <cell r="A406" t="str">
            <v>20244</v>
          </cell>
          <cell r="B406" t="str">
            <v>SERFINANZAS</v>
          </cell>
          <cell r="C406" t="str">
            <v>LAMAR OPTICAL S.A.S</v>
          </cell>
          <cell r="D406" t="str">
            <v>111000149294</v>
          </cell>
          <cell r="E406">
            <v>45394</v>
          </cell>
          <cell r="F406">
            <v>30</v>
          </cell>
          <cell r="G406">
            <v>6</v>
          </cell>
          <cell r="H406">
            <v>4950096.42</v>
          </cell>
          <cell r="I406">
            <v>536491.5443958611</v>
          </cell>
          <cell r="J406">
            <v>0</v>
          </cell>
          <cell r="K406">
            <v>0</v>
          </cell>
          <cell r="L406">
            <v>0</v>
          </cell>
          <cell r="M406">
            <v>1.0196107500000001E-2</v>
          </cell>
          <cell r="N406">
            <v>1.0180246862859361E-2</v>
          </cell>
          <cell r="O406">
            <v>-1.555558053957351E-3</v>
          </cell>
          <cell r="P406">
            <v>5486587.9643958611</v>
          </cell>
          <cell r="Q406">
            <v>47749170.269999981</v>
          </cell>
          <cell r="R406" t="str">
            <v>OK</v>
          </cell>
          <cell r="S406">
            <v>7501798.5599999996</v>
          </cell>
          <cell r="T406">
            <v>45422</v>
          </cell>
          <cell r="U406" t="str">
            <v>PAGADO</v>
          </cell>
        </row>
        <row r="407">
          <cell r="A407" t="str">
            <v>20245</v>
          </cell>
          <cell r="B407" t="str">
            <v>SERFINANZAS</v>
          </cell>
          <cell r="C407" t="str">
            <v>LAMAR OPTICAL S.A.S</v>
          </cell>
          <cell r="D407" t="str">
            <v>111000149294</v>
          </cell>
          <cell r="E407">
            <v>45424</v>
          </cell>
          <cell r="F407">
            <v>31</v>
          </cell>
          <cell r="G407">
            <v>5</v>
          </cell>
          <cell r="H407">
            <v>4950096.42</v>
          </cell>
          <cell r="I407">
            <v>458532.40329876303</v>
          </cell>
          <cell r="J407">
            <v>0</v>
          </cell>
          <cell r="K407">
            <v>0</v>
          </cell>
          <cell r="L407">
            <v>0</v>
          </cell>
          <cell r="M407">
            <v>1.0196107500000001E-2</v>
          </cell>
          <cell r="N407">
            <v>9.6029397098623803E-3</v>
          </cell>
          <cell r="O407">
            <v>-5.8175905867765776E-2</v>
          </cell>
          <cell r="P407">
            <v>5408628.8232987626</v>
          </cell>
          <cell r="Q407">
            <v>42799073.849999979</v>
          </cell>
          <cell r="R407" t="str">
            <v>OK</v>
          </cell>
          <cell r="S407">
            <v>7501798.5599999996</v>
          </cell>
          <cell r="T407">
            <v>45454</v>
          </cell>
          <cell r="U407" t="str">
            <v>PAGADO</v>
          </cell>
        </row>
        <row r="408">
          <cell r="A408" t="str">
            <v>20246</v>
          </cell>
          <cell r="B408" t="str">
            <v>SERFINANZAS</v>
          </cell>
          <cell r="C408" t="str">
            <v>LAMAR OPTICAL S.A.S</v>
          </cell>
          <cell r="D408" t="str">
            <v>111000149294</v>
          </cell>
          <cell r="E408">
            <v>45455</v>
          </cell>
          <cell r="F408">
            <v>32</v>
          </cell>
          <cell r="G408">
            <v>4</v>
          </cell>
          <cell r="H408">
            <v>4950096.42</v>
          </cell>
          <cell r="I408">
            <v>380572.74583026674</v>
          </cell>
          <cell r="J408">
            <v>0</v>
          </cell>
          <cell r="K408">
            <v>0</v>
          </cell>
          <cell r="L408">
            <v>0</v>
          </cell>
          <cell r="M408">
            <v>1.0196107500000001E-2</v>
          </cell>
          <cell r="N408">
            <v>8.8920790006830237E-3</v>
          </cell>
          <cell r="O408">
            <v>-0.12789473819464703</v>
          </cell>
          <cell r="P408">
            <v>5330669.1658302667</v>
          </cell>
          <cell r="Q408">
            <v>37848977.429999977</v>
          </cell>
          <cell r="R408" t="str">
            <v>OK</v>
          </cell>
          <cell r="S408">
            <v>7376338.2000000002</v>
          </cell>
          <cell r="T408">
            <v>45460</v>
          </cell>
          <cell r="U408" t="str">
            <v>PAGADO</v>
          </cell>
        </row>
        <row r="409">
          <cell r="A409" t="str">
            <v>20247</v>
          </cell>
          <cell r="B409" t="str">
            <v>SERFINANZAS</v>
          </cell>
          <cell r="C409" t="str">
            <v>LAMAR OPTICAL S.A.S</v>
          </cell>
          <cell r="D409" t="str">
            <v>111000149294</v>
          </cell>
          <cell r="E409">
            <v>45485</v>
          </cell>
          <cell r="F409">
            <v>33</v>
          </cell>
          <cell r="G409">
            <v>3</v>
          </cell>
          <cell r="H409">
            <v>4950096.42</v>
          </cell>
          <cell r="I409">
            <v>302612.61442362389</v>
          </cell>
          <cell r="J409">
            <v>0</v>
          </cell>
          <cell r="K409">
            <v>0</v>
          </cell>
          <cell r="L409">
            <v>0</v>
          </cell>
          <cell r="M409">
            <v>1.0196107500000001E-2</v>
          </cell>
          <cell r="N409">
            <v>7.9952652613480158E-3</v>
          </cell>
          <cell r="O409">
            <v>-0.21585121956118891</v>
          </cell>
          <cell r="P409">
            <v>5252709.0344236242</v>
          </cell>
          <cell r="Q409">
            <v>32898881.009999976</v>
          </cell>
          <cell r="R409" t="str">
            <v>OK</v>
          </cell>
          <cell r="S409">
            <v>7430183</v>
          </cell>
          <cell r="T409">
            <v>45502</v>
          </cell>
          <cell r="U409" t="str">
            <v>PAGADO</v>
          </cell>
        </row>
        <row r="410">
          <cell r="A410" t="str">
            <v>20248</v>
          </cell>
          <cell r="B410" t="str">
            <v>SERFINANZAS</v>
          </cell>
          <cell r="C410" t="str">
            <v>LAMAR OPTICAL S.A.S</v>
          </cell>
          <cell r="D410" t="str">
            <v>111000149294</v>
          </cell>
          <cell r="E410">
            <v>45516</v>
          </cell>
          <cell r="F410">
            <v>34</v>
          </cell>
          <cell r="G410">
            <v>2</v>
          </cell>
          <cell r="H410">
            <v>4950096.42</v>
          </cell>
          <cell r="I410">
            <v>224652.76398247769</v>
          </cell>
          <cell r="J410">
            <v>0</v>
          </cell>
          <cell r="K410">
            <v>0</v>
          </cell>
          <cell r="L410">
            <v>0</v>
          </cell>
          <cell r="M410">
            <v>1.0196107500000001E-2</v>
          </cell>
          <cell r="N410">
            <v>6.8285837416230668E-3</v>
          </cell>
          <cell r="O410">
            <v>-0.3302754270075059</v>
          </cell>
          <cell r="P410">
            <v>5174749.1839824775</v>
          </cell>
          <cell r="Q410">
            <v>27948784.589999974</v>
          </cell>
          <cell r="R410">
            <v>21</v>
          </cell>
          <cell r="U410" t="str">
            <v>PENDIENTE</v>
          </cell>
        </row>
        <row r="411">
          <cell r="A411" t="str">
            <v>20249</v>
          </cell>
          <cell r="B411" t="str">
            <v>SERFINANZAS</v>
          </cell>
          <cell r="C411" t="str">
            <v>LAMAR OPTICAL S.A.S</v>
          </cell>
          <cell r="D411" t="str">
            <v>111000149294</v>
          </cell>
          <cell r="E411">
            <v>45547</v>
          </cell>
          <cell r="F411">
            <v>35</v>
          </cell>
          <cell r="G411">
            <v>1</v>
          </cell>
          <cell r="H411">
            <v>4950096.42</v>
          </cell>
          <cell r="I411">
            <v>146692.96335894632</v>
          </cell>
          <cell r="J411">
            <v>0</v>
          </cell>
          <cell r="K411">
            <v>0</v>
          </cell>
          <cell r="L411">
            <v>0</v>
          </cell>
          <cell r="M411">
            <v>1.0196107500000001E-2</v>
          </cell>
          <cell r="N411">
            <v>5.2486347979308129E-3</v>
          </cell>
          <cell r="O411">
            <v>-0.48523151624962635</v>
          </cell>
          <cell r="P411">
            <v>5096789.3833589461</v>
          </cell>
          <cell r="Q411">
            <v>22998688.169999972</v>
          </cell>
          <cell r="R411">
            <v>21</v>
          </cell>
          <cell r="U411" t="str">
            <v>PENDIENTE</v>
          </cell>
        </row>
        <row r="412">
          <cell r="A412" t="str">
            <v>202410</v>
          </cell>
          <cell r="B412" t="str">
            <v>SERFINANZAS</v>
          </cell>
          <cell r="C412" t="str">
            <v>LAMAR OPTICAL S.A.S</v>
          </cell>
          <cell r="D412" t="str">
            <v>111000149294</v>
          </cell>
          <cell r="E412">
            <v>45577</v>
          </cell>
          <cell r="F412">
            <v>36</v>
          </cell>
          <cell r="G412">
            <v>0</v>
          </cell>
          <cell r="H412">
            <v>4950096.42</v>
          </cell>
          <cell r="I412">
            <v>68733.102138820439</v>
          </cell>
          <cell r="J412">
            <v>0</v>
          </cell>
          <cell r="K412">
            <v>0</v>
          </cell>
          <cell r="L412">
            <v>0</v>
          </cell>
          <cell r="M412">
            <v>1.0196107500000001E-2</v>
          </cell>
          <cell r="N412">
            <v>2.9885662012878417E-3</v>
          </cell>
          <cell r="O412">
            <v>-0.70689145820717947</v>
          </cell>
          <cell r="P412">
            <v>5018829.52213882</v>
          </cell>
          <cell r="Q412">
            <v>18048591.74999997</v>
          </cell>
          <cell r="R412">
            <v>-10</v>
          </cell>
          <cell r="U412" t="str">
            <v>PENDIENTE</v>
          </cell>
        </row>
        <row r="413">
          <cell r="A413" t="str">
            <v>202012</v>
          </cell>
          <cell r="B413" t="str">
            <v>DAVIVIENDA</v>
          </cell>
          <cell r="C413" t="str">
            <v>GLADYS JEANNETH CORREA RUEDA</v>
          </cell>
          <cell r="D413" t="str">
            <v>5904046002318540</v>
          </cell>
          <cell r="E413">
            <v>44180</v>
          </cell>
          <cell r="F413">
            <v>0</v>
          </cell>
          <cell r="G413">
            <v>120</v>
          </cell>
          <cell r="H413">
            <v>0</v>
          </cell>
          <cell r="I413">
            <v>0</v>
          </cell>
          <cell r="J413">
            <v>0</v>
          </cell>
          <cell r="K413">
            <v>0</v>
          </cell>
          <cell r="L413">
            <v>0</v>
          </cell>
          <cell r="M413">
            <v>1.0566666666666667E-2</v>
          </cell>
          <cell r="N413">
            <v>0</v>
          </cell>
          <cell r="O413">
            <v>-1</v>
          </cell>
          <cell r="P413">
            <v>0</v>
          </cell>
          <cell r="Q413">
            <v>67043821.880000003</v>
          </cell>
          <cell r="R413" t="str">
            <v>OK</v>
          </cell>
          <cell r="S413">
            <v>2216970</v>
          </cell>
          <cell r="T413">
            <v>44526</v>
          </cell>
          <cell r="U413" t="str">
            <v>PAGADO</v>
          </cell>
        </row>
        <row r="414">
          <cell r="A414" t="str">
            <v>20221</v>
          </cell>
          <cell r="B414" t="str">
            <v>DAVIVIENDA</v>
          </cell>
          <cell r="C414" t="str">
            <v>GLADYS JEANNETH CORREA RUEDA</v>
          </cell>
          <cell r="D414" t="str">
            <v>5904046002318540</v>
          </cell>
          <cell r="E414">
            <v>44576</v>
          </cell>
          <cell r="F414">
            <v>13</v>
          </cell>
          <cell r="G414">
            <v>107</v>
          </cell>
          <cell r="H414">
            <v>599694.1</v>
          </cell>
          <cell r="I414">
            <v>498305.9</v>
          </cell>
          <cell r="J414">
            <v>0</v>
          </cell>
          <cell r="K414">
            <v>0</v>
          </cell>
          <cell r="L414">
            <v>0</v>
          </cell>
          <cell r="M414">
            <v>1.0566666666666667E-2</v>
          </cell>
          <cell r="N414">
            <v>7.4325401808373161E-3</v>
          </cell>
          <cell r="O414">
            <v>-0.29660503020467044</v>
          </cell>
          <cell r="P414">
            <v>1098000</v>
          </cell>
          <cell r="Q414">
            <v>66444127.780000001</v>
          </cell>
          <cell r="R414" t="str">
            <v>OK</v>
          </cell>
          <cell r="S414">
            <v>1098000</v>
          </cell>
          <cell r="T414">
            <v>44588</v>
          </cell>
          <cell r="U414" t="str">
            <v>PAGADO</v>
          </cell>
        </row>
        <row r="415">
          <cell r="A415" t="str">
            <v>20222</v>
          </cell>
          <cell r="B415" t="str">
            <v>DAVIVIENDA</v>
          </cell>
          <cell r="C415" t="str">
            <v>GLADYS JEANNETH CORREA RUEDA</v>
          </cell>
          <cell r="D415" t="str">
            <v>5904046002318540</v>
          </cell>
          <cell r="E415">
            <v>44607</v>
          </cell>
          <cell r="F415">
            <v>14</v>
          </cell>
          <cell r="G415">
            <v>106</v>
          </cell>
          <cell r="H415">
            <v>599694.1</v>
          </cell>
          <cell r="I415">
            <v>506305.9</v>
          </cell>
          <cell r="J415">
            <v>0</v>
          </cell>
          <cell r="K415">
            <v>0</v>
          </cell>
          <cell r="L415">
            <v>0</v>
          </cell>
          <cell r="M415">
            <v>1.0566666666666667E-2</v>
          </cell>
          <cell r="N415">
            <v>7.62002477745521E-3</v>
          </cell>
          <cell r="O415">
            <v>-0.27886200844272457</v>
          </cell>
          <cell r="P415">
            <v>1106000</v>
          </cell>
          <cell r="Q415">
            <v>65844433.68</v>
          </cell>
          <cell r="R415" t="str">
            <v>OK</v>
          </cell>
          <cell r="S415">
            <v>1118000</v>
          </cell>
          <cell r="T415">
            <v>44618</v>
          </cell>
          <cell r="U415" t="str">
            <v>PAGADO</v>
          </cell>
        </row>
        <row r="416">
          <cell r="A416" t="str">
            <v>20223</v>
          </cell>
          <cell r="B416" t="str">
            <v>DAVIVIENDA</v>
          </cell>
          <cell r="C416" t="str">
            <v>GLADYS JEANNETH CORREA RUEDA</v>
          </cell>
          <cell r="D416" t="str">
            <v>5904046002318540</v>
          </cell>
          <cell r="E416">
            <v>44635</v>
          </cell>
          <cell r="F416">
            <v>15</v>
          </cell>
          <cell r="G416">
            <v>105</v>
          </cell>
          <cell r="H416">
            <v>599694.1</v>
          </cell>
          <cell r="I416">
            <v>518305.9</v>
          </cell>
          <cell r="J416">
            <v>0</v>
          </cell>
          <cell r="K416">
            <v>0</v>
          </cell>
          <cell r="L416">
            <v>0</v>
          </cell>
          <cell r="M416">
            <v>1.0566666666666667E-2</v>
          </cell>
          <cell r="N416">
            <v>7.8716737472287433E-3</v>
          </cell>
          <cell r="O416">
            <v>-0.25504664852724823</v>
          </cell>
          <cell r="P416">
            <v>1118000</v>
          </cell>
          <cell r="Q416">
            <v>65244739.579999998</v>
          </cell>
          <cell r="R416" t="str">
            <v>OK</v>
          </cell>
          <cell r="S416">
            <v>0</v>
          </cell>
          <cell r="T416">
            <v>44687</v>
          </cell>
          <cell r="U416" t="str">
            <v>PAGADO</v>
          </cell>
        </row>
        <row r="417">
          <cell r="A417" t="str">
            <v>20224</v>
          </cell>
          <cell r="B417" t="str">
            <v>DAVIVIENDA</v>
          </cell>
          <cell r="C417" t="str">
            <v>GLADYS JEANNETH CORREA RUEDA</v>
          </cell>
          <cell r="D417" t="str">
            <v>5904046002318540</v>
          </cell>
          <cell r="E417">
            <v>44666</v>
          </cell>
          <cell r="F417">
            <v>16</v>
          </cell>
          <cell r="G417">
            <v>104</v>
          </cell>
          <cell r="H417">
            <v>599694.1</v>
          </cell>
          <cell r="I417">
            <v>507305.9</v>
          </cell>
          <cell r="J417">
            <v>0</v>
          </cell>
          <cell r="K417">
            <v>0</v>
          </cell>
          <cell r="L417">
            <v>1118000</v>
          </cell>
          <cell r="M417">
            <v>1.0566666666666667E-2</v>
          </cell>
          <cell r="N417">
            <v>7.7754299161232098E-3</v>
          </cell>
          <cell r="O417">
            <v>-0.26415489752777199</v>
          </cell>
          <cell r="P417">
            <v>2225000</v>
          </cell>
          <cell r="Q417">
            <v>64645045.479999997</v>
          </cell>
          <cell r="R417" t="str">
            <v>OK</v>
          </cell>
          <cell r="S417">
            <v>2350000</v>
          </cell>
          <cell r="T417">
            <v>44687</v>
          </cell>
          <cell r="U417" t="str">
            <v>PAGADO</v>
          </cell>
        </row>
        <row r="418">
          <cell r="A418" t="str">
            <v>20225</v>
          </cell>
          <cell r="B418" t="str">
            <v>DAVIVIENDA</v>
          </cell>
          <cell r="C418" t="str">
            <v>GLADYS JEANNETH CORREA RUEDA</v>
          </cell>
          <cell r="D418" t="str">
            <v>5904046002318540</v>
          </cell>
          <cell r="E418">
            <v>44696</v>
          </cell>
          <cell r="F418">
            <v>17</v>
          </cell>
          <cell r="G418">
            <v>103</v>
          </cell>
          <cell r="H418">
            <v>599694.1</v>
          </cell>
          <cell r="I418">
            <v>584191.54</v>
          </cell>
          <cell r="J418">
            <v>0</v>
          </cell>
          <cell r="K418">
            <v>0</v>
          </cell>
          <cell r="L418">
            <v>0</v>
          </cell>
          <cell r="M418">
            <v>1.0566666666666667E-2</v>
          </cell>
          <cell r="N418">
            <v>9.0369112692594254E-3</v>
          </cell>
          <cell r="O418">
            <v>-0.1447718041710323</v>
          </cell>
          <cell r="P418">
            <v>1183885.6400000001</v>
          </cell>
          <cell r="Q418">
            <v>64045351.379999995</v>
          </cell>
          <cell r="R418" t="str">
            <v>OK</v>
          </cell>
          <cell r="S418">
            <v>1200000</v>
          </cell>
          <cell r="T418">
            <v>44706</v>
          </cell>
          <cell r="U418" t="str">
            <v>PAGADO</v>
          </cell>
        </row>
        <row r="419">
          <cell r="A419" t="str">
            <v>20226</v>
          </cell>
          <cell r="B419" t="str">
            <v>DAVIVIENDA</v>
          </cell>
          <cell r="C419" t="str">
            <v>GLADYS JEANNETH CORREA RUEDA</v>
          </cell>
          <cell r="D419" t="str">
            <v>5904046002318540</v>
          </cell>
          <cell r="E419">
            <v>44727</v>
          </cell>
          <cell r="F419">
            <v>18</v>
          </cell>
          <cell r="G419">
            <v>102</v>
          </cell>
          <cell r="H419">
            <v>599694.1</v>
          </cell>
          <cell r="I419">
            <v>580067</v>
          </cell>
          <cell r="J419">
            <v>0</v>
          </cell>
          <cell r="K419">
            <v>0</v>
          </cell>
          <cell r="L419">
            <v>0</v>
          </cell>
          <cell r="M419">
            <v>1.0566666666666667E-2</v>
          </cell>
          <cell r="N419">
            <v>9.0571288548061991E-3</v>
          </cell>
          <cell r="O419">
            <v>-0.14285846799941337</v>
          </cell>
          <cell r="P419">
            <v>1179761.1000000001</v>
          </cell>
          <cell r="Q419">
            <v>63445657.279999994</v>
          </cell>
          <cell r="R419" t="str">
            <v>OK</v>
          </cell>
          <cell r="S419">
            <v>1050000</v>
          </cell>
          <cell r="T419">
            <v>44750</v>
          </cell>
          <cell r="U419" t="str">
            <v>PAGADO</v>
          </cell>
        </row>
        <row r="420">
          <cell r="A420" t="str">
            <v>20227</v>
          </cell>
          <cell r="B420" t="str">
            <v>DAVIVIENDA</v>
          </cell>
          <cell r="C420" t="str">
            <v>GLADYS JEANNETH CORREA RUEDA</v>
          </cell>
          <cell r="D420" t="str">
            <v>5904046002318540</v>
          </cell>
          <cell r="E420">
            <v>44757</v>
          </cell>
          <cell r="F420">
            <v>19</v>
          </cell>
          <cell r="G420">
            <v>101</v>
          </cell>
          <cell r="H420">
            <v>599694.1</v>
          </cell>
          <cell r="I420">
            <v>576133.27</v>
          </cell>
          <cell r="J420">
            <v>0</v>
          </cell>
          <cell r="K420">
            <v>0</v>
          </cell>
          <cell r="L420">
            <v>129761.10000000009</v>
          </cell>
          <cell r="M420">
            <v>1.0566666666666667E-2</v>
          </cell>
          <cell r="N420">
            <v>9.0807360928959087E-3</v>
          </cell>
          <cell r="O420">
            <v>-0.1406243445208919</v>
          </cell>
          <cell r="P420">
            <v>1305588.4700000002</v>
          </cell>
          <cell r="Q420">
            <v>62845963.179999992</v>
          </cell>
          <cell r="R420" t="str">
            <v>OK</v>
          </cell>
          <cell r="S420">
            <v>1100000</v>
          </cell>
          <cell r="T420">
            <v>44771</v>
          </cell>
          <cell r="U420" t="str">
            <v>PAGADO</v>
          </cell>
        </row>
        <row r="421">
          <cell r="A421" t="str">
            <v>20228</v>
          </cell>
          <cell r="B421" t="str">
            <v>DAVIVIENDA</v>
          </cell>
          <cell r="C421" t="str">
            <v>GLADYS JEANNETH CORREA RUEDA</v>
          </cell>
          <cell r="D421" t="str">
            <v>5904046002318540</v>
          </cell>
          <cell r="E421">
            <v>44788</v>
          </cell>
          <cell r="F421">
            <v>20</v>
          </cell>
          <cell r="G421">
            <v>100</v>
          </cell>
          <cell r="H421">
            <v>599694.1</v>
          </cell>
          <cell r="I421">
            <v>572120.04</v>
          </cell>
          <cell r="J421">
            <v>0</v>
          </cell>
          <cell r="K421">
            <v>0</v>
          </cell>
          <cell r="L421">
            <v>205588.4700000002</v>
          </cell>
          <cell r="M421">
            <v>1.0566666666666667E-2</v>
          </cell>
          <cell r="N421">
            <v>9.1035288672617672E-3</v>
          </cell>
          <cell r="O421">
            <v>-0.13846729962822391</v>
          </cell>
          <cell r="P421">
            <v>1377402.6100000003</v>
          </cell>
          <cell r="Q421">
            <v>62246269.079999991</v>
          </cell>
          <cell r="R421" t="str">
            <v>OK</v>
          </cell>
          <cell r="S421">
            <v>1780000</v>
          </cell>
          <cell r="T421">
            <v>44791</v>
          </cell>
          <cell r="U421" t="str">
            <v>PAGADO</v>
          </cell>
        </row>
        <row r="422">
          <cell r="A422" t="str">
            <v>20229</v>
          </cell>
          <cell r="B422" t="str">
            <v>DAVIVIENDA</v>
          </cell>
          <cell r="C422" t="str">
            <v>GLADYS JEANNETH CORREA RUEDA</v>
          </cell>
          <cell r="D422" t="str">
            <v>5904046002318540</v>
          </cell>
          <cell r="E422">
            <v>44819</v>
          </cell>
          <cell r="F422">
            <v>21</v>
          </cell>
          <cell r="G422">
            <v>99</v>
          </cell>
          <cell r="H422">
            <v>599694.1</v>
          </cell>
          <cell r="I422">
            <v>567611.91</v>
          </cell>
          <cell r="J422">
            <v>0</v>
          </cell>
          <cell r="K422">
            <v>0</v>
          </cell>
          <cell r="L422">
            <v>0</v>
          </cell>
          <cell r="M422">
            <v>1.0566666666666667E-2</v>
          </cell>
          <cell r="N422">
            <v>9.1188101453999644E-3</v>
          </cell>
          <cell r="O422">
            <v>-0.13702112188643867</v>
          </cell>
          <cell r="P422">
            <v>1167306.01</v>
          </cell>
          <cell r="Q422">
            <v>61646574.979999989</v>
          </cell>
          <cell r="R422" t="str">
            <v>OK</v>
          </cell>
          <cell r="S422">
            <v>1050000</v>
          </cell>
          <cell r="T422">
            <v>44842</v>
          </cell>
          <cell r="U422" t="str">
            <v>PAGADO</v>
          </cell>
        </row>
        <row r="423">
          <cell r="A423" t="str">
            <v>202210</v>
          </cell>
          <cell r="B423" t="str">
            <v>DAVIVIENDA</v>
          </cell>
          <cell r="C423" t="str">
            <v>GLADYS JEANNETH CORREA RUEDA</v>
          </cell>
          <cell r="D423" t="str">
            <v>5904046002318540</v>
          </cell>
          <cell r="E423">
            <v>44849</v>
          </cell>
          <cell r="F423">
            <v>22</v>
          </cell>
          <cell r="G423">
            <v>98</v>
          </cell>
          <cell r="H423">
            <v>599694.1</v>
          </cell>
          <cell r="I423">
            <v>563549.86</v>
          </cell>
          <cell r="J423">
            <v>0</v>
          </cell>
          <cell r="K423">
            <v>0</v>
          </cell>
          <cell r="L423">
            <v>117306.01000000001</v>
          </cell>
          <cell r="M423">
            <v>1.0566666666666667E-2</v>
          </cell>
          <cell r="N423">
            <v>9.141624821538465E-3</v>
          </cell>
          <cell r="O423">
            <v>-0.13486200427080774</v>
          </cell>
          <cell r="P423">
            <v>1280549.97</v>
          </cell>
          <cell r="Q423">
            <v>61046880.879999988</v>
          </cell>
          <cell r="R423" t="str">
            <v>OK</v>
          </cell>
          <cell r="S423">
            <v>1350000</v>
          </cell>
          <cell r="T423">
            <v>44877</v>
          </cell>
          <cell r="U423" t="str">
            <v>PAGADO</v>
          </cell>
        </row>
        <row r="424">
          <cell r="A424" t="str">
            <v>202211</v>
          </cell>
          <cell r="B424" t="str">
            <v>DAVIVIENDA</v>
          </cell>
          <cell r="C424" t="str">
            <v>GLADYS JEANNETH CORREA RUEDA</v>
          </cell>
          <cell r="D424" t="str">
            <v>5904046002318540</v>
          </cell>
          <cell r="E424">
            <v>44880</v>
          </cell>
          <cell r="F424">
            <v>23</v>
          </cell>
          <cell r="G424">
            <v>97</v>
          </cell>
          <cell r="H424">
            <v>599694.1</v>
          </cell>
          <cell r="I424">
            <v>559211.06000000006</v>
          </cell>
          <cell r="J424">
            <v>0</v>
          </cell>
          <cell r="K424">
            <v>0</v>
          </cell>
          <cell r="L424">
            <v>0</v>
          </cell>
          <cell r="M424">
            <v>1.0566666666666667E-2</v>
          </cell>
          <cell r="N424">
            <v>9.160354336517908E-3</v>
          </cell>
          <cell r="O424">
            <v>-0.13308949496675948</v>
          </cell>
          <cell r="P424">
            <v>1158905.1600000001</v>
          </cell>
          <cell r="Q424">
            <v>60447186.779999986</v>
          </cell>
          <cell r="R424" t="str">
            <v>OK</v>
          </cell>
          <cell r="S424">
            <v>989221</v>
          </cell>
          <cell r="T424">
            <v>44893</v>
          </cell>
          <cell r="U424" t="str">
            <v>PAGADO</v>
          </cell>
        </row>
        <row r="425">
          <cell r="A425" t="str">
            <v>202212</v>
          </cell>
          <cell r="B425" t="str">
            <v>DAVIVIENDA</v>
          </cell>
          <cell r="C425" t="str">
            <v>GLADYS JEANNETH CORREA RUEDA</v>
          </cell>
          <cell r="D425" t="str">
            <v>5904046002318540</v>
          </cell>
          <cell r="E425">
            <v>44910</v>
          </cell>
          <cell r="F425">
            <v>24</v>
          </cell>
          <cell r="G425">
            <v>96</v>
          </cell>
          <cell r="H425">
            <v>599694.1</v>
          </cell>
          <cell r="I425">
            <v>554950.37</v>
          </cell>
          <cell r="J425">
            <v>0</v>
          </cell>
          <cell r="K425">
            <v>0</v>
          </cell>
          <cell r="L425">
            <v>169684.16000000015</v>
          </cell>
          <cell r="M425">
            <v>1.0566666666666667E-2</v>
          </cell>
          <cell r="N425">
            <v>9.1807476834242854E-3</v>
          </cell>
          <cell r="O425">
            <v>-0.13115952522798557</v>
          </cell>
          <cell r="P425">
            <v>1324328.6300000001</v>
          </cell>
          <cell r="Q425">
            <v>59847492.679999985</v>
          </cell>
          <cell r="R425" t="str">
            <v>OK</v>
          </cell>
          <cell r="S425">
            <v>1005000</v>
          </cell>
          <cell r="T425">
            <v>44916</v>
          </cell>
          <cell r="U425" t="str">
            <v>PAGADO</v>
          </cell>
        </row>
        <row r="426">
          <cell r="A426" t="str">
            <v>20231</v>
          </cell>
          <cell r="B426" t="str">
            <v>DAVIVIENDA</v>
          </cell>
          <cell r="C426" t="str">
            <v>GLADYS JEANNETH CORREA RUEDA</v>
          </cell>
          <cell r="D426" t="str">
            <v>5904046002318540</v>
          </cell>
          <cell r="E426">
            <v>44941</v>
          </cell>
          <cell r="F426">
            <v>25</v>
          </cell>
          <cell r="G426">
            <v>95</v>
          </cell>
          <cell r="H426">
            <v>599694.1</v>
          </cell>
          <cell r="I426">
            <v>550898.82999999996</v>
          </cell>
          <cell r="J426">
            <v>0</v>
          </cell>
          <cell r="K426">
            <v>0</v>
          </cell>
          <cell r="L426">
            <v>319328.63000000012</v>
          </cell>
          <cell r="M426">
            <v>1.0566666666666667E-2</v>
          </cell>
          <cell r="N426">
            <v>9.2050444443113819E-3</v>
          </cell>
          <cell r="O426">
            <v>-0.12886014722605221</v>
          </cell>
          <cell r="P426">
            <v>1469921.56</v>
          </cell>
          <cell r="Q426">
            <v>59247798.579999983</v>
          </cell>
          <cell r="R426" t="str">
            <v>OK</v>
          </cell>
          <cell r="S426">
            <v>1120000</v>
          </cell>
          <cell r="T426">
            <v>44964</v>
          </cell>
          <cell r="U426" t="str">
            <v>PAGADO</v>
          </cell>
        </row>
        <row r="427">
          <cell r="A427" t="str">
            <v>20232</v>
          </cell>
          <cell r="B427" t="str">
            <v>DAVIVIENDA</v>
          </cell>
          <cell r="C427" t="str">
            <v>GLADYS JEANNETH CORREA RUEDA</v>
          </cell>
          <cell r="D427" t="str">
            <v>5904046002318540</v>
          </cell>
          <cell r="E427">
            <v>44972</v>
          </cell>
          <cell r="F427">
            <v>26</v>
          </cell>
          <cell r="G427">
            <v>94</v>
          </cell>
          <cell r="H427">
            <v>599694.1</v>
          </cell>
          <cell r="I427">
            <v>546270.81000000006</v>
          </cell>
          <cell r="J427">
            <v>0</v>
          </cell>
          <cell r="K427">
            <v>0</v>
          </cell>
          <cell r="L427">
            <v>349921.56000000006</v>
          </cell>
          <cell r="M427">
            <v>1.0566666666666667E-2</v>
          </cell>
          <cell r="N427">
            <v>9.220103077119261E-3</v>
          </cell>
          <cell r="O427">
            <v>-0.12743504002025918</v>
          </cell>
          <cell r="P427">
            <v>1495886.4700000002</v>
          </cell>
          <cell r="Q427">
            <v>58648104.479999982</v>
          </cell>
          <cell r="R427" t="str">
            <v>OK</v>
          </cell>
          <cell r="S427">
            <v>1150000</v>
          </cell>
          <cell r="T427">
            <v>44995</v>
          </cell>
          <cell r="U427" t="str">
            <v>PAGADO</v>
          </cell>
        </row>
        <row r="428">
          <cell r="A428" t="str">
            <v>20233</v>
          </cell>
          <cell r="B428" t="str">
            <v>DAVIVIENDA</v>
          </cell>
          <cell r="C428" t="str">
            <v>GLADYS JEANNETH CORREA RUEDA</v>
          </cell>
          <cell r="D428" t="str">
            <v>5904046002318540</v>
          </cell>
          <cell r="E428">
            <v>45000</v>
          </cell>
          <cell r="F428">
            <v>27</v>
          </cell>
          <cell r="G428">
            <v>93</v>
          </cell>
          <cell r="H428">
            <v>599694.1</v>
          </cell>
          <cell r="I428">
            <v>541803.1</v>
          </cell>
          <cell r="J428">
            <v>0</v>
          </cell>
          <cell r="K428">
            <v>0</v>
          </cell>
          <cell r="L428">
            <v>345886.4700000002</v>
          </cell>
          <cell r="M428">
            <v>1.0566666666666667E-2</v>
          </cell>
          <cell r="N428">
            <v>9.2382030894922473E-3</v>
          </cell>
          <cell r="O428">
            <v>-0.12572210509537096</v>
          </cell>
          <cell r="P428">
            <v>1487383.6700000002</v>
          </cell>
          <cell r="Q428">
            <v>58048410.37999998</v>
          </cell>
          <cell r="R428" t="str">
            <v>OK</v>
          </cell>
          <cell r="S428">
            <v>1350000</v>
          </cell>
          <cell r="T428">
            <v>45029</v>
          </cell>
          <cell r="U428" t="str">
            <v>PAGADO</v>
          </cell>
        </row>
        <row r="429">
          <cell r="A429" t="str">
            <v>20234</v>
          </cell>
          <cell r="B429" t="str">
            <v>DAVIVIENDA</v>
          </cell>
          <cell r="C429" t="str">
            <v>GLADYS JEANNETH CORREA RUEDA</v>
          </cell>
          <cell r="D429" t="str">
            <v>5904046002318540</v>
          </cell>
          <cell r="E429">
            <v>45031</v>
          </cell>
          <cell r="F429">
            <v>28</v>
          </cell>
          <cell r="G429">
            <v>92</v>
          </cell>
          <cell r="H429">
            <v>599694.1</v>
          </cell>
          <cell r="I429">
            <v>537193.6</v>
          </cell>
          <cell r="J429">
            <v>0</v>
          </cell>
          <cell r="K429">
            <v>0</v>
          </cell>
          <cell r="L429">
            <v>137383.67000000016</v>
          </cell>
          <cell r="M429">
            <v>1.0566666666666667E-2</v>
          </cell>
          <cell r="N429">
            <v>9.2542344653951947E-3</v>
          </cell>
          <cell r="O429">
            <v>-0.1242049401834201</v>
          </cell>
          <cell r="P429">
            <v>1274271.3700000001</v>
          </cell>
          <cell r="Q429">
            <v>57448716.279999979</v>
          </cell>
          <cell r="R429" t="str">
            <v>OK</v>
          </cell>
          <cell r="S429">
            <v>0</v>
          </cell>
          <cell r="T429">
            <v>45063</v>
          </cell>
          <cell r="U429" t="str">
            <v>PAGADO</v>
          </cell>
        </row>
        <row r="430">
          <cell r="A430" t="str">
            <v>20235</v>
          </cell>
          <cell r="B430" t="str">
            <v>DAVIVIENDA</v>
          </cell>
          <cell r="C430" t="str">
            <v>GLADYS JEANNETH CORREA RUEDA</v>
          </cell>
          <cell r="D430" t="str">
            <v>5904046002318540</v>
          </cell>
          <cell r="E430">
            <v>45061</v>
          </cell>
          <cell r="F430">
            <v>29</v>
          </cell>
          <cell r="G430">
            <v>91</v>
          </cell>
          <cell r="H430">
            <v>599694.1</v>
          </cell>
          <cell r="I430">
            <v>449919.54254012625</v>
          </cell>
          <cell r="J430">
            <v>0</v>
          </cell>
          <cell r="K430">
            <v>0</v>
          </cell>
          <cell r="L430">
            <v>1274271.3700000001</v>
          </cell>
          <cell r="M430">
            <v>1.0566666666666667E-2</v>
          </cell>
          <cell r="N430">
            <v>7.8316726930373528E-3</v>
          </cell>
          <cell r="O430">
            <v>-0.25883223725198556</v>
          </cell>
          <cell r="P430">
            <v>2323885.0125401262</v>
          </cell>
          <cell r="Q430">
            <v>56849022.179999977</v>
          </cell>
          <cell r="R430" t="str">
            <v>OK</v>
          </cell>
          <cell r="S430">
            <v>2170000</v>
          </cell>
          <cell r="T430">
            <v>45063</v>
          </cell>
          <cell r="U430" t="str">
            <v>PAGADO</v>
          </cell>
        </row>
        <row r="431">
          <cell r="A431" t="str">
            <v>20236</v>
          </cell>
          <cell r="B431" t="str">
            <v>DAVIVIENDA</v>
          </cell>
          <cell r="C431" t="str">
            <v>GLADYS JEANNETH CORREA RUEDA</v>
          </cell>
          <cell r="D431" t="str">
            <v>5904046002318540</v>
          </cell>
          <cell r="E431">
            <v>45092</v>
          </cell>
          <cell r="F431">
            <v>30</v>
          </cell>
          <cell r="G431">
            <v>90</v>
          </cell>
          <cell r="H431">
            <v>599694.1</v>
          </cell>
          <cell r="I431">
            <v>492752.9</v>
          </cell>
          <cell r="J431">
            <v>0</v>
          </cell>
          <cell r="K431">
            <v>0</v>
          </cell>
          <cell r="L431">
            <v>153885.01254012622</v>
          </cell>
          <cell r="M431">
            <v>1.0566666666666667E-2</v>
          </cell>
          <cell r="N431">
            <v>8.6677462708119393E-3</v>
          </cell>
          <cell r="O431">
            <v>-0.17970855481275028</v>
          </cell>
          <cell r="P431">
            <v>1246332.0125401262</v>
          </cell>
          <cell r="Q431">
            <v>56249328.079999976</v>
          </cell>
          <cell r="R431" t="str">
            <v>OK</v>
          </cell>
          <cell r="S431">
            <v>1200000</v>
          </cell>
          <cell r="T431">
            <v>45120</v>
          </cell>
          <cell r="U431" t="str">
            <v>PAGADO</v>
          </cell>
        </row>
        <row r="432">
          <cell r="A432" t="str">
            <v>20237</v>
          </cell>
          <cell r="B432" t="str">
            <v>DAVIVIENDA</v>
          </cell>
          <cell r="C432" t="str">
            <v>GLADYS JEANNETH CORREA RUEDA</v>
          </cell>
          <cell r="D432" t="str">
            <v>5904046002318540</v>
          </cell>
          <cell r="E432">
            <v>45122</v>
          </cell>
          <cell r="F432">
            <v>31</v>
          </cell>
          <cell r="G432">
            <v>89</v>
          </cell>
          <cell r="H432">
            <v>599694.1</v>
          </cell>
          <cell r="I432">
            <v>431668.60915700631</v>
          </cell>
          <cell r="J432">
            <v>0</v>
          </cell>
          <cell r="K432">
            <v>0</v>
          </cell>
          <cell r="L432">
            <v>46332.012540126219</v>
          </cell>
          <cell r="M432">
            <v>1.0566666666666667E-2</v>
          </cell>
          <cell r="N432">
            <v>7.6742002774339005E-3</v>
          </cell>
          <cell r="O432">
            <v>-0.27373498951729647</v>
          </cell>
          <cell r="P432">
            <v>1077694.7216971326</v>
          </cell>
          <cell r="Q432">
            <v>55649633.979999974</v>
          </cell>
          <cell r="R432" t="str">
            <v>OK</v>
          </cell>
          <cell r="S432">
            <v>1200000</v>
          </cell>
          <cell r="T432">
            <v>45153</v>
          </cell>
          <cell r="U432" t="str">
            <v>PAGADO</v>
          </cell>
        </row>
        <row r="433">
          <cell r="A433" t="str">
            <v>20238</v>
          </cell>
          <cell r="B433" t="str">
            <v>DAVIVIENDA</v>
          </cell>
          <cell r="C433" t="str">
            <v>GLADYS JEANNETH CORREA RUEDA</v>
          </cell>
          <cell r="D433" t="str">
            <v>5904046002318540</v>
          </cell>
          <cell r="E433">
            <v>45153</v>
          </cell>
          <cell r="F433">
            <v>32</v>
          </cell>
          <cell r="G433">
            <v>88</v>
          </cell>
          <cell r="H433">
            <v>599694.1</v>
          </cell>
          <cell r="I433">
            <v>426459.62722053361</v>
          </cell>
          <cell r="J433">
            <v>0</v>
          </cell>
          <cell r="K433">
            <v>0</v>
          </cell>
          <cell r="L433">
            <v>0</v>
          </cell>
          <cell r="M433">
            <v>1.0566666666666667E-2</v>
          </cell>
          <cell r="N433">
            <v>7.6632961750260518E-3</v>
          </cell>
          <cell r="O433">
            <v>-0.2747669234991118</v>
          </cell>
          <cell r="P433">
            <v>1026153.7272205336</v>
          </cell>
          <cell r="Q433">
            <v>55049939.879999973</v>
          </cell>
          <cell r="R433" t="str">
            <v>OK</v>
          </cell>
          <cell r="S433">
            <v>1180000</v>
          </cell>
          <cell r="T433">
            <v>45184</v>
          </cell>
          <cell r="U433" t="str">
            <v>PAGADO</v>
          </cell>
        </row>
        <row r="434">
          <cell r="A434" t="str">
            <v>20239</v>
          </cell>
          <cell r="B434" t="str">
            <v>DAVIVIENDA</v>
          </cell>
          <cell r="C434" t="str">
            <v>GLADYS JEANNETH CORREA RUEDA</v>
          </cell>
          <cell r="D434" t="str">
            <v>5904046002318540</v>
          </cell>
          <cell r="E434">
            <v>45184</v>
          </cell>
          <cell r="F434">
            <v>33</v>
          </cell>
          <cell r="G434">
            <v>87</v>
          </cell>
          <cell r="H434">
            <v>599694.1</v>
          </cell>
          <cell r="I434">
            <v>425829.46038771881</v>
          </cell>
          <cell r="J434">
            <v>0</v>
          </cell>
          <cell r="K434">
            <v>0</v>
          </cell>
          <cell r="L434">
            <v>0</v>
          </cell>
          <cell r="M434">
            <v>1.0566666666666667E-2</v>
          </cell>
          <cell r="N434">
            <v>7.7353301623209513E-3</v>
          </cell>
          <cell r="O434">
            <v>-0.26794982690968916</v>
          </cell>
          <cell r="P434">
            <v>1025523.5603877187</v>
          </cell>
          <cell r="Q434">
            <v>54450245.779999971</v>
          </cell>
          <cell r="R434" t="str">
            <v>OK</v>
          </cell>
          <cell r="S434">
            <v>1124348</v>
          </cell>
          <cell r="T434">
            <v>45213</v>
          </cell>
          <cell r="U434" t="str">
            <v>PAGADO</v>
          </cell>
        </row>
        <row r="435">
          <cell r="A435" t="str">
            <v>202310</v>
          </cell>
          <cell r="B435" t="str">
            <v>DAVIVIENDA</v>
          </cell>
          <cell r="C435" t="str">
            <v>GLADYS JEANNETH CORREA RUEDA</v>
          </cell>
          <cell r="D435" t="str">
            <v>5904046002318540</v>
          </cell>
          <cell r="E435">
            <v>45214</v>
          </cell>
          <cell r="F435">
            <v>34</v>
          </cell>
          <cell r="G435">
            <v>86</v>
          </cell>
          <cell r="H435">
            <v>599694.1</v>
          </cell>
          <cell r="I435">
            <v>496305.9</v>
          </cell>
          <cell r="J435">
            <v>0</v>
          </cell>
          <cell r="K435">
            <v>0</v>
          </cell>
          <cell r="L435">
            <v>0</v>
          </cell>
          <cell r="M435">
            <v>1.0566666666666667E-2</v>
          </cell>
          <cell r="N435">
            <v>9.1148514187661817E-3</v>
          </cell>
          <cell r="O435">
            <v>-0.13739576478553484</v>
          </cell>
          <cell r="P435">
            <v>1096000</v>
          </cell>
          <cell r="Q435">
            <v>53850551.67999997</v>
          </cell>
          <cell r="R435" t="str">
            <v>OK</v>
          </cell>
          <cell r="S435">
            <v>1130000</v>
          </cell>
          <cell r="T435">
            <v>45244</v>
          </cell>
          <cell r="U435" t="str">
            <v>PAGADO</v>
          </cell>
        </row>
        <row r="436">
          <cell r="A436" t="str">
            <v>202311</v>
          </cell>
          <cell r="B436" t="str">
            <v>DAVIVIENDA</v>
          </cell>
          <cell r="C436" t="str">
            <v>GLADYS JEANNETH CORREA RUEDA</v>
          </cell>
          <cell r="D436" t="str">
            <v>5904046002318540</v>
          </cell>
          <cell r="E436">
            <v>45245</v>
          </cell>
          <cell r="F436">
            <v>35</v>
          </cell>
          <cell r="G436">
            <v>85</v>
          </cell>
          <cell r="H436">
            <v>599694.1</v>
          </cell>
          <cell r="I436">
            <v>414919.28102758381</v>
          </cell>
          <cell r="J436">
            <v>0</v>
          </cell>
          <cell r="K436">
            <v>0</v>
          </cell>
          <cell r="L436">
            <v>0</v>
          </cell>
          <cell r="M436">
            <v>1.0566666666666667E-2</v>
          </cell>
          <cell r="N436">
            <v>7.7050144907184733E-3</v>
          </cell>
          <cell r="O436">
            <v>-0.27081881791307827</v>
          </cell>
          <cell r="P436">
            <v>1014613.3810275837</v>
          </cell>
          <cell r="Q436">
            <v>53250857.579999968</v>
          </cell>
          <cell r="R436" t="str">
            <v>OK</v>
          </cell>
          <cell r="S436">
            <v>1050000</v>
          </cell>
          <cell r="T436">
            <v>45276</v>
          </cell>
          <cell r="U436" t="str">
            <v>PAGADO</v>
          </cell>
        </row>
        <row r="437">
          <cell r="A437" t="str">
            <v>202312</v>
          </cell>
          <cell r="B437" t="str">
            <v>DAVIVIENDA</v>
          </cell>
          <cell r="C437" t="str">
            <v>GLADYS JEANNETH CORREA RUEDA</v>
          </cell>
          <cell r="D437" t="str">
            <v>5904046002318540</v>
          </cell>
          <cell r="E437">
            <v>45275</v>
          </cell>
          <cell r="F437">
            <v>36</v>
          </cell>
          <cell r="G437">
            <v>84</v>
          </cell>
          <cell r="H437">
            <v>599694.1</v>
          </cell>
          <cell r="I437">
            <v>410720.01306157478</v>
          </cell>
          <cell r="J437">
            <v>0</v>
          </cell>
          <cell r="K437">
            <v>0</v>
          </cell>
          <cell r="L437">
            <v>0</v>
          </cell>
          <cell r="M437">
            <v>1.0566666666666667E-2</v>
          </cell>
          <cell r="N437">
            <v>7.7129276734095933E-3</v>
          </cell>
          <cell r="O437">
            <v>-0.27006993627038556</v>
          </cell>
          <cell r="P437">
            <v>1010414.1130615748</v>
          </cell>
          <cell r="Q437">
            <v>52651163.479999967</v>
          </cell>
          <cell r="R437" t="str">
            <v>OK</v>
          </cell>
          <cell r="S437">
            <v>1500000</v>
          </cell>
          <cell r="T437">
            <v>45308</v>
          </cell>
          <cell r="U437" t="str">
            <v>PAGADO</v>
          </cell>
        </row>
        <row r="438">
          <cell r="A438" t="str">
            <v>20241</v>
          </cell>
          <cell r="B438" t="str">
            <v>DAVIVIENDA</v>
          </cell>
          <cell r="C438" t="str">
            <v>GLADYS JEANNETH CORREA RUEDA</v>
          </cell>
          <cell r="D438" t="str">
            <v>5904046002318540</v>
          </cell>
          <cell r="E438">
            <v>45306</v>
          </cell>
          <cell r="F438">
            <v>37</v>
          </cell>
          <cell r="G438">
            <v>83</v>
          </cell>
          <cell r="H438">
            <v>599694.1</v>
          </cell>
          <cell r="I438">
            <v>406759.89565014135</v>
          </cell>
          <cell r="J438">
            <v>0</v>
          </cell>
          <cell r="K438">
            <v>0</v>
          </cell>
          <cell r="L438">
            <v>0</v>
          </cell>
          <cell r="M438">
            <v>1.0566666666666667E-2</v>
          </cell>
          <cell r="N438">
            <v>7.7255632879727884E-3</v>
          </cell>
          <cell r="O438">
            <v>-0.26887413678490968</v>
          </cell>
          <cell r="P438">
            <v>1006453.9956501413</v>
          </cell>
          <cell r="Q438">
            <v>52051469.379999965</v>
          </cell>
          <cell r="R438" t="str">
            <v>OK</v>
          </cell>
          <cell r="S438">
            <v>850000</v>
          </cell>
          <cell r="T438">
            <v>45336</v>
          </cell>
          <cell r="U438" t="str">
            <v>PAGADO</v>
          </cell>
        </row>
        <row r="439">
          <cell r="A439" t="str">
            <v>20242</v>
          </cell>
          <cell r="B439" t="str">
            <v>DAVIVIENDA</v>
          </cell>
          <cell r="C439" t="str">
            <v>GLADYS JEANNETH CORREA RUEDA</v>
          </cell>
          <cell r="D439" t="str">
            <v>5904046002318540</v>
          </cell>
          <cell r="E439">
            <v>45337</v>
          </cell>
          <cell r="F439">
            <v>38</v>
          </cell>
          <cell r="G439">
            <v>82</v>
          </cell>
          <cell r="H439">
            <v>599694.1</v>
          </cell>
          <cell r="I439">
            <v>402010.18951695744</v>
          </cell>
          <cell r="J439">
            <v>0</v>
          </cell>
          <cell r="K439">
            <v>0</v>
          </cell>
          <cell r="L439">
            <v>156453.99565014127</v>
          </cell>
          <cell r="M439">
            <v>1.0566666666666667E-2</v>
          </cell>
          <cell r="N439">
            <v>7.7233206728919762E-3</v>
          </cell>
          <cell r="O439">
            <v>-0.26908637165060167</v>
          </cell>
          <cell r="P439">
            <v>1158158.2851670987</v>
          </cell>
          <cell r="Q439">
            <v>51451775.279999964</v>
          </cell>
          <cell r="R439" t="str">
            <v>OK</v>
          </cell>
          <cell r="S439">
            <v>0</v>
          </cell>
          <cell r="T439">
            <v>45370</v>
          </cell>
          <cell r="U439" t="str">
            <v>PAGADO</v>
          </cell>
        </row>
        <row r="440">
          <cell r="A440" t="str">
            <v>20243</v>
          </cell>
          <cell r="B440" t="str">
            <v>DAVIVIENDA</v>
          </cell>
          <cell r="C440" t="str">
            <v>GLADYS JEANNETH CORREA RUEDA</v>
          </cell>
          <cell r="D440" t="str">
            <v>5904046002318540</v>
          </cell>
          <cell r="E440">
            <v>45366</v>
          </cell>
          <cell r="F440">
            <v>39</v>
          </cell>
          <cell r="G440">
            <v>81</v>
          </cell>
          <cell r="H440">
            <v>599694.1</v>
          </cell>
          <cell r="I440">
            <v>397543.54988148418</v>
          </cell>
          <cell r="J440">
            <v>0</v>
          </cell>
          <cell r="K440">
            <v>0</v>
          </cell>
          <cell r="L440">
            <v>1158158.2851670987</v>
          </cell>
          <cell r="M440">
            <v>1.0566666666666667E-2</v>
          </cell>
          <cell r="N440">
            <v>7.7265273689402711E-3</v>
          </cell>
          <cell r="O440">
            <v>-0.26878289883846018</v>
          </cell>
          <cell r="P440">
            <v>2155395.935048583</v>
          </cell>
          <cell r="Q440">
            <v>50852081.179999962</v>
          </cell>
          <cell r="R440" t="str">
            <v>OK</v>
          </cell>
          <cell r="S440">
            <v>2400000</v>
          </cell>
          <cell r="T440">
            <v>45370</v>
          </cell>
          <cell r="U440" t="str">
            <v>PAGADO</v>
          </cell>
        </row>
        <row r="441">
          <cell r="A441" t="str">
            <v>20244</v>
          </cell>
          <cell r="B441" t="str">
            <v>DAVIVIENDA</v>
          </cell>
          <cell r="C441" t="str">
            <v>GLADYS JEANNETH CORREA RUEDA</v>
          </cell>
          <cell r="D441" t="str">
            <v>5904046002318540</v>
          </cell>
          <cell r="E441">
            <v>45397</v>
          </cell>
          <cell r="F441">
            <v>40</v>
          </cell>
          <cell r="G441">
            <v>80</v>
          </cell>
          <cell r="H441">
            <v>599694.1</v>
          </cell>
          <cell r="I441">
            <v>393195.33268913819</v>
          </cell>
          <cell r="J441">
            <v>0</v>
          </cell>
          <cell r="K441">
            <v>0</v>
          </cell>
          <cell r="L441">
            <v>0</v>
          </cell>
          <cell r="M441">
            <v>1.0566666666666667E-2</v>
          </cell>
          <cell r="N441">
            <v>7.7321384605155792E-3</v>
          </cell>
          <cell r="O441">
            <v>-0.26825188070830486</v>
          </cell>
          <cell r="P441">
            <v>992889.43268913822</v>
          </cell>
          <cell r="Q441">
            <v>50252387.079999961</v>
          </cell>
          <cell r="R441" t="str">
            <v>OK</v>
          </cell>
          <cell r="S441">
            <v>1050000</v>
          </cell>
          <cell r="T441">
            <v>45399</v>
          </cell>
          <cell r="U441" t="str">
            <v>PAGADO</v>
          </cell>
        </row>
        <row r="442">
          <cell r="A442" t="str">
            <v>20245</v>
          </cell>
          <cell r="B442" t="str">
            <v>DAVIVIENDA</v>
          </cell>
          <cell r="C442" t="str">
            <v>GLADYS JEANNETH CORREA RUEDA</v>
          </cell>
          <cell r="D442" t="str">
            <v>5904046002318540</v>
          </cell>
          <cell r="E442">
            <v>45427</v>
          </cell>
          <cell r="F442">
            <v>41</v>
          </cell>
          <cell r="G442">
            <v>79</v>
          </cell>
          <cell r="H442">
            <v>599694.1</v>
          </cell>
          <cell r="I442">
            <v>388811.79107216606</v>
          </cell>
          <cell r="J442">
            <v>0</v>
          </cell>
          <cell r="K442">
            <v>0</v>
          </cell>
          <cell r="L442">
            <v>0</v>
          </cell>
          <cell r="M442">
            <v>1.0566666666666667E-2</v>
          </cell>
          <cell r="N442">
            <v>7.737180533398183E-3</v>
          </cell>
          <cell r="O442">
            <v>-0.26777471292761679</v>
          </cell>
          <cell r="P442">
            <v>988505.89107216604</v>
          </cell>
          <cell r="Q442">
            <v>49652692.979999959</v>
          </cell>
          <cell r="R442" t="str">
            <v>OK</v>
          </cell>
          <cell r="S442">
            <v>1200000</v>
          </cell>
          <cell r="T442">
            <v>45428</v>
          </cell>
          <cell r="U442" t="str">
            <v>PAGADO</v>
          </cell>
        </row>
        <row r="443">
          <cell r="A443" t="str">
            <v>20246</v>
          </cell>
          <cell r="B443" t="str">
            <v>DAVIVIENDA</v>
          </cell>
          <cell r="C443" t="str">
            <v>GLADYS JEANNETH CORREA RUEDA</v>
          </cell>
          <cell r="D443" t="str">
            <v>5904046002318540</v>
          </cell>
          <cell r="E443">
            <v>45458</v>
          </cell>
          <cell r="F443">
            <v>42</v>
          </cell>
          <cell r="G443">
            <v>78</v>
          </cell>
          <cell r="H443">
            <v>599694.1</v>
          </cell>
          <cell r="I443">
            <v>384328.10399076698</v>
          </cell>
          <cell r="J443">
            <v>0</v>
          </cell>
          <cell r="K443">
            <v>0</v>
          </cell>
          <cell r="L443">
            <v>0</v>
          </cell>
          <cell r="M443">
            <v>1.0566666666666667E-2</v>
          </cell>
          <cell r="N443">
            <v>7.7403274812420314E-3</v>
          </cell>
          <cell r="O443">
            <v>-0.2674768945196816</v>
          </cell>
          <cell r="P443">
            <v>984022.20399076701</v>
          </cell>
          <cell r="Q443">
            <v>49052998.879999958</v>
          </cell>
          <cell r="R443" t="str">
            <v>OK</v>
          </cell>
          <cell r="S443">
            <v>960000</v>
          </cell>
          <cell r="T443">
            <v>45461</v>
          </cell>
          <cell r="U443" t="str">
            <v>PAGADO</v>
          </cell>
        </row>
        <row r="444">
          <cell r="A444" t="str">
            <v>20247</v>
          </cell>
          <cell r="B444" t="str">
            <v>DAVIVIENDA</v>
          </cell>
          <cell r="C444" t="str">
            <v>GLADYS JEANNETH CORREA RUEDA</v>
          </cell>
          <cell r="D444" t="str">
            <v>5904046002318540</v>
          </cell>
          <cell r="E444">
            <v>45488</v>
          </cell>
          <cell r="F444">
            <v>43</v>
          </cell>
          <cell r="G444">
            <v>77</v>
          </cell>
          <cell r="H444">
            <v>599694.1</v>
          </cell>
          <cell r="I444">
            <v>379907.33517528506</v>
          </cell>
          <cell r="J444">
            <v>0</v>
          </cell>
          <cell r="K444">
            <v>0</v>
          </cell>
          <cell r="L444">
            <v>24022.203990767011</v>
          </cell>
          <cell r="M444">
            <v>1.0566666666666667E-2</v>
          </cell>
          <cell r="N444">
            <v>7.7448340335861112E-3</v>
          </cell>
          <cell r="O444">
            <v>-0.2670504069161409</v>
          </cell>
          <cell r="P444">
            <v>1003623.639166052</v>
          </cell>
          <cell r="Q444">
            <v>48453304.779999956</v>
          </cell>
          <cell r="R444" t="str">
            <v>OK</v>
          </cell>
          <cell r="S444">
            <v>1110000</v>
          </cell>
          <cell r="T444">
            <v>45505</v>
          </cell>
          <cell r="U444" t="str">
            <v>PAGADO</v>
          </cell>
        </row>
        <row r="445">
          <cell r="A445" t="str">
            <v>20248</v>
          </cell>
          <cell r="B445" t="str">
            <v>DAVIVIENDA</v>
          </cell>
          <cell r="C445" t="str">
            <v>GLADYS JEANNETH CORREA RUEDA</v>
          </cell>
          <cell r="D445" t="str">
            <v>5904046002318540</v>
          </cell>
          <cell r="E445">
            <v>45519</v>
          </cell>
          <cell r="F445">
            <v>44</v>
          </cell>
          <cell r="G445">
            <v>76</v>
          </cell>
          <cell r="H445">
            <v>599694.1</v>
          </cell>
          <cell r="I445">
            <v>375497.39042360435</v>
          </cell>
          <cell r="J445">
            <v>0</v>
          </cell>
          <cell r="K445">
            <v>0</v>
          </cell>
          <cell r="L445">
            <v>0</v>
          </cell>
          <cell r="M445">
            <v>1.0566666666666667E-2</v>
          </cell>
          <cell r="N445">
            <v>7.749675530462438E-3</v>
          </cell>
          <cell r="O445">
            <v>-0.26659222109188285</v>
          </cell>
          <cell r="P445">
            <v>975191.49042360438</v>
          </cell>
          <cell r="Q445">
            <v>47853610.679999955</v>
          </cell>
          <cell r="R445" t="str">
            <v>OK</v>
          </cell>
          <cell r="S445">
            <v>1110000</v>
          </cell>
          <cell r="T445">
            <v>45532</v>
          </cell>
          <cell r="U445" t="str">
            <v>PAGADO</v>
          </cell>
        </row>
        <row r="446">
          <cell r="A446" t="str">
            <v>20249</v>
          </cell>
          <cell r="B446" t="str">
            <v>DAVIVIENDA</v>
          </cell>
          <cell r="C446" t="str">
            <v>GLADYS JEANNETH CORREA RUEDA</v>
          </cell>
          <cell r="D446" t="str">
            <v>5904046002318540</v>
          </cell>
          <cell r="E446">
            <v>45550</v>
          </cell>
          <cell r="F446">
            <v>45</v>
          </cell>
          <cell r="G446">
            <v>75</v>
          </cell>
          <cell r="H446">
            <v>599694.1</v>
          </cell>
          <cell r="I446">
            <v>371072.86211476254</v>
          </cell>
          <cell r="J446">
            <v>0</v>
          </cell>
          <cell r="K446">
            <v>0</v>
          </cell>
          <cell r="L446">
            <v>0</v>
          </cell>
          <cell r="M446">
            <v>1.0566666666666667E-2</v>
          </cell>
          <cell r="N446">
            <v>7.7543336195914168E-3</v>
          </cell>
          <cell r="O446">
            <v>-0.26615139246768926</v>
          </cell>
          <cell r="P446">
            <v>970766.96211476251</v>
          </cell>
          <cell r="Q446">
            <v>47253916.579999954</v>
          </cell>
          <cell r="R446">
            <v>-13</v>
          </cell>
          <cell r="U446" t="str">
            <v>PENDIENTE</v>
          </cell>
        </row>
        <row r="447">
          <cell r="A447" t="str">
            <v>202410</v>
          </cell>
          <cell r="B447" t="str">
            <v>DAVIVIENDA</v>
          </cell>
          <cell r="C447" t="str">
            <v>GLADYS JEANNETH CORREA RUEDA</v>
          </cell>
          <cell r="D447" t="str">
            <v>5904046002318540</v>
          </cell>
          <cell r="E447">
            <v>45580</v>
          </cell>
          <cell r="F447">
            <v>46</v>
          </cell>
          <cell r="G447">
            <v>74</v>
          </cell>
          <cell r="H447">
            <v>599694.1</v>
          </cell>
          <cell r="I447">
            <v>366638.66932830442</v>
          </cell>
          <cell r="J447">
            <v>0</v>
          </cell>
          <cell r="K447">
            <v>0</v>
          </cell>
          <cell r="L447">
            <v>0</v>
          </cell>
          <cell r="M447">
            <v>1.0566666666666667E-2</v>
          </cell>
          <cell r="N447">
            <v>7.7589054170270171E-3</v>
          </cell>
          <cell r="O447">
            <v>-0.26571873024980908</v>
          </cell>
          <cell r="P447">
            <v>966332.76932830433</v>
          </cell>
          <cell r="Q447">
            <v>46654222.479999952</v>
          </cell>
          <cell r="R447">
            <v>-13</v>
          </cell>
          <cell r="U447" t="str">
            <v>PENDIENTE</v>
          </cell>
        </row>
        <row r="448">
          <cell r="A448" t="str">
            <v>202411</v>
          </cell>
          <cell r="B448" t="str">
            <v>DAVIVIENDA</v>
          </cell>
          <cell r="C448" t="str">
            <v>GLADYS JEANNETH CORREA RUEDA</v>
          </cell>
          <cell r="D448" t="str">
            <v>5904046002318540</v>
          </cell>
          <cell r="E448">
            <v>45611</v>
          </cell>
          <cell r="F448">
            <v>47</v>
          </cell>
          <cell r="G448">
            <v>73</v>
          </cell>
          <cell r="H448">
            <v>599694.1</v>
          </cell>
          <cell r="I448">
            <v>362216.1502130311</v>
          </cell>
          <cell r="J448">
            <v>0</v>
          </cell>
          <cell r="K448">
            <v>0</v>
          </cell>
          <cell r="L448">
            <v>0</v>
          </cell>
          <cell r="M448">
            <v>1.0566666666666667E-2</v>
          </cell>
          <cell r="N448">
            <v>7.763844963192954E-3</v>
          </cell>
          <cell r="O448">
            <v>-0.26525126531296972</v>
          </cell>
          <cell r="P448">
            <v>961910.25021303107</v>
          </cell>
          <cell r="Q448">
            <v>46054528.379999951</v>
          </cell>
          <cell r="R448">
            <v>-43</v>
          </cell>
          <cell r="U448" t="str">
            <v>PENDIENTE</v>
          </cell>
        </row>
        <row r="449">
          <cell r="A449" t="str">
            <v>202412</v>
          </cell>
          <cell r="B449" t="str">
            <v>DAVIVIENDA</v>
          </cell>
          <cell r="C449" t="str">
            <v>GLADYS JEANNETH CORREA RUEDA</v>
          </cell>
          <cell r="D449" t="str">
            <v>5904046002318540</v>
          </cell>
          <cell r="E449">
            <v>45641</v>
          </cell>
          <cell r="F449">
            <v>48</v>
          </cell>
          <cell r="G449">
            <v>72</v>
          </cell>
          <cell r="H449">
            <v>599694.1</v>
          </cell>
          <cell r="I449">
            <v>357793.21526887908</v>
          </cell>
          <cell r="J449">
            <v>0</v>
          </cell>
          <cell r="K449">
            <v>0</v>
          </cell>
          <cell r="L449">
            <v>0</v>
          </cell>
          <cell r="M449">
            <v>1.0566666666666667E-2</v>
          </cell>
          <cell r="N449">
            <v>7.7689041198445441E-3</v>
          </cell>
          <cell r="O449">
            <v>-0.2647724807718097</v>
          </cell>
          <cell r="P449">
            <v>957487.31526887906</v>
          </cell>
          <cell r="Q449">
            <v>45454834.279999949</v>
          </cell>
          <cell r="R449">
            <v>-74</v>
          </cell>
          <cell r="U449" t="str">
            <v>PENDIENTE</v>
          </cell>
        </row>
        <row r="450">
          <cell r="A450" t="str">
            <v>20251</v>
          </cell>
          <cell r="B450" t="str">
            <v>DAVIVIENDA</v>
          </cell>
          <cell r="C450" t="str">
            <v>GLADYS JEANNETH CORREA RUEDA</v>
          </cell>
          <cell r="D450" t="str">
            <v>5904046002318540</v>
          </cell>
          <cell r="E450">
            <v>45672</v>
          </cell>
          <cell r="F450">
            <v>49</v>
          </cell>
          <cell r="G450">
            <v>71</v>
          </cell>
          <cell r="H450">
            <v>599694.1</v>
          </cell>
          <cell r="I450">
            <v>353367.22086949483</v>
          </cell>
          <cell r="J450">
            <v>0</v>
          </cell>
          <cell r="K450">
            <v>0</v>
          </cell>
          <cell r="L450">
            <v>0</v>
          </cell>
          <cell r="M450">
            <v>1.0566666666666667E-2</v>
          </cell>
          <cell r="N450">
            <v>7.7740294617018504E-3</v>
          </cell>
          <cell r="O450">
            <v>-0.26428743264651255</v>
          </cell>
          <cell r="P450">
            <v>953061.32086949481</v>
          </cell>
          <cell r="Q450">
            <v>44855140.179999948</v>
          </cell>
          <cell r="R450">
            <v>-104</v>
          </cell>
          <cell r="U450" t="str">
            <v>PENDIENTE</v>
          </cell>
        </row>
        <row r="451">
          <cell r="A451" t="str">
            <v>20252</v>
          </cell>
          <cell r="B451" t="str">
            <v>DAVIVIENDA</v>
          </cell>
          <cell r="C451" t="str">
            <v>GLADYS JEANNETH CORREA RUEDA</v>
          </cell>
          <cell r="D451" t="str">
            <v>5904046002318540</v>
          </cell>
          <cell r="E451">
            <v>45703</v>
          </cell>
          <cell r="F451">
            <v>50</v>
          </cell>
          <cell r="G451">
            <v>70</v>
          </cell>
          <cell r="H451">
            <v>599694.1</v>
          </cell>
          <cell r="I451">
            <v>348940.88298041385</v>
          </cell>
          <cell r="J451">
            <v>0</v>
          </cell>
          <cell r="K451">
            <v>0</v>
          </cell>
          <cell r="L451">
            <v>0</v>
          </cell>
          <cell r="M451">
            <v>1.0566666666666667E-2</v>
          </cell>
          <cell r="N451">
            <v>7.7792841930744861E-3</v>
          </cell>
          <cell r="O451">
            <v>-0.26379013945667329</v>
          </cell>
          <cell r="P451">
            <v>948634.98298041383</v>
          </cell>
          <cell r="Q451">
            <v>44255446.079999946</v>
          </cell>
          <cell r="R451">
            <v>-135</v>
          </cell>
          <cell r="U451" t="str">
            <v>PENDIENTE</v>
          </cell>
        </row>
        <row r="452">
          <cell r="A452" t="str">
            <v>20253</v>
          </cell>
          <cell r="B452" t="str">
            <v>DAVIVIENDA</v>
          </cell>
          <cell r="C452" t="str">
            <v>GLADYS JEANNETH CORREA RUEDA</v>
          </cell>
          <cell r="D452" t="str">
            <v>5904046002318540</v>
          </cell>
          <cell r="E452">
            <v>45731</v>
          </cell>
          <cell r="F452">
            <v>51</v>
          </cell>
          <cell r="G452">
            <v>69</v>
          </cell>
          <cell r="H452">
            <v>599694.1</v>
          </cell>
          <cell r="I452">
            <v>344516.39205801283</v>
          </cell>
          <cell r="J452">
            <v>0</v>
          </cell>
          <cell r="K452">
            <v>0</v>
          </cell>
          <cell r="L452">
            <v>0</v>
          </cell>
          <cell r="M452">
            <v>1.0566666666666667E-2</v>
          </cell>
          <cell r="N452">
            <v>7.7847230696813088E-3</v>
          </cell>
          <cell r="O452">
            <v>-0.26327541927306231</v>
          </cell>
          <cell r="P452">
            <v>944210.49205801287</v>
          </cell>
          <cell r="Q452">
            <v>43655751.979999945</v>
          </cell>
          <cell r="R452">
            <v>-166</v>
          </cell>
          <cell r="U452" t="str">
            <v>PENDIENTE</v>
          </cell>
        </row>
        <row r="453">
          <cell r="A453" t="str">
            <v>20254</v>
          </cell>
          <cell r="B453" t="str">
            <v>DAVIVIENDA</v>
          </cell>
          <cell r="C453" t="str">
            <v>GLADYS JEANNETH CORREA RUEDA</v>
          </cell>
          <cell r="D453" t="str">
            <v>5904046002318540</v>
          </cell>
          <cell r="E453">
            <v>45762</v>
          </cell>
          <cell r="F453">
            <v>52</v>
          </cell>
          <cell r="G453">
            <v>68</v>
          </cell>
          <cell r="H453">
            <v>599694.1</v>
          </cell>
          <cell r="I453">
            <v>340091.43721238733</v>
          </cell>
          <cell r="J453">
            <v>0</v>
          </cell>
          <cell r="K453">
            <v>0</v>
          </cell>
          <cell r="L453">
            <v>0</v>
          </cell>
          <cell r="M453">
            <v>1.0566666666666667E-2</v>
          </cell>
          <cell r="N453">
            <v>7.7903007458946941E-3</v>
          </cell>
          <cell r="O453">
            <v>-0.26274756347999739</v>
          </cell>
          <cell r="P453">
            <v>939785.53721238731</v>
          </cell>
          <cell r="Q453">
            <v>43056057.879999943</v>
          </cell>
          <cell r="R453">
            <v>-194</v>
          </cell>
          <cell r="U453" t="str">
            <v>PENDIENTE</v>
          </cell>
        </row>
        <row r="454">
          <cell r="A454" t="str">
            <v>20255</v>
          </cell>
          <cell r="B454" t="str">
            <v>DAVIVIENDA</v>
          </cell>
          <cell r="C454" t="str">
            <v>GLADYS JEANNETH CORREA RUEDA</v>
          </cell>
          <cell r="D454" t="str">
            <v>5904046002318540</v>
          </cell>
          <cell r="E454">
            <v>45792</v>
          </cell>
          <cell r="F454">
            <v>53</v>
          </cell>
          <cell r="G454">
            <v>67</v>
          </cell>
          <cell r="H454">
            <v>599694.1</v>
          </cell>
          <cell r="I454">
            <v>335666.00824057282</v>
          </cell>
          <cell r="J454">
            <v>0</v>
          </cell>
          <cell r="K454">
            <v>0</v>
          </cell>
          <cell r="L454">
            <v>0</v>
          </cell>
          <cell r="M454">
            <v>1.0566666666666667E-2</v>
          </cell>
          <cell r="N454">
            <v>7.7960227844382779E-3</v>
          </cell>
          <cell r="O454">
            <v>-0.26220604563675609</v>
          </cell>
          <cell r="P454">
            <v>935360.10824057274</v>
          </cell>
          <cell r="Q454">
            <v>42456363.779999942</v>
          </cell>
          <cell r="R454">
            <v>-225</v>
          </cell>
          <cell r="U454" t="str">
            <v>PENDIENTE</v>
          </cell>
        </row>
        <row r="455">
          <cell r="A455" t="str">
            <v>20256</v>
          </cell>
          <cell r="B455" t="str">
            <v>DAVIVIENDA</v>
          </cell>
          <cell r="C455" t="str">
            <v>GLADYS JEANNETH CORREA RUEDA</v>
          </cell>
          <cell r="D455" t="str">
            <v>5904046002318540</v>
          </cell>
          <cell r="E455">
            <v>45823</v>
          </cell>
          <cell r="F455">
            <v>54</v>
          </cell>
          <cell r="G455">
            <v>66</v>
          </cell>
          <cell r="H455">
            <v>599694.1</v>
          </cell>
          <cell r="I455">
            <v>331240.71216390352</v>
          </cell>
          <cell r="J455">
            <v>0</v>
          </cell>
          <cell r="K455">
            <v>0</v>
          </cell>
          <cell r="L455">
            <v>0</v>
          </cell>
          <cell r="M455">
            <v>1.0566666666666667E-2</v>
          </cell>
          <cell r="N455">
            <v>7.8019096001797064E-3</v>
          </cell>
          <cell r="O455">
            <v>-0.26164893373693632</v>
          </cell>
          <cell r="P455">
            <v>930934.81216390349</v>
          </cell>
          <cell r="Q455">
            <v>41856669.67999994</v>
          </cell>
          <cell r="R455">
            <v>-255</v>
          </cell>
          <cell r="U455" t="str">
            <v>PENDIENTE</v>
          </cell>
        </row>
        <row r="456">
          <cell r="A456" t="str">
            <v>20257</v>
          </cell>
          <cell r="B456" t="str">
            <v>DAVIVIENDA</v>
          </cell>
          <cell r="C456" t="str">
            <v>GLADYS JEANNETH CORREA RUEDA</v>
          </cell>
          <cell r="D456" t="str">
            <v>5904046002318540</v>
          </cell>
          <cell r="E456">
            <v>45853</v>
          </cell>
          <cell r="F456">
            <v>55</v>
          </cell>
          <cell r="G456">
            <v>65</v>
          </cell>
          <cell r="H456">
            <v>599694.1</v>
          </cell>
          <cell r="I456">
            <v>326815.66020491859</v>
          </cell>
          <cell r="J456">
            <v>0</v>
          </cell>
          <cell r="K456">
            <v>0</v>
          </cell>
          <cell r="L456">
            <v>0</v>
          </cell>
          <cell r="M456">
            <v>1.0566666666666667E-2</v>
          </cell>
          <cell r="N456">
            <v>7.8079709327920676E-3</v>
          </cell>
          <cell r="O456">
            <v>-0.2610753060449148</v>
          </cell>
          <cell r="P456">
            <v>926509.76020491857</v>
          </cell>
          <cell r="Q456">
            <v>41256975.579999939</v>
          </cell>
          <cell r="R456">
            <v>-286</v>
          </cell>
          <cell r="U456" t="str">
            <v>PENDIENTE</v>
          </cell>
        </row>
        <row r="457">
          <cell r="A457" t="str">
            <v>20258</v>
          </cell>
          <cell r="B457" t="str">
            <v>DAVIVIENDA</v>
          </cell>
          <cell r="C457" t="str">
            <v>GLADYS JEANNETH CORREA RUEDA</v>
          </cell>
          <cell r="D457" t="str">
            <v>5904046002318540</v>
          </cell>
          <cell r="E457">
            <v>45884</v>
          </cell>
          <cell r="F457">
            <v>56</v>
          </cell>
          <cell r="G457">
            <v>64</v>
          </cell>
          <cell r="H457">
            <v>599694.1</v>
          </cell>
          <cell r="I457">
            <v>322390.47675693029</v>
          </cell>
          <cell r="J457">
            <v>0</v>
          </cell>
          <cell r="K457">
            <v>0</v>
          </cell>
          <cell r="L457">
            <v>0</v>
          </cell>
          <cell r="M457">
            <v>1.0566666666666667E-2</v>
          </cell>
          <cell r="N457">
            <v>7.8142052883104426E-3</v>
          </cell>
          <cell r="O457">
            <v>-0.26048530394538394</v>
          </cell>
          <cell r="P457">
            <v>922084.57675693021</v>
          </cell>
          <cell r="Q457">
            <v>40657281.479999937</v>
          </cell>
          <cell r="R457">
            <v>-316</v>
          </cell>
          <cell r="U457" t="str">
            <v>PENDIENTE</v>
          </cell>
        </row>
        <row r="458">
          <cell r="A458" t="str">
            <v>20259</v>
          </cell>
          <cell r="B458" t="str">
            <v>DAVIVIENDA</v>
          </cell>
          <cell r="C458" t="str">
            <v>GLADYS JEANNETH CORREA RUEDA</v>
          </cell>
          <cell r="D458" t="str">
            <v>5904046002318540</v>
          </cell>
          <cell r="E458">
            <v>45915</v>
          </cell>
          <cell r="F458">
            <v>57</v>
          </cell>
          <cell r="G458">
            <v>63</v>
          </cell>
          <cell r="H458">
            <v>599694.1</v>
          </cell>
          <cell r="I458">
            <v>317965.23986389046</v>
          </cell>
          <cell r="J458">
            <v>0</v>
          </cell>
          <cell r="K458">
            <v>0</v>
          </cell>
          <cell r="L458">
            <v>0</v>
          </cell>
          <cell r="M458">
            <v>1.0566666666666667E-2</v>
          </cell>
          <cell r="N458">
            <v>7.8206222425447561E-3</v>
          </cell>
          <cell r="O458">
            <v>-0.25987802121027548</v>
          </cell>
          <cell r="P458">
            <v>917659.33986389043</v>
          </cell>
          <cell r="Q458">
            <v>40057587.379999936</v>
          </cell>
          <cell r="R458">
            <v>-347</v>
          </cell>
          <cell r="U458" t="str">
            <v>PENDIENTE</v>
          </cell>
        </row>
        <row r="459">
          <cell r="A459" t="str">
            <v>202510</v>
          </cell>
          <cell r="B459" t="str">
            <v>DAVIVIENDA</v>
          </cell>
          <cell r="C459" t="str">
            <v>GLADYS JEANNETH CORREA RUEDA</v>
          </cell>
          <cell r="D459" t="str">
            <v>5904046002318540</v>
          </cell>
          <cell r="E459">
            <v>45945</v>
          </cell>
          <cell r="F459">
            <v>58</v>
          </cell>
          <cell r="G459">
            <v>62</v>
          </cell>
          <cell r="H459">
            <v>599694.1</v>
          </cell>
          <cell r="I459">
            <v>313540.04791017325</v>
          </cell>
          <cell r="J459">
            <v>0</v>
          </cell>
          <cell r="K459">
            <v>0</v>
          </cell>
          <cell r="L459">
            <v>0</v>
          </cell>
          <cell r="M459">
            <v>1.0566666666666667E-2</v>
          </cell>
          <cell r="N459">
            <v>7.8272324525145622E-3</v>
          </cell>
          <cell r="O459">
            <v>-0.25925244928884272</v>
          </cell>
          <cell r="P459">
            <v>913234.14791017328</v>
          </cell>
          <cell r="Q459">
            <v>39457893.279999934</v>
          </cell>
          <cell r="R459">
            <v>-378</v>
          </cell>
          <cell r="U459" t="str">
            <v>PENDIENTE</v>
          </cell>
        </row>
        <row r="460">
          <cell r="A460" t="str">
            <v>202511</v>
          </cell>
          <cell r="B460" t="str">
            <v>DAVIVIENDA</v>
          </cell>
          <cell r="C460" t="str">
            <v>GLADYS JEANNETH CORREA RUEDA</v>
          </cell>
          <cell r="D460" t="str">
            <v>5904046002318540</v>
          </cell>
          <cell r="E460">
            <v>45976</v>
          </cell>
          <cell r="F460">
            <v>59</v>
          </cell>
          <cell r="G460">
            <v>61</v>
          </cell>
          <cell r="H460">
            <v>599694.1</v>
          </cell>
          <cell r="I460">
            <v>309114.88025216712</v>
          </cell>
          <cell r="J460">
            <v>0</v>
          </cell>
          <cell r="K460">
            <v>0</v>
          </cell>
          <cell r="L460">
            <v>0</v>
          </cell>
          <cell r="M460">
            <v>1.0566666666666667E-2</v>
          </cell>
          <cell r="N460">
            <v>7.8340442065326504E-3</v>
          </cell>
          <cell r="O460">
            <v>-0.25860780379817194</v>
          </cell>
          <cell r="P460">
            <v>908808.98025216709</v>
          </cell>
          <cell r="Q460">
            <v>38858199.179999933</v>
          </cell>
          <cell r="R460">
            <v>-408</v>
          </cell>
          <cell r="U460" t="str">
            <v>PENDIENTE</v>
          </cell>
        </row>
        <row r="461">
          <cell r="A461" t="str">
            <v>202512</v>
          </cell>
          <cell r="B461" t="str">
            <v>DAVIVIENDA</v>
          </cell>
          <cell r="C461" t="str">
            <v>GLADYS JEANNETH CORREA RUEDA</v>
          </cell>
          <cell r="D461" t="str">
            <v>5904046002318540</v>
          </cell>
          <cell r="E461">
            <v>46006</v>
          </cell>
          <cell r="F461">
            <v>60</v>
          </cell>
          <cell r="G461">
            <v>60</v>
          </cell>
          <cell r="H461">
            <v>599694.1</v>
          </cell>
          <cell r="I461">
            <v>304689.68558447663</v>
          </cell>
          <cell r="J461">
            <v>0</v>
          </cell>
          <cell r="K461">
            <v>0</v>
          </cell>
          <cell r="L461">
            <v>0</v>
          </cell>
          <cell r="M461">
            <v>1.0566666666666667E-2</v>
          </cell>
          <cell r="N461">
            <v>7.8410655154935345E-3</v>
          </cell>
          <cell r="O461">
            <v>-0.25794332660944475</v>
          </cell>
          <cell r="P461">
            <v>904383.78558447654</v>
          </cell>
          <cell r="Q461">
            <v>38258505.079999931</v>
          </cell>
          <cell r="R461">
            <v>-439</v>
          </cell>
          <cell r="U461" t="str">
            <v>PENDIENTE</v>
          </cell>
        </row>
        <row r="462">
          <cell r="A462" t="str">
            <v>20261</v>
          </cell>
          <cell r="B462" t="str">
            <v>DAVIVIENDA</v>
          </cell>
          <cell r="C462" t="str">
            <v>GLADYS JEANNETH CORREA RUEDA</v>
          </cell>
          <cell r="D462" t="str">
            <v>5904046002318540</v>
          </cell>
          <cell r="E462">
            <v>46037</v>
          </cell>
          <cell r="F462">
            <v>61</v>
          </cell>
          <cell r="G462">
            <v>59</v>
          </cell>
          <cell r="H462">
            <v>599694.1</v>
          </cell>
          <cell r="I462">
            <v>300264.48831316363</v>
          </cell>
          <cell r="J462">
            <v>0</v>
          </cell>
          <cell r="K462">
            <v>0</v>
          </cell>
          <cell r="L462">
            <v>0</v>
          </cell>
          <cell r="M462">
            <v>1.0566666666666667E-2</v>
          </cell>
          <cell r="N462">
            <v>7.8483068715126114E-3</v>
          </cell>
          <cell r="O462">
            <v>-0.25725802477798632</v>
          </cell>
          <cell r="P462">
            <v>899958.58831316361</v>
          </cell>
          <cell r="Q462">
            <v>37658810.97999993</v>
          </cell>
          <cell r="R462">
            <v>-469</v>
          </cell>
          <cell r="U462" t="str">
            <v>PENDIENTE</v>
          </cell>
        </row>
        <row r="463">
          <cell r="A463" t="str">
            <v>20262</v>
          </cell>
          <cell r="B463" t="str">
            <v>DAVIVIENDA</v>
          </cell>
          <cell r="C463" t="str">
            <v>GLADYS JEANNETH CORREA RUEDA</v>
          </cell>
          <cell r="D463" t="str">
            <v>5904046002318540</v>
          </cell>
          <cell r="E463">
            <v>46068</v>
          </cell>
          <cell r="F463">
            <v>62</v>
          </cell>
          <cell r="G463">
            <v>58</v>
          </cell>
          <cell r="H463">
            <v>599694.1</v>
          </cell>
          <cell r="I463">
            <v>295839.30027252634</v>
          </cell>
          <cell r="J463">
            <v>0</v>
          </cell>
          <cell r="K463">
            <v>0</v>
          </cell>
          <cell r="L463">
            <v>0</v>
          </cell>
          <cell r="M463">
            <v>1.0566666666666667E-2</v>
          </cell>
          <cell r="N463">
            <v>7.8557791011947369E-3</v>
          </cell>
          <cell r="O463">
            <v>-0.25655087370396812</v>
          </cell>
          <cell r="P463">
            <v>895533.40027252631</v>
          </cell>
          <cell r="Q463">
            <v>37059116.879999928</v>
          </cell>
          <cell r="R463">
            <v>-500</v>
          </cell>
          <cell r="U463" t="str">
            <v>PENDIENTE</v>
          </cell>
        </row>
        <row r="464">
          <cell r="A464" t="str">
            <v>20263</v>
          </cell>
          <cell r="B464" t="str">
            <v>DAVIVIENDA</v>
          </cell>
          <cell r="C464" t="str">
            <v>GLADYS JEANNETH CORREA RUEDA</v>
          </cell>
          <cell r="D464" t="str">
            <v>5904046002318540</v>
          </cell>
          <cell r="E464">
            <v>46096</v>
          </cell>
          <cell r="F464">
            <v>63</v>
          </cell>
          <cell r="G464">
            <v>57</v>
          </cell>
          <cell r="H464">
            <v>599694.1</v>
          </cell>
          <cell r="I464">
            <v>291414.11313680676</v>
          </cell>
          <cell r="J464">
            <v>0</v>
          </cell>
          <cell r="K464">
            <v>0</v>
          </cell>
          <cell r="L464">
            <v>0</v>
          </cell>
          <cell r="M464">
            <v>1.0566666666666667E-2</v>
          </cell>
          <cell r="N464">
            <v>7.8634931879360895E-3</v>
          </cell>
          <cell r="O464">
            <v>-0.25582083394926602</v>
          </cell>
          <cell r="P464">
            <v>891108.21313680673</v>
          </cell>
          <cell r="Q464">
            <v>36459422.779999927</v>
          </cell>
          <cell r="R464">
            <v>-531</v>
          </cell>
          <cell r="U464" t="str">
            <v>PENDIENTE</v>
          </cell>
        </row>
        <row r="465">
          <cell r="A465" t="str">
            <v>20264</v>
          </cell>
          <cell r="B465" t="str">
            <v>DAVIVIENDA</v>
          </cell>
          <cell r="C465" t="str">
            <v>GLADYS JEANNETH CORREA RUEDA</v>
          </cell>
          <cell r="D465" t="str">
            <v>5904046002318540</v>
          </cell>
          <cell r="E465">
            <v>46127</v>
          </cell>
          <cell r="F465">
            <v>64</v>
          </cell>
          <cell r="G465">
            <v>56</v>
          </cell>
          <cell r="H465">
            <v>599694.1</v>
          </cell>
          <cell r="I465">
            <v>286988.92147372518</v>
          </cell>
          <cell r="J465">
            <v>0</v>
          </cell>
          <cell r="K465">
            <v>0</v>
          </cell>
          <cell r="L465">
            <v>0</v>
          </cell>
          <cell r="M465">
            <v>1.0566666666666667E-2</v>
          </cell>
          <cell r="N465">
            <v>7.8714609171255164E-3</v>
          </cell>
          <cell r="O465">
            <v>-0.25506679017739597</v>
          </cell>
          <cell r="P465">
            <v>886683.02147372509</v>
          </cell>
          <cell r="Q465">
            <v>35859728.679999925</v>
          </cell>
          <cell r="R465">
            <v>-559</v>
          </cell>
          <cell r="U465" t="str">
            <v>PENDIENTE</v>
          </cell>
        </row>
        <row r="466">
          <cell r="A466" t="str">
            <v>20265</v>
          </cell>
          <cell r="B466" t="str">
            <v>DAVIVIENDA</v>
          </cell>
          <cell r="C466" t="str">
            <v>GLADYS JEANNETH CORREA RUEDA</v>
          </cell>
          <cell r="D466" t="str">
            <v>5904046002318540</v>
          </cell>
          <cell r="E466">
            <v>46157</v>
          </cell>
          <cell r="F466">
            <v>65</v>
          </cell>
          <cell r="G466">
            <v>55</v>
          </cell>
          <cell r="H466">
            <v>599694.1</v>
          </cell>
          <cell r="I466">
            <v>282563.73051061126</v>
          </cell>
          <cell r="J466">
            <v>0</v>
          </cell>
          <cell r="K466">
            <v>0</v>
          </cell>
          <cell r="L466">
            <v>0</v>
          </cell>
          <cell r="M466">
            <v>1.0566666666666667E-2</v>
          </cell>
          <cell r="N466">
            <v>7.8796951597741947E-3</v>
          </cell>
          <cell r="O466">
            <v>-0.25428752431159041</v>
          </cell>
          <cell r="P466">
            <v>882257.83051061118</v>
          </cell>
          <cell r="Q466">
            <v>35260034.579999924</v>
          </cell>
          <cell r="R466">
            <v>-590</v>
          </cell>
          <cell r="U466" t="str">
            <v>PENDIENTE</v>
          </cell>
        </row>
        <row r="467">
          <cell r="A467" t="str">
            <v>20266</v>
          </cell>
          <cell r="B467" t="str">
            <v>DAVIVIENDA</v>
          </cell>
          <cell r="C467" t="str">
            <v>GLADYS JEANNETH CORREA RUEDA</v>
          </cell>
          <cell r="D467" t="str">
            <v>5904046002318540</v>
          </cell>
          <cell r="E467">
            <v>46188</v>
          </cell>
          <cell r="F467">
            <v>66</v>
          </cell>
          <cell r="G467">
            <v>54</v>
          </cell>
          <cell r="H467">
            <v>599694.1</v>
          </cell>
          <cell r="I467">
            <v>278138.54101024044</v>
          </cell>
          <cell r="J467">
            <v>0</v>
          </cell>
          <cell r="K467">
            <v>0</v>
          </cell>
          <cell r="L467">
            <v>0</v>
          </cell>
          <cell r="M467">
            <v>1.0566666666666667E-2</v>
          </cell>
          <cell r="N467">
            <v>7.8882095359034399E-3</v>
          </cell>
          <cell r="O467">
            <v>-0.25348174739084162</v>
          </cell>
          <cell r="P467">
            <v>877832.64101024042</v>
          </cell>
          <cell r="Q467">
            <v>34660340.479999922</v>
          </cell>
          <cell r="R467">
            <v>-620</v>
          </cell>
          <cell r="U467" t="str">
            <v>PENDIENTE</v>
          </cell>
        </row>
        <row r="468">
          <cell r="A468" t="str">
            <v>20267</v>
          </cell>
          <cell r="B468" t="str">
            <v>DAVIVIENDA</v>
          </cell>
          <cell r="C468" t="str">
            <v>GLADYS JEANNETH CORREA RUEDA</v>
          </cell>
          <cell r="D468" t="str">
            <v>5904046002318540</v>
          </cell>
          <cell r="E468">
            <v>46218</v>
          </cell>
          <cell r="F468">
            <v>67</v>
          </cell>
          <cell r="G468">
            <v>53</v>
          </cell>
          <cell r="H468">
            <v>599694.1</v>
          </cell>
          <cell r="I468">
            <v>273713.35117074195</v>
          </cell>
          <cell r="J468">
            <v>0</v>
          </cell>
          <cell r="K468">
            <v>0</v>
          </cell>
          <cell r="L468">
            <v>0</v>
          </cell>
          <cell r="M468">
            <v>1.0566666666666667E-2</v>
          </cell>
          <cell r="N468">
            <v>7.8970185341567245E-3</v>
          </cell>
          <cell r="O468">
            <v>-0.25264808825015228</v>
          </cell>
          <cell r="P468">
            <v>873407.45117074193</v>
          </cell>
          <cell r="Q468">
            <v>34060646.379999921</v>
          </cell>
          <cell r="R468">
            <v>-651</v>
          </cell>
          <cell r="U468" t="str">
            <v>PENDIENTE</v>
          </cell>
        </row>
        <row r="469">
          <cell r="A469" t="str">
            <v>20268</v>
          </cell>
          <cell r="B469" t="str">
            <v>DAVIVIENDA</v>
          </cell>
          <cell r="C469" t="str">
            <v>GLADYS JEANNETH CORREA RUEDA</v>
          </cell>
          <cell r="D469" t="str">
            <v>5904046002318540</v>
          </cell>
          <cell r="E469">
            <v>46249</v>
          </cell>
          <cell r="F469">
            <v>68</v>
          </cell>
          <cell r="G469">
            <v>52</v>
          </cell>
          <cell r="H469">
            <v>599694.1</v>
          </cell>
          <cell r="I469">
            <v>269288.16070589382</v>
          </cell>
          <cell r="J469">
            <v>0</v>
          </cell>
          <cell r="K469">
            <v>0</v>
          </cell>
          <cell r="L469">
            <v>0</v>
          </cell>
          <cell r="M469">
            <v>1.0566666666666667E-2</v>
          </cell>
          <cell r="N469">
            <v>7.9061377080623229E-3</v>
          </cell>
          <cell r="O469">
            <v>-0.25178507494678337</v>
          </cell>
          <cell r="P469">
            <v>868982.26070589386</v>
          </cell>
          <cell r="Q469">
            <v>33460952.279999919</v>
          </cell>
          <cell r="R469">
            <v>-681</v>
          </cell>
          <cell r="U469" t="str">
            <v>PENDIENTE</v>
          </cell>
        </row>
        <row r="470">
          <cell r="A470" t="str">
            <v>20269</v>
          </cell>
          <cell r="B470" t="str">
            <v>DAVIVIENDA</v>
          </cell>
          <cell r="C470" t="str">
            <v>GLADYS JEANNETH CORREA RUEDA</v>
          </cell>
          <cell r="D470" t="str">
            <v>5904046002318540</v>
          </cell>
          <cell r="E470">
            <v>46280</v>
          </cell>
          <cell r="F470">
            <v>69</v>
          </cell>
          <cell r="G470">
            <v>51</v>
          </cell>
          <cell r="H470">
            <v>599694.1</v>
          </cell>
          <cell r="I470">
            <v>264862.97051833163</v>
          </cell>
          <cell r="J470">
            <v>0</v>
          </cell>
          <cell r="K470">
            <v>0</v>
          </cell>
          <cell r="L470">
            <v>0</v>
          </cell>
          <cell r="M470">
            <v>1.0566666666666667E-2</v>
          </cell>
          <cell r="N470">
            <v>7.9155837616923987E-3</v>
          </cell>
          <cell r="O470">
            <v>-0.25089112665371627</v>
          </cell>
          <cell r="P470">
            <v>864557.0705183316</v>
          </cell>
          <cell r="Q470">
            <v>32861258.179999918</v>
          </cell>
          <cell r="R470">
            <v>-712</v>
          </cell>
          <cell r="U470" t="str">
            <v>PENDIENTE</v>
          </cell>
        </row>
        <row r="471">
          <cell r="A471" t="str">
            <v>202610</v>
          </cell>
          <cell r="B471" t="str">
            <v>DAVIVIENDA</v>
          </cell>
          <cell r="C471" t="str">
            <v>GLADYS JEANNETH CORREA RUEDA</v>
          </cell>
          <cell r="D471" t="str">
            <v>5904046002318540</v>
          </cell>
          <cell r="E471">
            <v>46310</v>
          </cell>
          <cell r="F471">
            <v>70</v>
          </cell>
          <cell r="G471">
            <v>50</v>
          </cell>
          <cell r="H471">
            <v>599694.1</v>
          </cell>
          <cell r="I471">
            <v>260437.78050961267</v>
          </cell>
          <cell r="J471">
            <v>0</v>
          </cell>
          <cell r="K471">
            <v>0</v>
          </cell>
          <cell r="L471">
            <v>0</v>
          </cell>
          <cell r="M471">
            <v>1.0566666666666667E-2</v>
          </cell>
          <cell r="N471">
            <v>7.9253745880040836E-3</v>
          </cell>
          <cell r="O471">
            <v>-0.24996455003115925</v>
          </cell>
          <cell r="P471">
            <v>860131.88050961262</v>
          </cell>
          <cell r="Q471">
            <v>32261564.079999916</v>
          </cell>
          <cell r="R471">
            <v>-743</v>
          </cell>
          <cell r="U471" t="str">
            <v>PENDIENTE</v>
          </cell>
        </row>
        <row r="472">
          <cell r="A472" t="str">
            <v>202611</v>
          </cell>
          <cell r="B472" t="str">
            <v>DAVIVIENDA</v>
          </cell>
          <cell r="C472" t="str">
            <v>GLADYS JEANNETH CORREA RUEDA</v>
          </cell>
          <cell r="D472" t="str">
            <v>5904046002318540</v>
          </cell>
          <cell r="E472">
            <v>46341</v>
          </cell>
          <cell r="F472">
            <v>71</v>
          </cell>
          <cell r="G472">
            <v>49</v>
          </cell>
          <cell r="H472">
            <v>599694.1</v>
          </cell>
          <cell r="I472">
            <v>256012.59038357766</v>
          </cell>
          <cell r="J472">
            <v>0</v>
          </cell>
          <cell r="K472">
            <v>0</v>
          </cell>
          <cell r="L472">
            <v>0</v>
          </cell>
          <cell r="M472">
            <v>1.0566666666666667E-2</v>
          </cell>
          <cell r="N472">
            <v>7.9355294042389255E-3</v>
          </cell>
          <cell r="O472">
            <v>-0.24900352641272006</v>
          </cell>
          <cell r="P472">
            <v>855706.6903835776</v>
          </cell>
          <cell r="Q472">
            <v>31661869.979999915</v>
          </cell>
          <cell r="R472">
            <v>-773</v>
          </cell>
          <cell r="U472" t="str">
            <v>PENDIENTE</v>
          </cell>
        </row>
        <row r="473">
          <cell r="A473" t="str">
            <v>202612</v>
          </cell>
          <cell r="B473" t="str">
            <v>DAVIVIENDA</v>
          </cell>
          <cell r="C473" t="str">
            <v>GLADYS JEANNETH CORREA RUEDA</v>
          </cell>
          <cell r="D473" t="str">
            <v>5904046002318540</v>
          </cell>
          <cell r="E473">
            <v>46371</v>
          </cell>
          <cell r="F473">
            <v>72</v>
          </cell>
          <cell r="G473">
            <v>48</v>
          </cell>
          <cell r="H473">
            <v>599694.1</v>
          </cell>
          <cell r="I473">
            <v>251587.40019167078</v>
          </cell>
          <cell r="J473">
            <v>0</v>
          </cell>
          <cell r="K473">
            <v>0</v>
          </cell>
          <cell r="L473">
            <v>0</v>
          </cell>
          <cell r="M473">
            <v>1.0566666666666667E-2</v>
          </cell>
          <cell r="N473">
            <v>7.9460688945596977E-3</v>
          </cell>
          <cell r="O473">
            <v>-0.24800609830665321</v>
          </cell>
          <cell r="P473">
            <v>851281.50019167073</v>
          </cell>
          <cell r="Q473">
            <v>31062175.879999913</v>
          </cell>
          <cell r="R473">
            <v>-804</v>
          </cell>
          <cell r="U473" t="str">
            <v>PENDIENTE</v>
          </cell>
        </row>
        <row r="474">
          <cell r="A474" t="str">
            <v>20271</v>
          </cell>
          <cell r="B474" t="str">
            <v>DAVIVIENDA</v>
          </cell>
          <cell r="C474" t="str">
            <v>GLADYS JEANNETH CORREA RUEDA</v>
          </cell>
          <cell r="D474" t="str">
            <v>5904046002318540</v>
          </cell>
          <cell r="E474">
            <v>46402</v>
          </cell>
          <cell r="F474">
            <v>73</v>
          </cell>
          <cell r="G474">
            <v>47</v>
          </cell>
          <cell r="H474">
            <v>599694.1</v>
          </cell>
          <cell r="I474">
            <v>247162.21006255317</v>
          </cell>
          <cell r="J474">
            <v>0</v>
          </cell>
          <cell r="K474">
            <v>0</v>
          </cell>
          <cell r="L474">
            <v>0</v>
          </cell>
          <cell r="M474">
            <v>1.0566666666666667E-2</v>
          </cell>
          <cell r="N474">
            <v>7.9570153429494341E-3</v>
          </cell>
          <cell r="O474">
            <v>-0.24697015681866552</v>
          </cell>
          <cell r="P474">
            <v>846856.31006255315</v>
          </cell>
          <cell r="Q474">
            <v>30462481.779999912</v>
          </cell>
          <cell r="R474">
            <v>-834</v>
          </cell>
          <cell r="U474" t="str">
            <v>PENDIENTE</v>
          </cell>
        </row>
        <row r="475">
          <cell r="A475" t="str">
            <v>20272</v>
          </cell>
          <cell r="B475" t="str">
            <v>DAVIVIENDA</v>
          </cell>
          <cell r="C475" t="str">
            <v>GLADYS JEANNETH CORREA RUEDA</v>
          </cell>
          <cell r="D475" t="str">
            <v>5904046002318540</v>
          </cell>
          <cell r="E475">
            <v>46433</v>
          </cell>
          <cell r="F475">
            <v>74</v>
          </cell>
          <cell r="G475">
            <v>46</v>
          </cell>
          <cell r="H475">
            <v>599694.1</v>
          </cell>
          <cell r="I475">
            <v>242737.01994680736</v>
          </cell>
          <cell r="J475">
            <v>0</v>
          </cell>
          <cell r="K475">
            <v>0</v>
          </cell>
          <cell r="L475">
            <v>0</v>
          </cell>
          <cell r="M475">
            <v>1.0566666666666667E-2</v>
          </cell>
          <cell r="N475">
            <v>7.968392782303638E-3</v>
          </cell>
          <cell r="O475">
            <v>-0.24589342754224253</v>
          </cell>
          <cell r="P475">
            <v>842431.11994680739</v>
          </cell>
          <cell r="Q475">
            <v>29862787.67999991</v>
          </cell>
          <cell r="R475">
            <v>-865</v>
          </cell>
          <cell r="U475" t="str">
            <v>PENDIENTE</v>
          </cell>
        </row>
        <row r="476">
          <cell r="A476" t="str">
            <v>20273</v>
          </cell>
          <cell r="B476" t="str">
            <v>DAVIVIENDA</v>
          </cell>
          <cell r="C476" t="str">
            <v>GLADYS JEANNETH CORREA RUEDA</v>
          </cell>
          <cell r="D476" t="str">
            <v>5904046002318540</v>
          </cell>
          <cell r="E476">
            <v>46461</v>
          </cell>
          <cell r="F476">
            <v>75</v>
          </cell>
          <cell r="G476">
            <v>45</v>
          </cell>
          <cell r="H476">
            <v>599694.1</v>
          </cell>
          <cell r="I476">
            <v>238311.82980651679</v>
          </cell>
          <cell r="J476">
            <v>0</v>
          </cell>
          <cell r="K476">
            <v>0</v>
          </cell>
          <cell r="L476">
            <v>0</v>
          </cell>
          <cell r="M476">
            <v>1.0566666666666667E-2</v>
          </cell>
          <cell r="N476">
            <v>7.9802271763838722E-3</v>
          </cell>
          <cell r="O476">
            <v>-0.24477345333906575</v>
          </cell>
          <cell r="P476">
            <v>838005.92980651674</v>
          </cell>
          <cell r="Q476">
            <v>29263093.579999909</v>
          </cell>
          <cell r="R476">
            <v>-896</v>
          </cell>
          <cell r="U476" t="str">
            <v>PENDIENTE</v>
          </cell>
        </row>
        <row r="477">
          <cell r="A477" t="str">
            <v>20274</v>
          </cell>
          <cell r="B477" t="str">
            <v>DAVIVIENDA</v>
          </cell>
          <cell r="C477" t="str">
            <v>GLADYS JEANNETH CORREA RUEDA</v>
          </cell>
          <cell r="D477" t="str">
            <v>5904046002318540</v>
          </cell>
          <cell r="E477">
            <v>46492</v>
          </cell>
          <cell r="F477">
            <v>76</v>
          </cell>
          <cell r="G477">
            <v>44</v>
          </cell>
          <cell r="H477">
            <v>599694.1</v>
          </cell>
          <cell r="I477">
            <v>233886.63966298455</v>
          </cell>
          <cell r="J477">
            <v>0</v>
          </cell>
          <cell r="K477">
            <v>0</v>
          </cell>
          <cell r="L477">
            <v>0</v>
          </cell>
          <cell r="M477">
            <v>1.0566666666666667E-2</v>
          </cell>
          <cell r="N477">
            <v>7.9925466192964714E-3</v>
          </cell>
          <cell r="O477">
            <v>-0.24360757546090173</v>
          </cell>
          <cell r="P477">
            <v>833580.7396629845</v>
          </cell>
          <cell r="Q477">
            <v>28663399.479999907</v>
          </cell>
          <cell r="R477">
            <v>-924</v>
          </cell>
          <cell r="U477" t="str">
            <v>PENDIENTE</v>
          </cell>
        </row>
        <row r="478">
          <cell r="A478" t="str">
            <v>20275</v>
          </cell>
          <cell r="B478" t="str">
            <v>DAVIVIENDA</v>
          </cell>
          <cell r="C478" t="str">
            <v>GLADYS JEANNETH CORREA RUEDA</v>
          </cell>
          <cell r="D478" t="str">
            <v>5904046002318540</v>
          </cell>
          <cell r="E478">
            <v>46522</v>
          </cell>
          <cell r="F478">
            <v>77</v>
          </cell>
          <cell r="G478">
            <v>43</v>
          </cell>
          <cell r="H478">
            <v>599694.1</v>
          </cell>
          <cell r="I478">
            <v>229461.44953050819</v>
          </cell>
          <cell r="J478">
            <v>0</v>
          </cell>
          <cell r="K478">
            <v>0</v>
          </cell>
          <cell r="L478">
            <v>0</v>
          </cell>
          <cell r="M478">
            <v>1.0566666666666667E-2</v>
          </cell>
          <cell r="N478">
            <v>8.0053815560368752E-3</v>
          </cell>
          <cell r="O478">
            <v>-0.24239291267789831</v>
          </cell>
          <cell r="P478">
            <v>829155.54953050823</v>
          </cell>
          <cell r="Q478">
            <v>28063705.379999906</v>
          </cell>
          <cell r="R478">
            <v>-955</v>
          </cell>
          <cell r="U478" t="str">
            <v>PENDIENTE</v>
          </cell>
        </row>
        <row r="479">
          <cell r="A479" t="str">
            <v>20276</v>
          </cell>
          <cell r="B479" t="str">
            <v>DAVIVIENDA</v>
          </cell>
          <cell r="C479" t="str">
            <v>GLADYS JEANNETH CORREA RUEDA</v>
          </cell>
          <cell r="D479" t="str">
            <v>5904046002318540</v>
          </cell>
          <cell r="E479">
            <v>46553</v>
          </cell>
          <cell r="F479">
            <v>78</v>
          </cell>
          <cell r="G479">
            <v>42</v>
          </cell>
          <cell r="H479">
            <v>599694.1</v>
          </cell>
          <cell r="I479">
            <v>225036.25939725636</v>
          </cell>
          <cell r="J479">
            <v>0</v>
          </cell>
          <cell r="K479">
            <v>0</v>
          </cell>
          <cell r="L479">
            <v>0</v>
          </cell>
          <cell r="M479">
            <v>1.0566666666666667E-2</v>
          </cell>
          <cell r="N479">
            <v>8.0187650329892786E-3</v>
          </cell>
          <cell r="O479">
            <v>-0.24112633757199253</v>
          </cell>
          <cell r="P479">
            <v>824730.35939725628</v>
          </cell>
          <cell r="Q479">
            <v>27464011.279999904</v>
          </cell>
          <cell r="R479">
            <v>-985</v>
          </cell>
          <cell r="U479" t="str">
            <v>PENDIENTE</v>
          </cell>
        </row>
        <row r="480">
          <cell r="A480" t="str">
            <v>20277</v>
          </cell>
          <cell r="B480" t="str">
            <v>DAVIVIENDA</v>
          </cell>
          <cell r="C480" t="str">
            <v>GLADYS JEANNETH CORREA RUEDA</v>
          </cell>
          <cell r="D480" t="str">
            <v>5904046002318540</v>
          </cell>
          <cell r="E480">
            <v>46583</v>
          </cell>
          <cell r="F480">
            <v>79</v>
          </cell>
          <cell r="G480">
            <v>41</v>
          </cell>
          <cell r="H480">
            <v>599694.1</v>
          </cell>
          <cell r="I480">
            <v>220611.06926001821</v>
          </cell>
          <cell r="J480">
            <v>0</v>
          </cell>
          <cell r="K480">
            <v>0</v>
          </cell>
          <cell r="L480">
            <v>0</v>
          </cell>
          <cell r="M480">
            <v>1.0566666666666667E-2</v>
          </cell>
          <cell r="N480">
            <v>8.0327329832067772E-3</v>
          </cell>
          <cell r="O480">
            <v>-0.23980444953879088</v>
          </cell>
          <cell r="P480">
            <v>820305.16926001816</v>
          </cell>
          <cell r="Q480">
            <v>26864317.179999903</v>
          </cell>
          <cell r="R480">
            <v>-1016</v>
          </cell>
          <cell r="U480" t="str">
            <v>PENDIENTE</v>
          </cell>
        </row>
        <row r="481">
          <cell r="A481" t="str">
            <v>20278</v>
          </cell>
          <cell r="B481" t="str">
            <v>DAVIVIENDA</v>
          </cell>
          <cell r="C481" t="str">
            <v>GLADYS JEANNETH CORREA RUEDA</v>
          </cell>
          <cell r="D481" t="str">
            <v>5904046002318540</v>
          </cell>
          <cell r="E481">
            <v>46614</v>
          </cell>
          <cell r="F481">
            <v>80</v>
          </cell>
          <cell r="G481">
            <v>40</v>
          </cell>
          <cell r="H481">
            <v>599694.1</v>
          </cell>
          <cell r="I481">
            <v>216185.87912347788</v>
          </cell>
          <cell r="J481">
            <v>0</v>
          </cell>
          <cell r="K481">
            <v>0</v>
          </cell>
          <cell r="L481">
            <v>0</v>
          </cell>
          <cell r="M481">
            <v>1.0566666666666667E-2</v>
          </cell>
          <cell r="N481">
            <v>8.0473245485809392E-3</v>
          </cell>
          <cell r="O481">
            <v>-0.2384235442983339</v>
          </cell>
          <cell r="P481">
            <v>815879.97912347782</v>
          </cell>
          <cell r="Q481">
            <v>26264623.079999901</v>
          </cell>
          <cell r="R481">
            <v>-1046</v>
          </cell>
          <cell r="U481" t="str">
            <v>PENDIENTE</v>
          </cell>
        </row>
        <row r="482">
          <cell r="A482" t="str">
            <v>20279</v>
          </cell>
          <cell r="B482" t="str">
            <v>DAVIVIENDA</v>
          </cell>
          <cell r="C482" t="str">
            <v>GLADYS JEANNETH CORREA RUEDA</v>
          </cell>
          <cell r="D482" t="str">
            <v>5904046002318540</v>
          </cell>
          <cell r="E482">
            <v>46645</v>
          </cell>
          <cell r="F482">
            <v>81</v>
          </cell>
          <cell r="G482">
            <v>39</v>
          </cell>
          <cell r="H482">
            <v>599694.1</v>
          </cell>
          <cell r="I482">
            <v>211760.68898852335</v>
          </cell>
          <cell r="J482">
            <v>0</v>
          </cell>
          <cell r="K482">
            <v>0</v>
          </cell>
          <cell r="L482">
            <v>0</v>
          </cell>
          <cell r="M482">
            <v>1.0566666666666667E-2</v>
          </cell>
          <cell r="N482">
            <v>8.0625824457300436E-3</v>
          </cell>
          <cell r="O482">
            <v>-0.23697957926845015</v>
          </cell>
          <cell r="P482">
            <v>811454.7889885233</v>
          </cell>
          <cell r="Q482">
            <v>25664928.9799999</v>
          </cell>
          <cell r="R482">
            <v>-1077</v>
          </cell>
          <cell r="U482" t="str">
            <v>PENDIENTE</v>
          </cell>
        </row>
        <row r="483">
          <cell r="A483" t="str">
            <v>202710</v>
          </cell>
          <cell r="B483" t="str">
            <v>DAVIVIENDA</v>
          </cell>
          <cell r="C483" t="str">
            <v>GLADYS JEANNETH CORREA RUEDA</v>
          </cell>
          <cell r="D483" t="str">
            <v>5904046002318540</v>
          </cell>
          <cell r="E483">
            <v>46675</v>
          </cell>
          <cell r="F483">
            <v>82</v>
          </cell>
          <cell r="G483">
            <v>38</v>
          </cell>
          <cell r="H483">
            <v>599694.1</v>
          </cell>
          <cell r="I483">
            <v>207335.49885300599</v>
          </cell>
          <cell r="J483">
            <v>0</v>
          </cell>
          <cell r="K483">
            <v>0</v>
          </cell>
          <cell r="L483">
            <v>0</v>
          </cell>
          <cell r="M483">
            <v>1.0566666666666667E-2</v>
          </cell>
          <cell r="N483">
            <v>8.0785533836691265E-3</v>
          </cell>
          <cell r="O483">
            <v>-0.23546813403762212</v>
          </cell>
          <cell r="P483">
            <v>807029.59885300603</v>
          </cell>
          <cell r="Q483">
            <v>25065234.879999898</v>
          </cell>
          <cell r="R483">
            <v>-1108</v>
          </cell>
          <cell r="U483" t="str">
            <v>PENDIENTE</v>
          </cell>
        </row>
        <row r="484">
          <cell r="A484" t="str">
            <v>202711</v>
          </cell>
          <cell r="B484" t="str">
            <v>DAVIVIENDA</v>
          </cell>
          <cell r="C484" t="str">
            <v>GLADYS JEANNETH CORREA RUEDA</v>
          </cell>
          <cell r="D484" t="str">
            <v>5904046002318540</v>
          </cell>
          <cell r="E484">
            <v>46706</v>
          </cell>
          <cell r="F484">
            <v>83</v>
          </cell>
          <cell r="G484">
            <v>37</v>
          </cell>
          <cell r="H484">
            <v>599694.1</v>
          </cell>
          <cell r="I484">
            <v>202910.30871697713</v>
          </cell>
          <cell r="J484">
            <v>0</v>
          </cell>
          <cell r="K484">
            <v>0</v>
          </cell>
          <cell r="L484">
            <v>0</v>
          </cell>
          <cell r="M484">
            <v>1.0566666666666667E-2</v>
          </cell>
          <cell r="N484">
            <v>8.0952885416160098E-3</v>
          </cell>
          <cell r="O484">
            <v>-0.23388436514674993</v>
          </cell>
          <cell r="P484">
            <v>802604.40871697711</v>
          </cell>
          <cell r="Q484">
            <v>24465540.779999897</v>
          </cell>
          <cell r="R484">
            <v>-1138</v>
          </cell>
          <cell r="U484" t="str">
            <v>PENDIENTE</v>
          </cell>
        </row>
        <row r="485">
          <cell r="A485" t="str">
            <v>202712</v>
          </cell>
          <cell r="B485" t="str">
            <v>DAVIVIENDA</v>
          </cell>
          <cell r="C485" t="str">
            <v>GLADYS JEANNETH CORREA RUEDA</v>
          </cell>
          <cell r="D485" t="str">
            <v>5904046002318540</v>
          </cell>
          <cell r="E485">
            <v>46736</v>
          </cell>
          <cell r="F485">
            <v>84</v>
          </cell>
          <cell r="G485">
            <v>36</v>
          </cell>
          <cell r="H485">
            <v>599694.1</v>
          </cell>
          <cell r="I485">
            <v>198485.11858122156</v>
          </cell>
          <cell r="J485">
            <v>0</v>
          </cell>
          <cell r="K485">
            <v>0</v>
          </cell>
          <cell r="L485">
            <v>0</v>
          </cell>
          <cell r="M485">
            <v>1.0566666666666667E-2</v>
          </cell>
          <cell r="N485">
            <v>8.1128441167946427E-3</v>
          </cell>
          <cell r="O485">
            <v>-0.23222295424656381</v>
          </cell>
          <cell r="P485">
            <v>798179.21858122153</v>
          </cell>
          <cell r="Q485">
            <v>23865846.679999895</v>
          </cell>
          <cell r="R485">
            <v>-1169</v>
          </cell>
          <cell r="U485" t="str">
            <v>PENDIENTE</v>
          </cell>
        </row>
        <row r="486">
          <cell r="A486" t="str">
            <v>20281</v>
          </cell>
          <cell r="B486" t="str">
            <v>DAVIVIENDA</v>
          </cell>
          <cell r="C486" t="str">
            <v>GLADYS JEANNETH CORREA RUEDA</v>
          </cell>
          <cell r="D486" t="str">
            <v>5904046002318540</v>
          </cell>
          <cell r="E486">
            <v>46767</v>
          </cell>
          <cell r="F486">
            <v>85</v>
          </cell>
          <cell r="G486">
            <v>35</v>
          </cell>
          <cell r="H486">
            <v>599694.1</v>
          </cell>
          <cell r="I486">
            <v>194059.92844564238</v>
          </cell>
          <cell r="J486">
            <v>0</v>
          </cell>
          <cell r="K486">
            <v>0</v>
          </cell>
          <cell r="L486">
            <v>0</v>
          </cell>
          <cell r="M486">
            <v>1.0566666666666667E-2</v>
          </cell>
          <cell r="N486">
            <v>8.1312819548224474E-3</v>
          </cell>
          <cell r="O486">
            <v>-0.23047804843951603</v>
          </cell>
          <cell r="P486">
            <v>793754.02844564233</v>
          </cell>
          <cell r="Q486">
            <v>23266152.579999894</v>
          </cell>
          <cell r="R486">
            <v>-1199</v>
          </cell>
          <cell r="U486" t="str">
            <v>PENDIENTE</v>
          </cell>
        </row>
        <row r="487">
          <cell r="A487" t="str">
            <v>20282</v>
          </cell>
          <cell r="B487" t="str">
            <v>DAVIVIENDA</v>
          </cell>
          <cell r="C487" t="str">
            <v>GLADYS JEANNETH CORREA RUEDA</v>
          </cell>
          <cell r="D487" t="str">
            <v>5904046002318540</v>
          </cell>
          <cell r="E487">
            <v>46798</v>
          </cell>
          <cell r="F487">
            <v>86</v>
          </cell>
          <cell r="G487">
            <v>34</v>
          </cell>
          <cell r="H487">
            <v>599694.1</v>
          </cell>
          <cell r="I487">
            <v>189634.73830992269</v>
          </cell>
          <cell r="J487">
            <v>0</v>
          </cell>
          <cell r="K487">
            <v>0</v>
          </cell>
          <cell r="L487">
            <v>0</v>
          </cell>
          <cell r="M487">
            <v>1.0566666666666667E-2</v>
          </cell>
          <cell r="N487">
            <v>8.1506702776864351E-3</v>
          </cell>
          <cell r="O487">
            <v>-0.22864319138614175</v>
          </cell>
          <cell r="P487">
            <v>789328.83830992272</v>
          </cell>
          <cell r="Q487">
            <v>22666458.479999892</v>
          </cell>
          <cell r="R487">
            <v>-1230</v>
          </cell>
          <cell r="U487" t="str">
            <v>PENDIENTE</v>
          </cell>
        </row>
        <row r="488">
          <cell r="A488" t="str">
            <v>20283</v>
          </cell>
          <cell r="B488" t="str">
            <v>DAVIVIENDA</v>
          </cell>
          <cell r="C488" t="str">
            <v>GLADYS JEANNETH CORREA RUEDA</v>
          </cell>
          <cell r="D488" t="str">
            <v>5904046002318540</v>
          </cell>
          <cell r="E488">
            <v>46827</v>
          </cell>
          <cell r="F488">
            <v>87</v>
          </cell>
          <cell r="G488">
            <v>33</v>
          </cell>
          <cell r="H488">
            <v>599694.1</v>
          </cell>
          <cell r="I488">
            <v>185209.54817415783</v>
          </cell>
          <cell r="J488">
            <v>0</v>
          </cell>
          <cell r="K488">
            <v>0</v>
          </cell>
          <cell r="L488">
            <v>0</v>
          </cell>
          <cell r="M488">
            <v>1.0566666666666667E-2</v>
          </cell>
          <cell r="N488">
            <v>8.1710845272798312E-3</v>
          </cell>
          <cell r="O488">
            <v>-0.22671124347509486</v>
          </cell>
          <cell r="P488">
            <v>784903.64817415783</v>
          </cell>
          <cell r="Q488">
            <v>22066764.379999891</v>
          </cell>
          <cell r="R488">
            <v>-1261</v>
          </cell>
          <cell r="U488" t="str">
            <v>PENDIENTE</v>
          </cell>
        </row>
        <row r="489">
          <cell r="A489" t="str">
            <v>20284</v>
          </cell>
          <cell r="B489" t="str">
            <v>DAVIVIENDA</v>
          </cell>
          <cell r="C489" t="str">
            <v>GLADYS JEANNETH CORREA RUEDA</v>
          </cell>
          <cell r="D489" t="str">
            <v>5904046002318540</v>
          </cell>
          <cell r="E489">
            <v>46858</v>
          </cell>
          <cell r="F489">
            <v>88</v>
          </cell>
          <cell r="G489">
            <v>32</v>
          </cell>
          <cell r="H489">
            <v>599694.1</v>
          </cell>
          <cell r="I489">
            <v>180784.35803845202</v>
          </cell>
          <cell r="J489">
            <v>0</v>
          </cell>
          <cell r="K489">
            <v>0</v>
          </cell>
          <cell r="L489">
            <v>0</v>
          </cell>
          <cell r="M489">
            <v>1.0566666666666667E-2</v>
          </cell>
          <cell r="N489">
            <v>8.1926083464372822E-3</v>
          </cell>
          <cell r="O489">
            <v>-0.22467428898069886</v>
          </cell>
          <cell r="P489">
            <v>780478.45803845196</v>
          </cell>
          <cell r="Q489">
            <v>21467070.279999889</v>
          </cell>
          <cell r="R489">
            <v>-1290</v>
          </cell>
          <cell r="U489" t="str">
            <v>PENDIENTE</v>
          </cell>
        </row>
        <row r="490">
          <cell r="A490" t="str">
            <v>20285</v>
          </cell>
          <cell r="B490" t="str">
            <v>DAVIVIENDA</v>
          </cell>
          <cell r="C490" t="str">
            <v>GLADYS JEANNETH CORREA RUEDA</v>
          </cell>
          <cell r="D490" t="str">
            <v>5904046002318540</v>
          </cell>
          <cell r="E490">
            <v>46888</v>
          </cell>
          <cell r="F490">
            <v>89</v>
          </cell>
          <cell r="G490">
            <v>31</v>
          </cell>
          <cell r="H490">
            <v>599694.1</v>
          </cell>
          <cell r="I490">
            <v>176359.16790275724</v>
          </cell>
          <cell r="J490">
            <v>0</v>
          </cell>
          <cell r="K490">
            <v>0</v>
          </cell>
          <cell r="L490">
            <v>0</v>
          </cell>
          <cell r="M490">
            <v>1.0566666666666667E-2</v>
          </cell>
          <cell r="N490">
            <v>8.2153347244157873E-3</v>
          </cell>
          <cell r="O490">
            <v>-0.22252352765781191</v>
          </cell>
          <cell r="P490">
            <v>776053.26790275727</v>
          </cell>
          <cell r="Q490">
            <v>20867376.179999888</v>
          </cell>
          <cell r="R490">
            <v>-1321</v>
          </cell>
          <cell r="U490" t="str">
            <v>PENDIENTE</v>
          </cell>
        </row>
        <row r="491">
          <cell r="A491" t="str">
            <v>20286</v>
          </cell>
          <cell r="B491" t="str">
            <v>DAVIVIENDA</v>
          </cell>
          <cell r="C491" t="str">
            <v>GLADYS JEANNETH CORREA RUEDA</v>
          </cell>
          <cell r="D491" t="str">
            <v>5904046002318540</v>
          </cell>
          <cell r="E491">
            <v>46919</v>
          </cell>
          <cell r="F491">
            <v>90</v>
          </cell>
          <cell r="G491">
            <v>30</v>
          </cell>
          <cell r="H491">
            <v>599694.1</v>
          </cell>
          <cell r="I491">
            <v>171933.97776703676</v>
          </cell>
          <cell r="J491">
            <v>0</v>
          </cell>
          <cell r="K491">
            <v>0</v>
          </cell>
          <cell r="L491">
            <v>0</v>
          </cell>
          <cell r="M491">
            <v>1.0566666666666667E-2</v>
          </cell>
          <cell r="N491">
            <v>8.239367339906635E-3</v>
          </cell>
          <cell r="O491">
            <v>-0.22024914764290526</v>
          </cell>
          <cell r="P491">
            <v>771628.07776703674</v>
          </cell>
          <cell r="Q491">
            <v>20267682.079999886</v>
          </cell>
          <cell r="R491">
            <v>-1351</v>
          </cell>
          <cell r="U491" t="str">
            <v>PENDIENTE</v>
          </cell>
        </row>
        <row r="492">
          <cell r="A492" t="str">
            <v>20287</v>
          </cell>
          <cell r="B492" t="str">
            <v>DAVIVIENDA</v>
          </cell>
          <cell r="C492" t="str">
            <v>GLADYS JEANNETH CORREA RUEDA</v>
          </cell>
          <cell r="D492" t="str">
            <v>5904046002318540</v>
          </cell>
          <cell r="E492">
            <v>46949</v>
          </cell>
          <cell r="F492">
            <v>91</v>
          </cell>
          <cell r="G492">
            <v>29</v>
          </cell>
          <cell r="H492">
            <v>599694.1</v>
          </cell>
          <cell r="I492">
            <v>167508.78763131611</v>
          </cell>
          <cell r="J492">
            <v>0</v>
          </cell>
          <cell r="K492">
            <v>0</v>
          </cell>
          <cell r="L492">
            <v>0</v>
          </cell>
          <cell r="M492">
            <v>1.0566666666666667E-2</v>
          </cell>
          <cell r="N492">
            <v>8.2648221424695377E-3</v>
          </cell>
          <cell r="O492">
            <v>-0.21784017579152637</v>
          </cell>
          <cell r="P492">
            <v>767202.88763131609</v>
          </cell>
          <cell r="Q492">
            <v>19667987.979999885</v>
          </cell>
          <cell r="R492">
            <v>-1382</v>
          </cell>
          <cell r="U492" t="str">
            <v>PENDIENTE</v>
          </cell>
        </row>
        <row r="493">
          <cell r="A493" t="str">
            <v>20288</v>
          </cell>
          <cell r="B493" t="str">
            <v>DAVIVIENDA</v>
          </cell>
          <cell r="C493" t="str">
            <v>GLADYS JEANNETH CORREA RUEDA</v>
          </cell>
          <cell r="D493" t="str">
            <v>5904046002318540</v>
          </cell>
          <cell r="E493">
            <v>46980</v>
          </cell>
          <cell r="F493">
            <v>92</v>
          </cell>
          <cell r="G493">
            <v>28</v>
          </cell>
          <cell r="H493">
            <v>599694.1</v>
          </cell>
          <cell r="I493">
            <v>163083.59749560527</v>
          </cell>
          <cell r="J493">
            <v>0</v>
          </cell>
          <cell r="K493">
            <v>0</v>
          </cell>
          <cell r="L493">
            <v>0</v>
          </cell>
          <cell r="M493">
            <v>1.0566666666666667E-2</v>
          </cell>
          <cell r="N493">
            <v>8.2918292232760562E-3</v>
          </cell>
          <cell r="O493">
            <v>-0.21528430063633541</v>
          </cell>
          <cell r="P493">
            <v>762777.69749560521</v>
          </cell>
          <cell r="Q493">
            <v>19068293.879999883</v>
          </cell>
          <cell r="R493">
            <v>-1412</v>
          </cell>
          <cell r="U493" t="str">
            <v>PENDIENTE</v>
          </cell>
        </row>
        <row r="494">
          <cell r="A494" t="str">
            <v>20289</v>
          </cell>
          <cell r="B494" t="str">
            <v>DAVIVIENDA</v>
          </cell>
          <cell r="C494" t="str">
            <v>GLADYS JEANNETH CORREA RUEDA</v>
          </cell>
          <cell r="D494" t="str">
            <v>5904046002318540</v>
          </cell>
          <cell r="E494">
            <v>47011</v>
          </cell>
          <cell r="F494">
            <v>93</v>
          </cell>
          <cell r="G494">
            <v>27</v>
          </cell>
          <cell r="H494">
            <v>599694.1</v>
          </cell>
          <cell r="I494">
            <v>158658.40735989326</v>
          </cell>
          <cell r="J494">
            <v>0</v>
          </cell>
          <cell r="K494">
            <v>0</v>
          </cell>
          <cell r="L494">
            <v>0</v>
          </cell>
          <cell r="M494">
            <v>1.0566666666666667E-2</v>
          </cell>
          <cell r="N494">
            <v>8.320535038863909E-3</v>
          </cell>
          <cell r="O494">
            <v>-0.21256766193716947</v>
          </cell>
          <cell r="P494">
            <v>758352.50735989329</v>
          </cell>
          <cell r="Q494">
            <v>18468599.779999882</v>
          </cell>
          <cell r="R494">
            <v>-1443</v>
          </cell>
          <cell r="U494" t="str">
            <v>PENDIENTE</v>
          </cell>
        </row>
        <row r="495">
          <cell r="A495" t="str">
            <v>202810</v>
          </cell>
          <cell r="B495" t="str">
            <v>DAVIVIENDA</v>
          </cell>
          <cell r="C495" t="str">
            <v>GLADYS JEANNETH CORREA RUEDA</v>
          </cell>
          <cell r="D495" t="str">
            <v>5904046002318540</v>
          </cell>
          <cell r="E495">
            <v>47041</v>
          </cell>
          <cell r="F495">
            <v>94</v>
          </cell>
          <cell r="G495">
            <v>26</v>
          </cell>
          <cell r="H495">
            <v>599694.1</v>
          </cell>
          <cell r="I495">
            <v>154233.2172241775</v>
          </cell>
          <cell r="J495">
            <v>0</v>
          </cell>
          <cell r="K495">
            <v>0</v>
          </cell>
          <cell r="L495">
            <v>0</v>
          </cell>
          <cell r="M495">
            <v>1.0566666666666667E-2</v>
          </cell>
          <cell r="N495">
            <v>8.3511050681384404E-3</v>
          </cell>
          <cell r="O495">
            <v>-0.20967459922980058</v>
          </cell>
          <cell r="P495">
            <v>753927.31722417753</v>
          </cell>
          <cell r="Q495">
            <v>17868905.67999988</v>
          </cell>
          <cell r="R495">
            <v>-1474</v>
          </cell>
          <cell r="U495" t="str">
            <v>PENDIENTE</v>
          </cell>
        </row>
        <row r="496">
          <cell r="A496" t="str">
            <v>202811</v>
          </cell>
          <cell r="B496" t="str">
            <v>DAVIVIENDA</v>
          </cell>
          <cell r="C496" t="str">
            <v>GLADYS JEANNETH CORREA RUEDA</v>
          </cell>
          <cell r="D496" t="str">
            <v>5904046002318540</v>
          </cell>
          <cell r="E496">
            <v>47072</v>
          </cell>
          <cell r="F496">
            <v>95</v>
          </cell>
          <cell r="G496">
            <v>25</v>
          </cell>
          <cell r="H496">
            <v>599694.1</v>
          </cell>
          <cell r="I496">
            <v>149808.02708846275</v>
          </cell>
          <cell r="J496">
            <v>0</v>
          </cell>
          <cell r="K496">
            <v>0</v>
          </cell>
          <cell r="L496">
            <v>0</v>
          </cell>
          <cell r="M496">
            <v>1.0566666666666667E-2</v>
          </cell>
          <cell r="N496">
            <v>8.3837270043983884E-3</v>
          </cell>
          <cell r="O496">
            <v>-0.20658734974147741</v>
          </cell>
          <cell r="P496">
            <v>749502.1270884627</v>
          </cell>
          <cell r="Q496">
            <v>17269211.579999879</v>
          </cell>
          <cell r="R496">
            <v>-1504</v>
          </cell>
          <cell r="U496" t="str">
            <v>PENDIENTE</v>
          </cell>
        </row>
        <row r="497">
          <cell r="A497" t="str">
            <v>202812</v>
          </cell>
          <cell r="B497" t="str">
            <v>DAVIVIENDA</v>
          </cell>
          <cell r="C497" t="str">
            <v>GLADYS JEANNETH CORREA RUEDA</v>
          </cell>
          <cell r="D497" t="str">
            <v>5904046002318540</v>
          </cell>
          <cell r="E497">
            <v>47102</v>
          </cell>
          <cell r="F497">
            <v>96</v>
          </cell>
          <cell r="G497">
            <v>24</v>
          </cell>
          <cell r="H497">
            <v>599694.1</v>
          </cell>
          <cell r="I497">
            <v>145382.83695274932</v>
          </cell>
          <cell r="J497">
            <v>0</v>
          </cell>
          <cell r="K497">
            <v>0</v>
          </cell>
          <cell r="L497">
            <v>0</v>
          </cell>
          <cell r="M497">
            <v>1.0566666666666667E-2</v>
          </cell>
          <cell r="N497">
            <v>8.4186146124425633E-3</v>
          </cell>
          <cell r="O497">
            <v>-0.20328568336505715</v>
          </cell>
          <cell r="P497">
            <v>745076.93695274927</v>
          </cell>
          <cell r="Q497">
            <v>16669517.479999879</v>
          </cell>
          <cell r="R497">
            <v>-1535</v>
          </cell>
          <cell r="U497" t="str">
            <v>PENDIENTE</v>
          </cell>
        </row>
        <row r="498">
          <cell r="A498" t="str">
            <v>20291</v>
          </cell>
          <cell r="B498" t="str">
            <v>DAVIVIENDA</v>
          </cell>
          <cell r="C498" t="str">
            <v>GLADYS JEANNETH CORREA RUEDA</v>
          </cell>
          <cell r="D498" t="str">
            <v>5904046002318540</v>
          </cell>
          <cell r="E498">
            <v>47133</v>
          </cell>
          <cell r="F498">
            <v>97</v>
          </cell>
          <cell r="G498">
            <v>23</v>
          </cell>
          <cell r="H498">
            <v>599694.1</v>
          </cell>
          <cell r="I498">
            <v>140957.64681703533</v>
          </cell>
          <cell r="J498">
            <v>0</v>
          </cell>
          <cell r="K498">
            <v>0</v>
          </cell>
          <cell r="L498">
            <v>0</v>
          </cell>
          <cell r="M498">
            <v>1.0566666666666667E-2</v>
          </cell>
          <cell r="N498">
            <v>8.456012418245255E-3</v>
          </cell>
          <cell r="O498">
            <v>-0.19974645884114306</v>
          </cell>
          <cell r="P498">
            <v>740651.74681703537</v>
          </cell>
          <cell r="Q498">
            <v>16069823.37999988</v>
          </cell>
          <cell r="R498">
            <v>-1565</v>
          </cell>
          <cell r="U498" t="str">
            <v>PENDIENTE</v>
          </cell>
        </row>
        <row r="499">
          <cell r="A499" t="str">
            <v>20292</v>
          </cell>
          <cell r="B499" t="str">
            <v>DAVIVIENDA</v>
          </cell>
          <cell r="C499" t="str">
            <v>GLADYS JEANNETH CORREA RUEDA</v>
          </cell>
          <cell r="D499" t="str">
            <v>5904046002318540</v>
          </cell>
          <cell r="E499">
            <v>47164</v>
          </cell>
          <cell r="F499">
            <v>98</v>
          </cell>
          <cell r="G499">
            <v>22</v>
          </cell>
          <cell r="H499">
            <v>599694.1</v>
          </cell>
          <cell r="I499">
            <v>136532.45668132088</v>
          </cell>
          <cell r="J499">
            <v>0</v>
          </cell>
          <cell r="K499">
            <v>0</v>
          </cell>
          <cell r="L499">
            <v>0</v>
          </cell>
          <cell r="M499">
            <v>1.0566666666666667E-2</v>
          </cell>
          <cell r="N499">
            <v>8.4962014486883487E-3</v>
          </cell>
          <cell r="O499">
            <v>-0.19594308056577148</v>
          </cell>
          <cell r="P499">
            <v>736226.55668132089</v>
          </cell>
          <cell r="Q499">
            <v>15470129.27999988</v>
          </cell>
          <cell r="R499">
            <v>-1596</v>
          </cell>
          <cell r="U499" t="str">
            <v>PENDIENTE</v>
          </cell>
        </row>
        <row r="500">
          <cell r="A500" t="str">
            <v>20293</v>
          </cell>
          <cell r="B500" t="str">
            <v>DAVIVIENDA</v>
          </cell>
          <cell r="C500" t="str">
            <v>GLADYS JEANNETH CORREA RUEDA</v>
          </cell>
          <cell r="D500" t="str">
            <v>5904046002318540</v>
          </cell>
          <cell r="E500">
            <v>47192</v>
          </cell>
          <cell r="F500">
            <v>99</v>
          </cell>
          <cell r="G500">
            <v>21</v>
          </cell>
          <cell r="H500">
            <v>599694.1</v>
          </cell>
          <cell r="I500">
            <v>132107.26654560672</v>
          </cell>
          <cell r="J500">
            <v>0</v>
          </cell>
          <cell r="K500">
            <v>0</v>
          </cell>
          <cell r="L500">
            <v>0</v>
          </cell>
          <cell r="M500">
            <v>1.0566666666666667E-2</v>
          </cell>
          <cell r="N500">
            <v>8.5395063062852269E-3</v>
          </cell>
          <cell r="O500">
            <v>-0.19184482905818045</v>
          </cell>
          <cell r="P500">
            <v>731801.36654560664</v>
          </cell>
          <cell r="Q500">
            <v>14870435.17999988</v>
          </cell>
          <cell r="R500">
            <v>-1627</v>
          </cell>
          <cell r="U500" t="str">
            <v>PENDIENTE</v>
          </cell>
        </row>
        <row r="501">
          <cell r="A501" t="str">
            <v>20294</v>
          </cell>
          <cell r="B501" t="str">
            <v>DAVIVIENDA</v>
          </cell>
          <cell r="C501" t="str">
            <v>GLADYS JEANNETH CORREA RUEDA</v>
          </cell>
          <cell r="D501" t="str">
            <v>5904046002318540</v>
          </cell>
          <cell r="E501">
            <v>47223</v>
          </cell>
          <cell r="F501">
            <v>100</v>
          </cell>
          <cell r="G501">
            <v>20</v>
          </cell>
          <cell r="H501">
            <v>599694.1</v>
          </cell>
          <cell r="I501">
            <v>127682.07640989272</v>
          </cell>
          <cell r="J501">
            <v>0</v>
          </cell>
          <cell r="K501">
            <v>0</v>
          </cell>
          <cell r="L501">
            <v>0</v>
          </cell>
          <cell r="M501">
            <v>1.0566666666666667E-2</v>
          </cell>
          <cell r="N501">
            <v>8.5863039557591316E-3</v>
          </cell>
          <cell r="O501">
            <v>-0.18741602942342606</v>
          </cell>
          <cell r="P501">
            <v>727376.17640989274</v>
          </cell>
          <cell r="Q501">
            <v>14270741.079999881</v>
          </cell>
          <cell r="R501">
            <v>-1655</v>
          </cell>
          <cell r="U501" t="str">
            <v>PENDIENTE</v>
          </cell>
        </row>
        <row r="502">
          <cell r="A502" t="str">
            <v>20295</v>
          </cell>
          <cell r="B502" t="str">
            <v>DAVIVIENDA</v>
          </cell>
          <cell r="C502" t="str">
            <v>GLADYS JEANNETH CORREA RUEDA</v>
          </cell>
          <cell r="D502" t="str">
            <v>5904046002318540</v>
          </cell>
          <cell r="E502">
            <v>47253</v>
          </cell>
          <cell r="F502">
            <v>101</v>
          </cell>
          <cell r="G502">
            <v>19</v>
          </cell>
          <cell r="H502">
            <v>599694.1</v>
          </cell>
          <cell r="I502">
            <v>123256.88627417859</v>
          </cell>
          <cell r="J502">
            <v>0</v>
          </cell>
          <cell r="K502">
            <v>0</v>
          </cell>
          <cell r="L502">
            <v>0</v>
          </cell>
          <cell r="M502">
            <v>1.0566666666666667E-2</v>
          </cell>
          <cell r="N502">
            <v>8.6370347260325744E-3</v>
          </cell>
          <cell r="O502">
            <v>-0.18261501015464598</v>
          </cell>
          <cell r="P502">
            <v>722950.98627417861</v>
          </cell>
          <cell r="Q502">
            <v>13671046.979999881</v>
          </cell>
          <cell r="R502">
            <v>-1686</v>
          </cell>
          <cell r="U502" t="str">
            <v>PENDIENTE</v>
          </cell>
        </row>
        <row r="503">
          <cell r="A503" t="str">
            <v>20296</v>
          </cell>
          <cell r="B503" t="str">
            <v>DAVIVIENDA</v>
          </cell>
          <cell r="C503" t="str">
            <v>GLADYS JEANNETH CORREA RUEDA</v>
          </cell>
          <cell r="D503" t="str">
            <v>5904046002318540</v>
          </cell>
          <cell r="E503">
            <v>47284</v>
          </cell>
          <cell r="F503">
            <v>102</v>
          </cell>
          <cell r="G503">
            <v>18</v>
          </cell>
          <cell r="H503">
            <v>599694.1</v>
          </cell>
          <cell r="I503">
            <v>118831.69613846439</v>
          </cell>
          <cell r="J503">
            <v>0</v>
          </cell>
          <cell r="K503">
            <v>0</v>
          </cell>
          <cell r="L503">
            <v>0</v>
          </cell>
          <cell r="M503">
            <v>1.0566666666666667E-2</v>
          </cell>
          <cell r="N503">
            <v>8.6922162078961283E-3</v>
          </cell>
          <cell r="O503">
            <v>-0.17739278789626545</v>
          </cell>
          <cell r="P503">
            <v>718525.79613846436</v>
          </cell>
          <cell r="Q503">
            <v>13071352.879999882</v>
          </cell>
          <cell r="R503">
            <v>-1716</v>
          </cell>
          <cell r="U503" t="str">
            <v>PENDIENTE</v>
          </cell>
        </row>
        <row r="504">
          <cell r="A504" t="str">
            <v>20297</v>
          </cell>
          <cell r="B504" t="str">
            <v>DAVIVIENDA</v>
          </cell>
          <cell r="C504" t="str">
            <v>GLADYS JEANNETH CORREA RUEDA</v>
          </cell>
          <cell r="D504" t="str">
            <v>5904046002318540</v>
          </cell>
          <cell r="E504">
            <v>47314</v>
          </cell>
          <cell r="F504">
            <v>103</v>
          </cell>
          <cell r="G504">
            <v>17</v>
          </cell>
          <cell r="H504">
            <v>599694.1</v>
          </cell>
          <cell r="I504">
            <v>114406.50600275028</v>
          </cell>
          <cell r="J504">
            <v>0</v>
          </cell>
          <cell r="K504">
            <v>0</v>
          </cell>
          <cell r="L504">
            <v>0</v>
          </cell>
          <cell r="M504">
            <v>1.0566666666666667E-2</v>
          </cell>
          <cell r="N504">
            <v>8.7524609773025515E-3</v>
          </cell>
          <cell r="O504">
            <v>-0.17169139016064183</v>
          </cell>
          <cell r="P504">
            <v>714100.60600275022</v>
          </cell>
          <cell r="Q504">
            <v>12471658.779999882</v>
          </cell>
          <cell r="R504">
            <v>-1747</v>
          </cell>
          <cell r="U504" t="str">
            <v>PENDIENTE</v>
          </cell>
        </row>
        <row r="505">
          <cell r="A505" t="str">
            <v>20298</v>
          </cell>
          <cell r="B505" t="str">
            <v>DAVIVIENDA</v>
          </cell>
          <cell r="C505" t="str">
            <v>GLADYS JEANNETH CORREA RUEDA</v>
          </cell>
          <cell r="D505" t="str">
            <v>5904046002318540</v>
          </cell>
          <cell r="E505">
            <v>47345</v>
          </cell>
          <cell r="F505">
            <v>104</v>
          </cell>
          <cell r="G505">
            <v>16</v>
          </cell>
          <cell r="H505">
            <v>599694.1</v>
          </cell>
          <cell r="I505">
            <v>109981.31586703617</v>
          </cell>
          <cell r="J505">
            <v>0</v>
          </cell>
          <cell r="K505">
            <v>0</v>
          </cell>
          <cell r="L505">
            <v>0</v>
          </cell>
          <cell r="M505">
            <v>1.0566666666666667E-2</v>
          </cell>
          <cell r="N505">
            <v>8.8184994319606622E-3</v>
          </cell>
          <cell r="O505">
            <v>-0.16544169413621501</v>
          </cell>
          <cell r="P505">
            <v>709675.41586703621</v>
          </cell>
          <cell r="Q505">
            <v>11871964.679999882</v>
          </cell>
          <cell r="R505">
            <v>-1777</v>
          </cell>
          <cell r="U505" t="str">
            <v>PENDIENTE</v>
          </cell>
        </row>
        <row r="506">
          <cell r="A506" t="str">
            <v>20299</v>
          </cell>
          <cell r="B506" t="str">
            <v>DAVIVIENDA</v>
          </cell>
          <cell r="C506" t="str">
            <v>GLADYS JEANNETH CORREA RUEDA</v>
          </cell>
          <cell r="D506" t="str">
            <v>5904046002318540</v>
          </cell>
          <cell r="E506">
            <v>47376</v>
          </cell>
          <cell r="F506">
            <v>105</v>
          </cell>
          <cell r="G506">
            <v>15</v>
          </cell>
          <cell r="H506">
            <v>599694.1</v>
          </cell>
          <cell r="I506">
            <v>105556.12573132203</v>
          </cell>
          <cell r="J506">
            <v>0</v>
          </cell>
          <cell r="K506">
            <v>0</v>
          </cell>
          <cell r="L506">
            <v>0</v>
          </cell>
          <cell r="M506">
            <v>1.0566666666666667E-2</v>
          </cell>
          <cell r="N506">
            <v>8.8912095492624955E-3</v>
          </cell>
          <cell r="O506">
            <v>-0.15856061047989001</v>
          </cell>
          <cell r="P506">
            <v>705250.22573132196</v>
          </cell>
          <cell r="Q506">
            <v>11272270.579999883</v>
          </cell>
          <cell r="R506">
            <v>-1808</v>
          </cell>
          <cell r="U506" t="str">
            <v>PENDIENTE</v>
          </cell>
        </row>
        <row r="507">
          <cell r="A507" t="str">
            <v>202910</v>
          </cell>
          <cell r="B507" t="str">
            <v>DAVIVIENDA</v>
          </cell>
          <cell r="C507" t="str">
            <v>GLADYS JEANNETH CORREA RUEDA</v>
          </cell>
          <cell r="D507" t="str">
            <v>5904046002318540</v>
          </cell>
          <cell r="E507">
            <v>47406</v>
          </cell>
          <cell r="F507">
            <v>106</v>
          </cell>
          <cell r="G507">
            <v>14</v>
          </cell>
          <cell r="H507">
            <v>599694.1</v>
          </cell>
          <cell r="I507">
            <v>101130.93559560791</v>
          </cell>
          <cell r="J507">
            <v>0</v>
          </cell>
          <cell r="K507">
            <v>0</v>
          </cell>
          <cell r="L507">
            <v>0</v>
          </cell>
          <cell r="M507">
            <v>1.0566666666666667E-2</v>
          </cell>
          <cell r="N507">
            <v>8.9716561430881626E-3</v>
          </cell>
          <cell r="O507">
            <v>-0.1509473681620036</v>
          </cell>
          <cell r="P507">
            <v>700825.03559560794</v>
          </cell>
          <cell r="Q507">
            <v>10672576.479999883</v>
          </cell>
          <cell r="R507">
            <v>-1839</v>
          </cell>
          <cell r="U507" t="str">
            <v>PENDIENTE</v>
          </cell>
        </row>
        <row r="508">
          <cell r="A508" t="str">
            <v>202911</v>
          </cell>
          <cell r="B508" t="str">
            <v>DAVIVIENDA</v>
          </cell>
          <cell r="C508" t="str">
            <v>GLADYS JEANNETH CORREA RUEDA</v>
          </cell>
          <cell r="D508" t="str">
            <v>5904046002318540</v>
          </cell>
          <cell r="E508">
            <v>47437</v>
          </cell>
          <cell r="F508">
            <v>107</v>
          </cell>
          <cell r="G508">
            <v>13</v>
          </cell>
          <cell r="H508">
            <v>599694.1</v>
          </cell>
          <cell r="I508">
            <v>96705.745459893777</v>
          </cell>
          <cell r="J508">
            <v>0</v>
          </cell>
          <cell r="K508">
            <v>0</v>
          </cell>
          <cell r="L508">
            <v>0</v>
          </cell>
          <cell r="M508">
            <v>1.0566666666666667E-2</v>
          </cell>
          <cell r="N508">
            <v>9.0611433556946359E-3</v>
          </cell>
          <cell r="O508">
            <v>-0.14247854677968752</v>
          </cell>
          <cell r="P508">
            <v>696399.84545989381</v>
          </cell>
          <cell r="Q508">
            <v>10072882.379999883</v>
          </cell>
          <cell r="R508">
            <v>-1869</v>
          </cell>
          <cell r="U508" t="str">
            <v>PENDIENTE</v>
          </cell>
        </row>
        <row r="509">
          <cell r="A509" t="str">
            <v>202912</v>
          </cell>
          <cell r="B509" t="str">
            <v>DAVIVIENDA</v>
          </cell>
          <cell r="C509" t="str">
            <v>GLADYS JEANNETH CORREA RUEDA</v>
          </cell>
          <cell r="D509" t="str">
            <v>5904046002318540</v>
          </cell>
          <cell r="E509">
            <v>47467</v>
          </cell>
          <cell r="F509">
            <v>108</v>
          </cell>
          <cell r="G509">
            <v>12</v>
          </cell>
          <cell r="H509">
            <v>599694.1</v>
          </cell>
          <cell r="I509">
            <v>92280.555324179659</v>
          </cell>
          <cell r="J509">
            <v>0</v>
          </cell>
          <cell r="K509">
            <v>0</v>
          </cell>
          <cell r="L509">
            <v>0</v>
          </cell>
          <cell r="M509">
            <v>1.0566666666666667E-2</v>
          </cell>
          <cell r="N509">
            <v>9.1612859003899864E-3</v>
          </cell>
          <cell r="O509">
            <v>-0.13300133434795081</v>
          </cell>
          <cell r="P509">
            <v>691974.65532417968</v>
          </cell>
          <cell r="Q509">
            <v>9473188.2799998838</v>
          </cell>
          <cell r="R509">
            <v>-1900</v>
          </cell>
          <cell r="U509" t="str">
            <v>PENDIENTE</v>
          </cell>
        </row>
        <row r="510">
          <cell r="A510" t="str">
            <v>20301</v>
          </cell>
          <cell r="B510" t="str">
            <v>DAVIVIENDA</v>
          </cell>
          <cell r="C510" t="str">
            <v>GLADYS JEANNETH CORREA RUEDA</v>
          </cell>
          <cell r="D510" t="str">
            <v>5904046002318540</v>
          </cell>
          <cell r="E510">
            <v>47498</v>
          </cell>
          <cell r="F510">
            <v>109</v>
          </cell>
          <cell r="G510">
            <v>11</v>
          </cell>
          <cell r="H510">
            <v>599694.1</v>
          </cell>
          <cell r="I510">
            <v>87855.365188465526</v>
          </cell>
          <cell r="J510">
            <v>0</v>
          </cell>
          <cell r="K510">
            <v>0</v>
          </cell>
          <cell r="L510">
            <v>0</v>
          </cell>
          <cell r="M510">
            <v>1.0566666666666667E-2</v>
          </cell>
          <cell r="N510">
            <v>9.2741073640380135E-3</v>
          </cell>
          <cell r="O510">
            <v>-0.12232422422353184</v>
          </cell>
          <cell r="P510">
            <v>687549.46518846555</v>
          </cell>
          <cell r="Q510">
            <v>8873494.1799998842</v>
          </cell>
          <cell r="R510">
            <v>-1930</v>
          </cell>
          <cell r="U510" t="str">
            <v>PENDIENTE</v>
          </cell>
        </row>
        <row r="511">
          <cell r="A511" t="str">
            <v>20302</v>
          </cell>
          <cell r="B511" t="str">
            <v>DAVIVIENDA</v>
          </cell>
          <cell r="C511" t="str">
            <v>GLADYS JEANNETH CORREA RUEDA</v>
          </cell>
          <cell r="D511" t="str">
            <v>5904046002318540</v>
          </cell>
          <cell r="E511">
            <v>47529</v>
          </cell>
          <cell r="F511">
            <v>110</v>
          </cell>
          <cell r="G511">
            <v>10</v>
          </cell>
          <cell r="H511">
            <v>599694.1</v>
          </cell>
          <cell r="I511">
            <v>83430.175052751394</v>
          </cell>
          <cell r="J511">
            <v>0</v>
          </cell>
          <cell r="K511">
            <v>0</v>
          </cell>
          <cell r="L511">
            <v>0</v>
          </cell>
          <cell r="M511">
            <v>1.0566666666666667E-2</v>
          </cell>
          <cell r="N511">
            <v>9.4021783708154172E-3</v>
          </cell>
          <cell r="O511">
            <v>-0.11020393967046527</v>
          </cell>
          <cell r="P511">
            <v>683124.27505275141</v>
          </cell>
          <cell r="Q511">
            <v>8273800.0799998846</v>
          </cell>
          <cell r="R511">
            <v>-1961</v>
          </cell>
          <cell r="U511" t="str">
            <v>PENDIENTE</v>
          </cell>
        </row>
        <row r="512">
          <cell r="A512" t="str">
            <v>20303</v>
          </cell>
          <cell r="B512" t="str">
            <v>DAVIVIENDA</v>
          </cell>
          <cell r="C512" t="str">
            <v>GLADYS JEANNETH CORREA RUEDA</v>
          </cell>
          <cell r="D512" t="str">
            <v>5904046002318540</v>
          </cell>
          <cell r="E512">
            <v>47557</v>
          </cell>
          <cell r="F512">
            <v>111</v>
          </cell>
          <cell r="G512">
            <v>9</v>
          </cell>
          <cell r="H512">
            <v>599694.1</v>
          </cell>
          <cell r="I512">
            <v>79004.984917037276</v>
          </cell>
          <cell r="J512">
            <v>0</v>
          </cell>
          <cell r="K512">
            <v>0</v>
          </cell>
          <cell r="L512">
            <v>0</v>
          </cell>
          <cell r="M512">
            <v>1.0566666666666667E-2</v>
          </cell>
          <cell r="N512">
            <v>9.5488148315324515E-3</v>
          </cell>
          <cell r="O512">
            <v>-9.6326672094720678E-2</v>
          </cell>
          <cell r="P512">
            <v>678699.08491703728</v>
          </cell>
          <cell r="Q512">
            <v>7674105.979999885</v>
          </cell>
          <cell r="R512">
            <v>-1992</v>
          </cell>
          <cell r="U512" t="str">
            <v>PENDIENTE</v>
          </cell>
        </row>
        <row r="513">
          <cell r="A513" t="str">
            <v>20304</v>
          </cell>
          <cell r="B513" t="str">
            <v>DAVIVIENDA</v>
          </cell>
          <cell r="C513" t="str">
            <v>GLADYS JEANNETH CORREA RUEDA</v>
          </cell>
          <cell r="D513" t="str">
            <v>5904046002318540</v>
          </cell>
          <cell r="E513">
            <v>47588</v>
          </cell>
          <cell r="F513">
            <v>112</v>
          </cell>
          <cell r="G513">
            <v>8</v>
          </cell>
          <cell r="H513">
            <v>599694.1</v>
          </cell>
          <cell r="I513">
            <v>74579.794781323144</v>
          </cell>
          <cell r="J513">
            <v>0</v>
          </cell>
          <cell r="K513">
            <v>0</v>
          </cell>
          <cell r="L513">
            <v>0</v>
          </cell>
          <cell r="M513">
            <v>1.0566666666666667E-2</v>
          </cell>
          <cell r="N513">
            <v>9.7183691462812277E-3</v>
          </cell>
          <cell r="O513">
            <v>-8.0280522433953228E-2</v>
          </cell>
          <cell r="P513">
            <v>674273.89478132315</v>
          </cell>
          <cell r="Q513">
            <v>7074411.8799998853</v>
          </cell>
          <cell r="R513">
            <v>-2020</v>
          </cell>
          <cell r="U513" t="str">
            <v>PENDIENTE</v>
          </cell>
        </row>
        <row r="514">
          <cell r="A514" t="str">
            <v>20305</v>
          </cell>
          <cell r="B514" t="str">
            <v>DAVIVIENDA</v>
          </cell>
          <cell r="C514" t="str">
            <v>GLADYS JEANNETH CORREA RUEDA</v>
          </cell>
          <cell r="D514" t="str">
            <v>5904046002318540</v>
          </cell>
          <cell r="E514">
            <v>47618</v>
          </cell>
          <cell r="F514">
            <v>113</v>
          </cell>
          <cell r="G514">
            <v>7</v>
          </cell>
          <cell r="H514">
            <v>599694.1</v>
          </cell>
          <cell r="I514">
            <v>70154.604645609012</v>
          </cell>
          <cell r="J514">
            <v>0</v>
          </cell>
          <cell r="K514">
            <v>0</v>
          </cell>
          <cell r="L514">
            <v>0</v>
          </cell>
          <cell r="M514">
            <v>1.0566666666666667E-2</v>
          </cell>
          <cell r="N514">
            <v>9.9166695176377186E-3</v>
          </cell>
          <cell r="O514">
            <v>-6.1513925775610212E-2</v>
          </cell>
          <cell r="P514">
            <v>669848.70464560902</v>
          </cell>
          <cell r="Q514">
            <v>6474717.7799998857</v>
          </cell>
          <cell r="R514">
            <v>-2051</v>
          </cell>
          <cell r="U514" t="str">
            <v>PENDIENTE</v>
          </cell>
        </row>
        <row r="515">
          <cell r="A515" t="str">
            <v>20306</v>
          </cell>
          <cell r="B515" t="str">
            <v>DAVIVIENDA</v>
          </cell>
          <cell r="C515" t="str">
            <v>GLADYS JEANNETH CORREA RUEDA</v>
          </cell>
          <cell r="D515" t="str">
            <v>5904046002318540</v>
          </cell>
          <cell r="E515">
            <v>47649</v>
          </cell>
          <cell r="F515">
            <v>114</v>
          </cell>
          <cell r="G515">
            <v>6</v>
          </cell>
          <cell r="H515">
            <v>599694.1</v>
          </cell>
          <cell r="I515">
            <v>65729.414509894894</v>
          </cell>
          <cell r="J515">
            <v>0</v>
          </cell>
          <cell r="K515">
            <v>0</v>
          </cell>
          <cell r="L515">
            <v>0</v>
          </cell>
          <cell r="M515">
            <v>1.0566666666666667E-2</v>
          </cell>
          <cell r="N515">
            <v>1.0151703401332816E-2</v>
          </cell>
          <cell r="O515">
            <v>-3.9270971482698869E-2</v>
          </cell>
          <cell r="P515">
            <v>665423.51450989489</v>
          </cell>
          <cell r="Q515">
            <v>5875023.6799998861</v>
          </cell>
          <cell r="R515">
            <v>-2081</v>
          </cell>
          <cell r="U515" t="str">
            <v>PENDIENTE</v>
          </cell>
        </row>
        <row r="516">
          <cell r="A516" t="str">
            <v>20307</v>
          </cell>
          <cell r="B516" t="str">
            <v>DAVIVIENDA</v>
          </cell>
          <cell r="C516" t="str">
            <v>GLADYS JEANNETH CORREA RUEDA</v>
          </cell>
          <cell r="D516" t="str">
            <v>5904046002318540</v>
          </cell>
          <cell r="E516">
            <v>47679</v>
          </cell>
          <cell r="F516">
            <v>115</v>
          </cell>
          <cell r="G516">
            <v>5</v>
          </cell>
          <cell r="H516">
            <v>599694.1</v>
          </cell>
          <cell r="I516">
            <v>61304.224374180769</v>
          </cell>
          <cell r="J516">
            <v>0</v>
          </cell>
          <cell r="K516">
            <v>0</v>
          </cell>
          <cell r="L516">
            <v>0</v>
          </cell>
          <cell r="M516">
            <v>1.0566666666666667E-2</v>
          </cell>
          <cell r="N516">
            <v>1.0434719537025246E-2</v>
          </cell>
          <cell r="O516">
            <v>-1.2487110060702356E-2</v>
          </cell>
          <cell r="P516">
            <v>660998.32437418075</v>
          </cell>
          <cell r="Q516">
            <v>5275329.5799998865</v>
          </cell>
          <cell r="R516">
            <v>-2112</v>
          </cell>
          <cell r="U516" t="str">
            <v>PENDIENTE</v>
          </cell>
        </row>
        <row r="517">
          <cell r="A517" t="str">
            <v>20308</v>
          </cell>
          <cell r="B517" t="str">
            <v>DAVIVIENDA</v>
          </cell>
          <cell r="C517" t="str">
            <v>GLADYS JEANNETH CORREA RUEDA</v>
          </cell>
          <cell r="D517" t="str">
            <v>5904046002318540</v>
          </cell>
          <cell r="E517">
            <v>47710</v>
          </cell>
          <cell r="F517">
            <v>116</v>
          </cell>
          <cell r="G517">
            <v>4</v>
          </cell>
          <cell r="H517">
            <v>599694.1</v>
          </cell>
          <cell r="I517">
            <v>56879.034238466644</v>
          </cell>
          <cell r="J517">
            <v>0</v>
          </cell>
          <cell r="K517">
            <v>0</v>
          </cell>
          <cell r="L517">
            <v>0</v>
          </cell>
          <cell r="M517">
            <v>1.0566666666666667E-2</v>
          </cell>
          <cell r="N517">
            <v>1.0782081645497469E-2</v>
          </cell>
          <cell r="O517">
            <v>2.0386275599129533E-2</v>
          </cell>
          <cell r="P517">
            <v>656573.13423846662</v>
          </cell>
          <cell r="Q517">
            <v>4675635.4799998868</v>
          </cell>
          <cell r="R517">
            <v>-2142</v>
          </cell>
          <cell r="U517" t="str">
            <v>PENDIENTE</v>
          </cell>
        </row>
        <row r="518">
          <cell r="A518" t="str">
            <v>20309</v>
          </cell>
          <cell r="B518" t="str">
            <v>DAVIVIENDA</v>
          </cell>
          <cell r="C518" t="str">
            <v>GLADYS JEANNETH CORREA RUEDA</v>
          </cell>
          <cell r="D518" t="str">
            <v>5904046002318540</v>
          </cell>
          <cell r="E518">
            <v>47741</v>
          </cell>
          <cell r="F518">
            <v>117</v>
          </cell>
          <cell r="G518">
            <v>3</v>
          </cell>
          <cell r="H518">
            <v>599694.1</v>
          </cell>
          <cell r="I518">
            <v>52453.844102752511</v>
          </cell>
          <cell r="J518">
            <v>0</v>
          </cell>
          <cell r="K518">
            <v>0</v>
          </cell>
          <cell r="L518">
            <v>0</v>
          </cell>
          <cell r="M518">
            <v>1.0566666666666667E-2</v>
          </cell>
          <cell r="N518">
            <v>1.1218548650151355E-2</v>
          </cell>
          <cell r="O518">
            <v>6.1692301276153438E-2</v>
          </cell>
          <cell r="P518">
            <v>652147.94410275249</v>
          </cell>
          <cell r="Q518">
            <v>4075941.3799998867</v>
          </cell>
          <cell r="R518">
            <v>-2173</v>
          </cell>
          <cell r="U518" t="str">
            <v>PENDIENTE</v>
          </cell>
        </row>
        <row r="519">
          <cell r="A519" t="str">
            <v>203010</v>
          </cell>
          <cell r="B519" t="str">
            <v>DAVIVIENDA</v>
          </cell>
          <cell r="C519" t="str">
            <v>GLADYS JEANNETH CORREA RUEDA</v>
          </cell>
          <cell r="D519" t="str">
            <v>5904046002318540</v>
          </cell>
          <cell r="E519">
            <v>47771</v>
          </cell>
          <cell r="F519">
            <v>118</v>
          </cell>
          <cell r="G519">
            <v>2</v>
          </cell>
          <cell r="H519">
            <v>599694.1</v>
          </cell>
          <cell r="I519">
            <v>48028.653967038386</v>
          </cell>
          <cell r="J519">
            <v>0</v>
          </cell>
          <cell r="K519">
            <v>0</v>
          </cell>
          <cell r="L519">
            <v>0</v>
          </cell>
          <cell r="M519">
            <v>1.0566666666666667E-2</v>
          </cell>
          <cell r="N519">
            <v>1.1783450616514932E-2</v>
          </cell>
          <cell r="O519">
            <v>0.11515305519068764</v>
          </cell>
          <cell r="P519">
            <v>647722.75396703836</v>
          </cell>
          <cell r="Q519">
            <v>3476247.2799998866</v>
          </cell>
          <cell r="R519">
            <v>-2204</v>
          </cell>
          <cell r="U519" t="str">
            <v>PENDIENTE</v>
          </cell>
        </row>
        <row r="520">
          <cell r="A520" t="str">
            <v>203011</v>
          </cell>
          <cell r="B520" t="str">
            <v>DAVIVIENDA</v>
          </cell>
          <cell r="C520" t="str">
            <v>GLADYS JEANNETH CORREA RUEDA</v>
          </cell>
          <cell r="D520" t="str">
            <v>5904046002318540</v>
          </cell>
          <cell r="E520">
            <v>47802</v>
          </cell>
          <cell r="F520">
            <v>119</v>
          </cell>
          <cell r="G520">
            <v>1</v>
          </cell>
          <cell r="H520">
            <v>599694.1</v>
          </cell>
          <cell r="I520">
            <v>43603.463831324261</v>
          </cell>
          <cell r="J520">
            <v>0</v>
          </cell>
          <cell r="K520">
            <v>0</v>
          </cell>
          <cell r="L520">
            <v>0</v>
          </cell>
          <cell r="M520">
            <v>1.0566666666666667E-2</v>
          </cell>
          <cell r="N520">
            <v>1.2543257230919914E-2</v>
          </cell>
          <cell r="O520">
            <v>0.18705904393563855</v>
          </cell>
          <cell r="P520">
            <v>643297.56383132422</v>
          </cell>
          <cell r="Q520">
            <v>2876553.1799998865</v>
          </cell>
          <cell r="R520">
            <v>-2234</v>
          </cell>
          <cell r="U520" t="str">
            <v>PENDIENTE</v>
          </cell>
        </row>
        <row r="521">
          <cell r="A521" t="str">
            <v>203012</v>
          </cell>
          <cell r="B521" t="str">
            <v>DAVIVIENDA</v>
          </cell>
          <cell r="C521" t="str">
            <v>GLADYS JEANNETH CORREA RUEDA</v>
          </cell>
          <cell r="D521" t="str">
            <v>5904046002318540</v>
          </cell>
          <cell r="E521">
            <v>47832</v>
          </cell>
          <cell r="F521">
            <v>120</v>
          </cell>
          <cell r="G521">
            <v>0</v>
          </cell>
          <cell r="H521">
            <v>599694.1</v>
          </cell>
          <cell r="I521">
            <v>39178.273695610129</v>
          </cell>
          <cell r="J521">
            <v>0</v>
          </cell>
          <cell r="K521">
            <v>0</v>
          </cell>
          <cell r="L521">
            <v>0</v>
          </cell>
          <cell r="M521">
            <v>1.0566666666666667E-2</v>
          </cell>
          <cell r="N521">
            <v>1.3619867683312454E-2</v>
          </cell>
          <cell r="O521">
            <v>0.28894646845228267</v>
          </cell>
          <cell r="P521">
            <v>638872.37369561009</v>
          </cell>
          <cell r="Q521">
            <v>2276859.0799998865</v>
          </cell>
          <cell r="R521">
            <v>-2265</v>
          </cell>
          <cell r="U521" t="str">
            <v>PENDIENTE</v>
          </cell>
        </row>
        <row r="522">
          <cell r="A522" t="str">
            <v>20231</v>
          </cell>
          <cell r="B522" t="str">
            <v>SERFINANZAS</v>
          </cell>
          <cell r="C522" t="str">
            <v>LAMAR OPTICAL S.A.S</v>
          </cell>
          <cell r="D522" t="str">
            <v>111000206819</v>
          </cell>
          <cell r="E522">
            <v>44957</v>
          </cell>
          <cell r="F522">
            <v>0</v>
          </cell>
          <cell r="G522">
            <v>36</v>
          </cell>
          <cell r="H522">
            <v>0</v>
          </cell>
          <cell r="I522">
            <v>0</v>
          </cell>
          <cell r="J522">
            <v>0</v>
          </cell>
          <cell r="K522">
            <v>0</v>
          </cell>
          <cell r="L522">
            <v>0</v>
          </cell>
          <cell r="M522">
            <v>2.0920765139664805E-2</v>
          </cell>
          <cell r="N522">
            <v>0</v>
          </cell>
          <cell r="O522">
            <v>-1</v>
          </cell>
          <cell r="P522">
            <v>0</v>
          </cell>
          <cell r="Q522">
            <v>22375000</v>
          </cell>
          <cell r="R522" t="str">
            <v>OK</v>
          </cell>
          <cell r="S522">
            <v>0</v>
          </cell>
          <cell r="T522">
            <v>44957</v>
          </cell>
          <cell r="U522" t="str">
            <v>PAGADO</v>
          </cell>
        </row>
        <row r="523">
          <cell r="A523" t="str">
            <v>20232</v>
          </cell>
          <cell r="B523" t="str">
            <v>SERFINANZAS</v>
          </cell>
          <cell r="C523" t="str">
            <v>LAMAR OPTICAL S.A.S</v>
          </cell>
          <cell r="D523" t="str">
            <v>111000206819</v>
          </cell>
          <cell r="E523">
            <v>44985</v>
          </cell>
          <cell r="F523">
            <v>1</v>
          </cell>
          <cell r="G523">
            <v>35</v>
          </cell>
          <cell r="H523">
            <v>422766.05</v>
          </cell>
          <cell r="I523">
            <v>468102.12</v>
          </cell>
          <cell r="J523">
            <v>0</v>
          </cell>
          <cell r="K523">
            <v>0</v>
          </cell>
          <cell r="L523">
            <v>0</v>
          </cell>
          <cell r="M523">
            <v>2.0920765139664805E-2</v>
          </cell>
          <cell r="N523">
            <v>2.0920765139664805E-2</v>
          </cell>
          <cell r="O523">
            <v>0</v>
          </cell>
          <cell r="P523">
            <v>890868.16999999993</v>
          </cell>
          <cell r="Q523">
            <v>21952233.949999999</v>
          </cell>
          <cell r="R523" t="str">
            <v>OK</v>
          </cell>
          <cell r="S523">
            <v>901552.19</v>
          </cell>
          <cell r="T523">
            <v>45009</v>
          </cell>
          <cell r="U523" t="str">
            <v>PAGADO</v>
          </cell>
        </row>
        <row r="524">
          <cell r="A524" t="str">
            <v>20233</v>
          </cell>
          <cell r="B524" t="str">
            <v>SERFINANZAS</v>
          </cell>
          <cell r="C524" t="str">
            <v>LAMAR OPTICAL S.A.S</v>
          </cell>
          <cell r="D524" t="str">
            <v>111000206819</v>
          </cell>
          <cell r="E524">
            <v>45015</v>
          </cell>
          <cell r="F524">
            <v>2</v>
          </cell>
          <cell r="G524">
            <v>34</v>
          </cell>
          <cell r="H524">
            <v>431289.38</v>
          </cell>
          <cell r="I524">
            <v>460131.39</v>
          </cell>
          <cell r="J524">
            <v>0</v>
          </cell>
          <cell r="K524">
            <v>0</v>
          </cell>
          <cell r="L524">
            <v>0</v>
          </cell>
          <cell r="M524">
            <v>2.0920765139664805E-2</v>
          </cell>
          <cell r="N524">
            <v>2.09605724432433E-2</v>
          </cell>
          <cell r="O524">
            <v>1.9027651862990602E-3</v>
          </cell>
          <cell r="P524">
            <v>891420.77</v>
          </cell>
          <cell r="Q524">
            <v>21520944.57</v>
          </cell>
          <cell r="R524" t="str">
            <v>OK</v>
          </cell>
          <cell r="S524">
            <v>897805.33</v>
          </cell>
          <cell r="T524">
            <v>45029</v>
          </cell>
          <cell r="U524" t="str">
            <v>PAGADO</v>
          </cell>
        </row>
        <row r="525">
          <cell r="A525" t="str">
            <v>20234</v>
          </cell>
          <cell r="B525" t="str">
            <v>SERFINANZAS</v>
          </cell>
          <cell r="C525" t="str">
            <v>LAMAR OPTICAL S.A.S</v>
          </cell>
          <cell r="D525" t="str">
            <v>111000206819</v>
          </cell>
          <cell r="E525">
            <v>45046</v>
          </cell>
          <cell r="F525">
            <v>3</v>
          </cell>
          <cell r="G525">
            <v>33</v>
          </cell>
          <cell r="H525">
            <v>447276.74</v>
          </cell>
          <cell r="I525">
            <v>432446.83</v>
          </cell>
          <cell r="J525">
            <v>0</v>
          </cell>
          <cell r="K525">
            <v>0</v>
          </cell>
          <cell r="L525">
            <v>0</v>
          </cell>
          <cell r="M525">
            <v>2.0920765139664805E-2</v>
          </cell>
          <cell r="N525">
            <v>2.0094230929009822E-2</v>
          </cell>
          <cell r="O525">
            <v>-3.9507838510548177E-2</v>
          </cell>
          <cell r="P525">
            <v>879723.57000000007</v>
          </cell>
          <cell r="Q525">
            <v>21073667.830000002</v>
          </cell>
          <cell r="R525" t="str">
            <v>OK</v>
          </cell>
          <cell r="S525">
            <v>888071.32</v>
          </cell>
          <cell r="T525">
            <v>45064</v>
          </cell>
          <cell r="U525" t="str">
            <v>PAGADO</v>
          </cell>
        </row>
        <row r="526">
          <cell r="A526" t="str">
            <v>20235</v>
          </cell>
          <cell r="B526" t="str">
            <v>SERFINANZAS</v>
          </cell>
          <cell r="C526" t="str">
            <v>LAMAR OPTICAL S.A.S</v>
          </cell>
          <cell r="D526" t="str">
            <v>111000206819</v>
          </cell>
          <cell r="E526">
            <v>45076</v>
          </cell>
          <cell r="F526">
            <v>4</v>
          </cell>
          <cell r="G526">
            <v>32</v>
          </cell>
          <cell r="H526">
            <v>459799.79</v>
          </cell>
          <cell r="I526">
            <v>414124.52</v>
          </cell>
          <cell r="J526">
            <v>0</v>
          </cell>
          <cell r="K526">
            <v>0</v>
          </cell>
          <cell r="L526">
            <v>0</v>
          </cell>
          <cell r="M526">
            <v>2.0920765139664805E-2</v>
          </cell>
          <cell r="N526">
            <v>1.9651278711457224E-2</v>
          </cell>
          <cell r="O526">
            <v>-6.0680688289009743E-2</v>
          </cell>
          <cell r="P526">
            <v>873924.31</v>
          </cell>
          <cell r="Q526">
            <v>20613868.040000003</v>
          </cell>
          <cell r="R526" t="str">
            <v>OK</v>
          </cell>
          <cell r="S526">
            <v>873910.17</v>
          </cell>
          <cell r="T526">
            <v>45072</v>
          </cell>
          <cell r="U526" t="str">
            <v>PAGADO</v>
          </cell>
        </row>
        <row r="527">
          <cell r="A527" t="str">
            <v>20236</v>
          </cell>
          <cell r="B527" t="str">
            <v>SERFINANZAS</v>
          </cell>
          <cell r="C527" t="str">
            <v>LAMAR OPTICAL S.A.S</v>
          </cell>
          <cell r="D527" t="str">
            <v>111000206819</v>
          </cell>
          <cell r="E527">
            <v>45107</v>
          </cell>
          <cell r="F527">
            <v>5</v>
          </cell>
          <cell r="G527">
            <v>31</v>
          </cell>
          <cell r="H527">
            <v>474660.41</v>
          </cell>
          <cell r="I527">
            <v>404831.9</v>
          </cell>
          <cell r="J527">
            <v>0</v>
          </cell>
          <cell r="K527">
            <v>0</v>
          </cell>
          <cell r="L527">
            <v>14.14000000001397</v>
          </cell>
          <cell r="M527">
            <v>2.0920765139664805E-2</v>
          </cell>
          <cell r="N527">
            <v>1.9638813017258453E-2</v>
          </cell>
          <cell r="O527">
            <v>-6.1276540979652294E-2</v>
          </cell>
          <cell r="P527">
            <v>879506.45000000007</v>
          </cell>
          <cell r="Q527">
            <v>20139207.630000003</v>
          </cell>
          <cell r="R527" t="str">
            <v>OK</v>
          </cell>
          <cell r="S527">
            <v>888861.6</v>
          </cell>
          <cell r="T527">
            <v>45133</v>
          </cell>
          <cell r="U527" t="str">
            <v>PAGADO</v>
          </cell>
        </row>
        <row r="528">
          <cell r="A528" t="str">
            <v>20237</v>
          </cell>
          <cell r="B528" t="str">
            <v>SERFINANZAS</v>
          </cell>
          <cell r="C528" t="str">
            <v>LAMAR OPTICAL S.A.S</v>
          </cell>
          <cell r="D528" t="str">
            <v>111000206819</v>
          </cell>
          <cell r="E528">
            <v>45137</v>
          </cell>
          <cell r="F528">
            <v>6</v>
          </cell>
          <cell r="G528">
            <v>30</v>
          </cell>
          <cell r="H528">
            <v>445904.87989600905</v>
          </cell>
          <cell r="I528">
            <v>421327.63292617549</v>
          </cell>
          <cell r="J528">
            <v>0</v>
          </cell>
          <cell r="K528">
            <v>0</v>
          </cell>
          <cell r="L528">
            <v>0</v>
          </cell>
          <cell r="M528">
            <v>2.0920765139664805E-2</v>
          </cell>
          <cell r="N528">
            <v>2.0920765139664805E-2</v>
          </cell>
          <cell r="O528">
            <v>0</v>
          </cell>
          <cell r="P528">
            <v>867232.51282218448</v>
          </cell>
          <cell r="Q528">
            <v>19693302.750103995</v>
          </cell>
          <cell r="R528" t="str">
            <v>OK</v>
          </cell>
          <cell r="S528">
            <v>893679.08</v>
          </cell>
          <cell r="T528">
            <v>45166</v>
          </cell>
          <cell r="U528" t="str">
            <v>PAGADO</v>
          </cell>
        </row>
        <row r="529">
          <cell r="A529" t="str">
            <v>20238</v>
          </cell>
          <cell r="B529" t="str">
            <v>SERFINANZAS</v>
          </cell>
          <cell r="C529" t="str">
            <v>LAMAR OPTICAL S.A.S</v>
          </cell>
          <cell r="D529" t="str">
            <v>111000206819</v>
          </cell>
          <cell r="E529">
            <v>45168</v>
          </cell>
          <cell r="F529">
            <v>7</v>
          </cell>
          <cell r="G529">
            <v>29</v>
          </cell>
          <cell r="H529">
            <v>481668.55</v>
          </cell>
          <cell r="I529">
            <v>401867.69</v>
          </cell>
          <cell r="J529">
            <v>0</v>
          </cell>
          <cell r="K529">
            <v>0</v>
          </cell>
          <cell r="L529">
            <v>0</v>
          </cell>
          <cell r="M529">
            <v>2.0920765139664805E-2</v>
          </cell>
          <cell r="N529">
            <v>2.0406312496154454E-2</v>
          </cell>
          <cell r="O529">
            <v>-2.459052716647403E-2</v>
          </cell>
          <cell r="P529">
            <v>883536.24</v>
          </cell>
          <cell r="Q529">
            <v>19211634.200103994</v>
          </cell>
          <cell r="R529" t="str">
            <v>OK</v>
          </cell>
          <cell r="S529">
            <v>894309.77</v>
          </cell>
          <cell r="T529">
            <v>45191</v>
          </cell>
          <cell r="U529" t="str">
            <v>PAGADO</v>
          </cell>
        </row>
        <row r="530">
          <cell r="A530" t="str">
            <v>20239</v>
          </cell>
          <cell r="B530" t="str">
            <v>SERFINANZAS</v>
          </cell>
          <cell r="C530" t="str">
            <v>LAMAR OPTICAL S.A.S</v>
          </cell>
          <cell r="D530" t="str">
            <v>111000206819</v>
          </cell>
          <cell r="E530">
            <v>45199</v>
          </cell>
          <cell r="F530">
            <v>8</v>
          </cell>
          <cell r="G530">
            <v>28</v>
          </cell>
          <cell r="H530">
            <v>490865.26</v>
          </cell>
          <cell r="I530">
            <v>393691.52</v>
          </cell>
          <cell r="J530">
            <v>0</v>
          </cell>
          <cell r="K530">
            <v>0</v>
          </cell>
          <cell r="L530">
            <v>0</v>
          </cell>
          <cell r="M530">
            <v>2.0920765139664805E-2</v>
          </cell>
          <cell r="N530">
            <v>2.0492349370147229E-2</v>
          </cell>
          <cell r="O530">
            <v>-2.047801629899848E-2</v>
          </cell>
          <cell r="P530">
            <v>884556.78</v>
          </cell>
          <cell r="Q530">
            <v>18720768.940103993</v>
          </cell>
          <cell r="R530" t="str">
            <v>OK</v>
          </cell>
          <cell r="S530">
            <v>898259.63</v>
          </cell>
          <cell r="T530">
            <v>45229</v>
          </cell>
          <cell r="U530" t="str">
            <v>PAGADO</v>
          </cell>
        </row>
        <row r="531">
          <cell r="A531" t="str">
            <v>202310</v>
          </cell>
          <cell r="B531" t="str">
            <v>SERFINANZAS</v>
          </cell>
          <cell r="C531" t="str">
            <v>LAMAR OPTICAL S.A.S</v>
          </cell>
          <cell r="D531" t="str">
            <v>111000206819</v>
          </cell>
          <cell r="E531">
            <v>45229</v>
          </cell>
          <cell r="F531">
            <v>9</v>
          </cell>
          <cell r="G531">
            <v>27</v>
          </cell>
          <cell r="H531">
            <v>502596.93971400004</v>
          </cell>
          <cell r="I531">
            <v>391652.81022984727</v>
          </cell>
          <cell r="J531">
            <v>0</v>
          </cell>
          <cell r="K531">
            <v>0</v>
          </cell>
          <cell r="L531">
            <v>0</v>
          </cell>
          <cell r="M531">
            <v>2.0920765139664805E-2</v>
          </cell>
          <cell r="N531">
            <v>2.0920765139664805E-2</v>
          </cell>
          <cell r="O531">
            <v>0</v>
          </cell>
          <cell r="P531">
            <v>894249.7499438473</v>
          </cell>
          <cell r="Q531">
            <v>18218172.000389993</v>
          </cell>
          <cell r="R531" t="str">
            <v>OK</v>
          </cell>
          <cell r="S531">
            <v>893444.75</v>
          </cell>
          <cell r="T531">
            <v>45259</v>
          </cell>
          <cell r="U531" t="str">
            <v>PAGADO</v>
          </cell>
        </row>
        <row r="532">
          <cell r="A532" t="str">
            <v>202311</v>
          </cell>
          <cell r="B532" t="str">
            <v>SERFINANZAS</v>
          </cell>
          <cell r="C532" t="str">
            <v>LAMAR OPTICAL S.A.S</v>
          </cell>
          <cell r="D532" t="str">
            <v>111000206819</v>
          </cell>
          <cell r="E532">
            <v>45260</v>
          </cell>
          <cell r="F532">
            <v>10</v>
          </cell>
          <cell r="G532">
            <v>26</v>
          </cell>
          <cell r="H532">
            <v>514609.00657316466</v>
          </cell>
          <cell r="I532">
            <v>381138.09769417637</v>
          </cell>
          <cell r="J532">
            <v>0</v>
          </cell>
          <cell r="K532">
            <v>0</v>
          </cell>
          <cell r="L532">
            <v>804.99994384730235</v>
          </cell>
          <cell r="M532">
            <v>2.0920765139664805E-2</v>
          </cell>
          <cell r="N532">
            <v>2.0920765139664805E-2</v>
          </cell>
          <cell r="O532">
            <v>0</v>
          </cell>
          <cell r="P532">
            <v>896552.10421118839</v>
          </cell>
          <cell r="Q532">
            <v>17703562.99381683</v>
          </cell>
          <cell r="R532" t="str">
            <v>OK</v>
          </cell>
          <cell r="S532">
            <v>895611.91</v>
          </cell>
          <cell r="T532">
            <v>45289</v>
          </cell>
          <cell r="U532" t="str">
            <v>PAGADO</v>
          </cell>
        </row>
        <row r="533">
          <cell r="A533" t="str">
            <v>202312</v>
          </cell>
          <cell r="B533" t="str">
            <v>SERFINANZAS</v>
          </cell>
          <cell r="C533" t="str">
            <v>LAMAR OPTICAL S.A.S</v>
          </cell>
          <cell r="D533" t="str">
            <v>111000206819</v>
          </cell>
          <cell r="E533">
            <v>45290</v>
          </cell>
          <cell r="F533">
            <v>11</v>
          </cell>
          <cell r="G533">
            <v>25</v>
          </cell>
          <cell r="H533">
            <v>526908.16183026333</v>
          </cell>
          <cell r="I533">
            <v>370372.08352890302</v>
          </cell>
          <cell r="J533">
            <v>0</v>
          </cell>
          <cell r="K533">
            <v>0</v>
          </cell>
          <cell r="L533">
            <v>940.19421118835453</v>
          </cell>
          <cell r="M533">
            <v>2.0920765139664805E-2</v>
          </cell>
          <cell r="N533">
            <v>2.0920765139664805E-2</v>
          </cell>
          <cell r="O533">
            <v>0</v>
          </cell>
          <cell r="P533">
            <v>898220.43957035465</v>
          </cell>
          <cell r="Q533">
            <v>17176654.831986565</v>
          </cell>
          <cell r="R533" t="str">
            <v>OK</v>
          </cell>
          <cell r="S533">
            <v>890612.09</v>
          </cell>
          <cell r="T533">
            <v>45320</v>
          </cell>
          <cell r="U533" t="str">
            <v>PAGADO</v>
          </cell>
        </row>
        <row r="534">
          <cell r="A534" t="str">
            <v>20241</v>
          </cell>
          <cell r="B534" t="str">
            <v>SERFINANZAS</v>
          </cell>
          <cell r="C534" t="str">
            <v>LAMAR OPTICAL S.A.S</v>
          </cell>
          <cell r="D534" t="str">
            <v>111000206819</v>
          </cell>
          <cell r="E534">
            <v>45321</v>
          </cell>
          <cell r="F534">
            <v>12</v>
          </cell>
          <cell r="G534">
            <v>24</v>
          </cell>
          <cell r="H534">
            <v>536436.39</v>
          </cell>
          <cell r="I534">
            <v>341198.1</v>
          </cell>
          <cell r="J534">
            <v>0</v>
          </cell>
          <cell r="K534">
            <v>0</v>
          </cell>
          <cell r="L534">
            <v>0</v>
          </cell>
          <cell r="M534">
            <v>2.0920765139664805E-2</v>
          </cell>
          <cell r="N534">
            <v>1.9864059872974623E-2</v>
          </cell>
          <cell r="O534">
            <v>-5.0509876652968022E-2</v>
          </cell>
          <cell r="P534">
            <v>877634.49</v>
          </cell>
          <cell r="Q534">
            <v>16640218.441986565</v>
          </cell>
          <cell r="R534" t="str">
            <v>OK</v>
          </cell>
          <cell r="S534">
            <v>890099.24</v>
          </cell>
          <cell r="T534">
            <v>45349</v>
          </cell>
          <cell r="U534" t="str">
            <v>PAGADO</v>
          </cell>
        </row>
        <row r="535">
          <cell r="A535" t="str">
            <v>20242</v>
          </cell>
          <cell r="B535" t="str">
            <v>SERFINANZAS</v>
          </cell>
          <cell r="C535" t="str">
            <v>LAMAR OPTICAL S.A.S</v>
          </cell>
          <cell r="D535" t="str">
            <v>111000206819</v>
          </cell>
          <cell r="E535">
            <v>45351</v>
          </cell>
          <cell r="F535">
            <v>13</v>
          </cell>
          <cell r="G535">
            <v>23</v>
          </cell>
          <cell r="H535">
            <v>552749.62</v>
          </cell>
          <cell r="I535">
            <v>316525.21999999997</v>
          </cell>
          <cell r="J535">
            <v>0</v>
          </cell>
          <cell r="K535">
            <v>0</v>
          </cell>
          <cell r="L535">
            <v>0</v>
          </cell>
          <cell r="M535">
            <v>2.0920765139664805E-2</v>
          </cell>
          <cell r="N535">
            <v>1.9021698609517301E-2</v>
          </cell>
          <cell r="O535">
            <v>-9.0774238775185201E-2</v>
          </cell>
          <cell r="P535">
            <v>869274.84</v>
          </cell>
          <cell r="Q535">
            <v>16087468.821986565</v>
          </cell>
          <cell r="R535" t="str">
            <v>OK</v>
          </cell>
          <cell r="S535">
            <v>881163.15</v>
          </cell>
          <cell r="T535">
            <v>45381</v>
          </cell>
          <cell r="U535" t="str">
            <v>PAGADO</v>
          </cell>
        </row>
        <row r="536">
          <cell r="A536" t="str">
            <v>20243</v>
          </cell>
          <cell r="B536" t="str">
            <v>SERFINANZAS</v>
          </cell>
          <cell r="C536" t="str">
            <v>LAMAR OPTICAL S.A.S</v>
          </cell>
          <cell r="D536" t="str">
            <v>111000206819</v>
          </cell>
          <cell r="E536">
            <v>45381</v>
          </cell>
          <cell r="F536">
            <v>14</v>
          </cell>
          <cell r="G536">
            <v>22</v>
          </cell>
          <cell r="H536">
            <v>565960.33591799997</v>
          </cell>
          <cell r="I536">
            <v>336562.15691646095</v>
          </cell>
          <cell r="J536">
            <v>0</v>
          </cell>
          <cell r="K536">
            <v>0</v>
          </cell>
          <cell r="L536">
            <v>0</v>
          </cell>
          <cell r="M536">
            <v>2.0920765139664805E-2</v>
          </cell>
          <cell r="N536">
            <v>2.0920765139664805E-2</v>
          </cell>
          <cell r="O536">
            <v>0</v>
          </cell>
          <cell r="P536">
            <v>902522.49283446092</v>
          </cell>
          <cell r="Q536">
            <v>15521508.486068565</v>
          </cell>
          <cell r="R536" t="str">
            <v>OK</v>
          </cell>
          <cell r="S536">
            <v>1417034.2</v>
          </cell>
          <cell r="T536">
            <v>45411</v>
          </cell>
          <cell r="U536" t="str">
            <v>PAGADO</v>
          </cell>
        </row>
        <row r="537">
          <cell r="A537" t="str">
            <v>20244</v>
          </cell>
          <cell r="B537" t="str">
            <v>SERFINANZAS</v>
          </cell>
          <cell r="C537" t="str">
            <v>LAMAR OPTICAL S.A.S</v>
          </cell>
          <cell r="D537" t="str">
            <v>111000206819</v>
          </cell>
          <cell r="E537">
            <v>45412</v>
          </cell>
          <cell r="F537">
            <v>15</v>
          </cell>
          <cell r="G537">
            <v>21</v>
          </cell>
          <cell r="H537">
            <v>579486.78794644016</v>
          </cell>
          <cell r="I537">
            <v>324721.8336503547</v>
          </cell>
          <cell r="J537">
            <v>0</v>
          </cell>
          <cell r="K537">
            <v>0</v>
          </cell>
          <cell r="L537">
            <v>0</v>
          </cell>
          <cell r="M537">
            <v>2.0920765139664805E-2</v>
          </cell>
          <cell r="N537">
            <v>2.0920765139664805E-2</v>
          </cell>
          <cell r="O537">
            <v>0</v>
          </cell>
          <cell r="P537">
            <v>904208.62159679481</v>
          </cell>
          <cell r="Q537">
            <v>14942021.698122125</v>
          </cell>
          <cell r="R537" t="str">
            <v>OK</v>
          </cell>
          <cell r="S537">
            <v>877887</v>
          </cell>
          <cell r="T537">
            <v>45439</v>
          </cell>
          <cell r="U537" t="str">
            <v>PAGADO</v>
          </cell>
        </row>
        <row r="538">
          <cell r="A538" t="str">
            <v>20245</v>
          </cell>
          <cell r="B538" t="str">
            <v>SERFINANZAS</v>
          </cell>
          <cell r="C538" t="str">
            <v>LAMAR OPTICAL S.A.S</v>
          </cell>
          <cell r="D538" t="str">
            <v>111000206819</v>
          </cell>
          <cell r="E538">
            <v>45442</v>
          </cell>
          <cell r="F538">
            <v>16</v>
          </cell>
          <cell r="G538">
            <v>20</v>
          </cell>
          <cell r="H538">
            <v>593336.52217836014</v>
          </cell>
          <cell r="I538">
            <v>312598.52665818849</v>
          </cell>
          <cell r="J538">
            <v>0</v>
          </cell>
          <cell r="K538">
            <v>0</v>
          </cell>
          <cell r="L538">
            <v>26321.621596794808</v>
          </cell>
          <cell r="M538">
            <v>2.0920765139664805E-2</v>
          </cell>
          <cell r="N538">
            <v>2.0920765139664808E-2</v>
          </cell>
          <cell r="O538">
            <v>2.2204460492503131E-16</v>
          </cell>
          <cell r="P538">
            <v>932256.67043334339</v>
          </cell>
          <cell r="Q538">
            <v>14348685.175943766</v>
          </cell>
          <cell r="R538" t="str">
            <v>OK</v>
          </cell>
          <cell r="S538">
            <v>870163</v>
          </cell>
          <cell r="T538">
            <v>45456</v>
          </cell>
          <cell r="U538" t="str">
            <v>PAGADO</v>
          </cell>
        </row>
        <row r="539">
          <cell r="A539" t="str">
            <v>20246</v>
          </cell>
          <cell r="B539" t="str">
            <v>SERFINANZAS</v>
          </cell>
          <cell r="C539" t="str">
            <v>LAMAR OPTICAL S.A.S</v>
          </cell>
          <cell r="D539" t="str">
            <v>111000206819</v>
          </cell>
          <cell r="E539">
            <v>45473</v>
          </cell>
          <cell r="F539">
            <v>17</v>
          </cell>
          <cell r="G539">
            <v>19</v>
          </cell>
          <cell r="H539">
            <v>607517.26505842293</v>
          </cell>
          <cell r="I539">
            <v>300185.47262890951</v>
          </cell>
          <cell r="J539">
            <v>0</v>
          </cell>
          <cell r="K539">
            <v>0</v>
          </cell>
          <cell r="L539">
            <v>62093.670433343388</v>
          </cell>
          <cell r="M539">
            <v>2.0920765139664805E-2</v>
          </cell>
          <cell r="N539">
            <v>2.0920765139664805E-2</v>
          </cell>
          <cell r="O539">
            <v>0</v>
          </cell>
          <cell r="P539">
            <v>969796.40812067583</v>
          </cell>
          <cell r="Q539">
            <v>13741167.910885343</v>
          </cell>
          <cell r="R539" t="str">
            <v>OK</v>
          </cell>
          <cell r="S539">
            <v>874456.56</v>
          </cell>
          <cell r="T539">
            <v>45502</v>
          </cell>
          <cell r="U539" t="str">
            <v>PAGADO</v>
          </cell>
        </row>
        <row r="540">
          <cell r="A540" t="str">
            <v>20247</v>
          </cell>
          <cell r="B540" t="str">
            <v>SERFINANZAS</v>
          </cell>
          <cell r="C540" t="str">
            <v>LAMAR OPTICAL S.A.S</v>
          </cell>
          <cell r="D540" t="str">
            <v>111000206819</v>
          </cell>
          <cell r="E540">
            <v>45503</v>
          </cell>
          <cell r="F540">
            <v>18</v>
          </cell>
          <cell r="G540">
            <v>18</v>
          </cell>
          <cell r="H540">
            <v>622036.92769331927</v>
          </cell>
          <cell r="I540">
            <v>287475.74660833075</v>
          </cell>
          <cell r="J540">
            <v>0</v>
          </cell>
          <cell r="K540">
            <v>0</v>
          </cell>
          <cell r="L540">
            <v>95339.848120675771</v>
          </cell>
          <cell r="M540">
            <v>2.0920765139664805E-2</v>
          </cell>
          <cell r="N540">
            <v>2.0920765139664805E-2</v>
          </cell>
          <cell r="O540">
            <v>0</v>
          </cell>
          <cell r="P540">
            <v>1004852.5224223258</v>
          </cell>
          <cell r="Q540">
            <v>13119130.983192025</v>
          </cell>
          <cell r="R540" t="str">
            <v>OK</v>
          </cell>
          <cell r="S540">
            <v>866988.99</v>
          </cell>
          <cell r="T540">
            <v>45516</v>
          </cell>
          <cell r="U540" t="str">
            <v>PAGADO</v>
          </cell>
        </row>
        <row r="541">
          <cell r="A541" t="str">
            <v>20248</v>
          </cell>
          <cell r="B541" t="str">
            <v>SERFINANZAS</v>
          </cell>
          <cell r="C541" t="str">
            <v>LAMAR OPTICAL S.A.S</v>
          </cell>
          <cell r="D541" t="str">
            <v>111000206819</v>
          </cell>
          <cell r="E541">
            <v>45534</v>
          </cell>
          <cell r="F541">
            <v>19</v>
          </cell>
          <cell r="G541">
            <v>17</v>
          </cell>
          <cell r="H541">
            <v>636903.61026518967</v>
          </cell>
          <cell r="I541">
            <v>274462.25813586015</v>
          </cell>
          <cell r="J541">
            <v>0</v>
          </cell>
          <cell r="K541">
            <v>0</v>
          </cell>
          <cell r="L541">
            <v>137863.53242232581</v>
          </cell>
          <cell r="M541">
            <v>2.0920765139664805E-2</v>
          </cell>
          <cell r="N541">
            <v>2.0920765139664801E-2</v>
          </cell>
          <cell r="O541">
            <v>-1.1102230246251565E-16</v>
          </cell>
          <cell r="P541">
            <v>1049229.4008233757</v>
          </cell>
          <cell r="Q541">
            <v>12482227.372926835</v>
          </cell>
          <cell r="R541">
            <v>3</v>
          </cell>
          <cell r="U541" t="str">
            <v>PENDIENTE</v>
          </cell>
        </row>
        <row r="542">
          <cell r="A542" t="str">
            <v>20249</v>
          </cell>
          <cell r="B542" t="str">
            <v>SERFINANZAS</v>
          </cell>
          <cell r="C542" t="str">
            <v>LAMAR OPTICAL S.A.S</v>
          </cell>
          <cell r="D542" t="str">
            <v>111000206819</v>
          </cell>
          <cell r="E542">
            <v>45565</v>
          </cell>
          <cell r="F542">
            <v>20</v>
          </cell>
          <cell r="G542">
            <v>16</v>
          </cell>
          <cell r="H542">
            <v>652125.60655052774</v>
          </cell>
          <cell r="I542">
            <v>261137.74728889752</v>
          </cell>
          <cell r="J542">
            <v>0</v>
          </cell>
          <cell r="K542">
            <v>0</v>
          </cell>
          <cell r="L542">
            <v>0</v>
          </cell>
          <cell r="M542">
            <v>2.0920765139664805E-2</v>
          </cell>
          <cell r="N542">
            <v>2.0920765139664805E-2</v>
          </cell>
          <cell r="O542">
            <v>0</v>
          </cell>
          <cell r="P542">
            <v>913263.35383942525</v>
          </cell>
          <cell r="Q542">
            <v>11830101.766376307</v>
          </cell>
          <cell r="R542">
            <v>3</v>
          </cell>
          <cell r="U542" t="str">
            <v>PENDIENTE</v>
          </cell>
        </row>
        <row r="543">
          <cell r="A543" t="str">
            <v>202410</v>
          </cell>
          <cell r="B543" t="str">
            <v>SERFINANZAS</v>
          </cell>
          <cell r="C543" t="str">
            <v>LAMAR OPTICAL S.A.S</v>
          </cell>
          <cell r="D543" t="str">
            <v>111000206819</v>
          </cell>
          <cell r="E543">
            <v>45595</v>
          </cell>
          <cell r="F543">
            <v>21</v>
          </cell>
          <cell r="G543">
            <v>15</v>
          </cell>
          <cell r="H543">
            <v>667711.40854708536</v>
          </cell>
          <cell r="I543">
            <v>247494.78063269248</v>
          </cell>
          <cell r="J543">
            <v>0</v>
          </cell>
          <cell r="K543">
            <v>0</v>
          </cell>
          <cell r="L543">
            <v>0</v>
          </cell>
          <cell r="M543">
            <v>2.0920765139664805E-2</v>
          </cell>
          <cell r="N543">
            <v>2.0920765139664805E-2</v>
          </cell>
          <cell r="O543">
            <v>0</v>
          </cell>
          <cell r="P543">
            <v>915206.18917977787</v>
          </cell>
          <cell r="Q543">
            <v>11162390.357829222</v>
          </cell>
          <cell r="R543">
            <v>-28</v>
          </cell>
          <cell r="U543" t="str">
            <v>PENDIENTE</v>
          </cell>
        </row>
        <row r="544">
          <cell r="A544" t="str">
            <v>202411</v>
          </cell>
          <cell r="B544" t="str">
            <v>SERFINANZAS</v>
          </cell>
          <cell r="C544" t="str">
            <v>LAMAR OPTICAL S.A.S</v>
          </cell>
          <cell r="D544" t="str">
            <v>111000206819</v>
          </cell>
          <cell r="E544">
            <v>45626</v>
          </cell>
          <cell r="F544">
            <v>22</v>
          </cell>
          <cell r="G544">
            <v>14</v>
          </cell>
          <cell r="H544">
            <v>683669.71121136076</v>
          </cell>
          <cell r="I544">
            <v>233525.74707340414</v>
          </cell>
          <cell r="J544">
            <v>0</v>
          </cell>
          <cell r="K544">
            <v>0</v>
          </cell>
          <cell r="L544">
            <v>0</v>
          </cell>
          <cell r="M544">
            <v>2.0920765139664805E-2</v>
          </cell>
          <cell r="N544">
            <v>2.0920765139664805E-2</v>
          </cell>
          <cell r="O544">
            <v>0</v>
          </cell>
          <cell r="P544">
            <v>917195.4582847649</v>
          </cell>
          <cell r="Q544">
            <v>10478720.646617861</v>
          </cell>
          <cell r="R544">
            <v>-58</v>
          </cell>
          <cell r="U544" t="str">
            <v>PENDIENTE</v>
          </cell>
        </row>
        <row r="545">
          <cell r="A545" t="str">
            <v>202412</v>
          </cell>
          <cell r="B545" t="str">
            <v>SERFINANZAS</v>
          </cell>
          <cell r="C545" t="str">
            <v>LAMAR OPTICAL S.A.S</v>
          </cell>
          <cell r="D545" t="str">
            <v>111000206819</v>
          </cell>
          <cell r="E545">
            <v>45656</v>
          </cell>
          <cell r="F545">
            <v>23</v>
          </cell>
          <cell r="G545">
            <v>13</v>
          </cell>
          <cell r="H545">
            <v>700009.41730931227</v>
          </cell>
          <cell r="I545">
            <v>219222.85361204881</v>
          </cell>
          <cell r="J545">
            <v>0</v>
          </cell>
          <cell r="K545">
            <v>0</v>
          </cell>
          <cell r="L545">
            <v>0</v>
          </cell>
          <cell r="M545">
            <v>2.0920765139664805E-2</v>
          </cell>
          <cell r="N545">
            <v>2.0920765139664805E-2</v>
          </cell>
          <cell r="O545">
            <v>0</v>
          </cell>
          <cell r="P545">
            <v>919232.27092136105</v>
          </cell>
          <cell r="Q545">
            <v>9778711.2293085493</v>
          </cell>
          <cell r="R545">
            <v>-89</v>
          </cell>
          <cell r="U545" t="str">
            <v>PENDIENTE</v>
          </cell>
        </row>
        <row r="546">
          <cell r="A546" t="str">
            <v>20251</v>
          </cell>
          <cell r="B546" t="str">
            <v>SERFINANZAS</v>
          </cell>
          <cell r="C546" t="str">
            <v>LAMAR OPTICAL S.A.S</v>
          </cell>
          <cell r="D546" t="str">
            <v>111000206819</v>
          </cell>
          <cell r="E546">
            <v>45687</v>
          </cell>
          <cell r="F546">
            <v>24</v>
          </cell>
          <cell r="G546">
            <v>12</v>
          </cell>
          <cell r="H546">
            <v>716739.64238300489</v>
          </cell>
          <cell r="I546">
            <v>204578.12099696707</v>
          </cell>
          <cell r="J546">
            <v>0</v>
          </cell>
          <cell r="K546">
            <v>0</v>
          </cell>
          <cell r="L546">
            <v>0</v>
          </cell>
          <cell r="M546">
            <v>2.0920765139664805E-2</v>
          </cell>
          <cell r="N546">
            <v>2.0920765139664805E-2</v>
          </cell>
          <cell r="O546">
            <v>0</v>
          </cell>
          <cell r="P546">
            <v>921317.76337997196</v>
          </cell>
          <cell r="Q546">
            <v>9061971.5869255438</v>
          </cell>
          <cell r="R546">
            <v>-119</v>
          </cell>
          <cell r="U546" t="str">
            <v>PENDIENTE</v>
          </cell>
        </row>
        <row r="547">
          <cell r="A547" t="str">
            <v>20252</v>
          </cell>
          <cell r="B547" t="str">
            <v>SERFINANZAS</v>
          </cell>
          <cell r="C547" t="str">
            <v>LAMAR OPTICAL S.A.S</v>
          </cell>
          <cell r="D547" t="str">
            <v>111000206819</v>
          </cell>
          <cell r="E547">
            <v>45716</v>
          </cell>
          <cell r="F547">
            <v>25</v>
          </cell>
          <cell r="G547">
            <v>11</v>
          </cell>
          <cell r="H547">
            <v>733869.71983595868</v>
          </cell>
          <cell r="I547">
            <v>189583.37927238486</v>
          </cell>
          <cell r="J547">
            <v>0</v>
          </cell>
          <cell r="K547">
            <v>0</v>
          </cell>
          <cell r="L547">
            <v>0</v>
          </cell>
          <cell r="M547">
            <v>2.0920765139664805E-2</v>
          </cell>
          <cell r="N547">
            <v>2.0920765139664805E-2</v>
          </cell>
          <cell r="O547">
            <v>0</v>
          </cell>
          <cell r="P547">
            <v>923453.09910834348</v>
          </cell>
          <cell r="Q547">
            <v>8328101.8670895854</v>
          </cell>
          <cell r="R547">
            <v>-150</v>
          </cell>
          <cell r="U547" t="str">
            <v>PENDIENTE</v>
          </cell>
        </row>
        <row r="548">
          <cell r="A548" t="str">
            <v>20253</v>
          </cell>
          <cell r="B548" t="str">
            <v>SERFINANZAS</v>
          </cell>
          <cell r="C548" t="str">
            <v>LAMAR OPTICAL S.A.S</v>
          </cell>
          <cell r="D548" t="str">
            <v>111000206819</v>
          </cell>
          <cell r="E548">
            <v>45746</v>
          </cell>
          <cell r="F548">
            <v>26</v>
          </cell>
          <cell r="G548">
            <v>10</v>
          </cell>
          <cell r="H548">
            <v>751409.20614003809</v>
          </cell>
          <cell r="I548">
            <v>174230.26322058518</v>
          </cell>
          <cell r="J548">
            <v>0</v>
          </cell>
          <cell r="K548">
            <v>0</v>
          </cell>
          <cell r="L548">
            <v>0</v>
          </cell>
          <cell r="M548">
            <v>2.0920765139664805E-2</v>
          </cell>
          <cell r="N548">
            <v>2.0920765139664805E-2</v>
          </cell>
          <cell r="O548">
            <v>0</v>
          </cell>
          <cell r="P548">
            <v>925639.46936062328</v>
          </cell>
          <cell r="Q548">
            <v>7576692.6609495468</v>
          </cell>
          <cell r="R548">
            <v>-179</v>
          </cell>
          <cell r="U548" t="str">
            <v>PENDIENTE</v>
          </cell>
        </row>
        <row r="549">
          <cell r="A549" t="str">
            <v>20254</v>
          </cell>
          <cell r="B549" t="str">
            <v>SERFINANZAS</v>
          </cell>
          <cell r="C549" t="str">
            <v>LAMAR OPTICAL S.A.S</v>
          </cell>
          <cell r="D549" t="str">
            <v>111000206819</v>
          </cell>
          <cell r="E549">
            <v>45777</v>
          </cell>
          <cell r="F549">
            <v>27</v>
          </cell>
          <cell r="G549">
            <v>9</v>
          </cell>
          <cell r="H549">
            <v>769367.88616678503</v>
          </cell>
          <cell r="I549">
            <v>158510.20769514746</v>
          </cell>
          <cell r="J549">
            <v>0</v>
          </cell>
          <cell r="K549">
            <v>0</v>
          </cell>
          <cell r="L549">
            <v>0</v>
          </cell>
          <cell r="M549">
            <v>2.0920765139664805E-2</v>
          </cell>
          <cell r="N549">
            <v>2.0920765139664805E-2</v>
          </cell>
          <cell r="O549">
            <v>0</v>
          </cell>
          <cell r="P549">
            <v>927878.09386193252</v>
          </cell>
          <cell r="Q549">
            <v>6807324.7747827619</v>
          </cell>
          <cell r="R549">
            <v>-209</v>
          </cell>
          <cell r="U549" t="str">
            <v>PENDIENTE</v>
          </cell>
        </row>
        <row r="550">
          <cell r="A550" t="str">
            <v>20255</v>
          </cell>
          <cell r="B550" t="str">
            <v>SERFINANZAS</v>
          </cell>
          <cell r="C550" t="str">
            <v>LAMAR OPTICAL S.A.S</v>
          </cell>
          <cell r="D550" t="str">
            <v>111000206819</v>
          </cell>
          <cell r="E550">
            <v>45807</v>
          </cell>
          <cell r="F550">
            <v>28</v>
          </cell>
          <cell r="G550">
            <v>8</v>
          </cell>
          <cell r="H550">
            <v>787755.77864617121</v>
          </cell>
          <cell r="I550">
            <v>142414.44284265177</v>
          </cell>
          <cell r="J550">
            <v>0</v>
          </cell>
          <cell r="K550">
            <v>0</v>
          </cell>
          <cell r="L550">
            <v>0</v>
          </cell>
          <cell r="M550">
            <v>2.0920765139664805E-2</v>
          </cell>
          <cell r="N550">
            <v>2.0920765139664805E-2</v>
          </cell>
          <cell r="O550">
            <v>0</v>
          </cell>
          <cell r="P550">
            <v>930170.22148882295</v>
          </cell>
          <cell r="Q550">
            <v>6019568.9961365908</v>
          </cell>
          <cell r="R550">
            <v>-240</v>
          </cell>
          <cell r="U550" t="str">
            <v>PENDIENTE</v>
          </cell>
        </row>
        <row r="551">
          <cell r="A551" t="str">
            <v>20256</v>
          </cell>
          <cell r="B551" t="str">
            <v>SERFINANZAS</v>
          </cell>
          <cell r="C551" t="str">
            <v>LAMAR OPTICAL S.A.S</v>
          </cell>
          <cell r="D551" t="str">
            <v>111000206819</v>
          </cell>
          <cell r="E551">
            <v>45838</v>
          </cell>
          <cell r="F551">
            <v>29</v>
          </cell>
          <cell r="G551">
            <v>7</v>
          </cell>
          <cell r="H551">
            <v>806583.14175581478</v>
          </cell>
          <cell r="I551">
            <v>125933.98921018145</v>
          </cell>
          <cell r="J551">
            <v>0</v>
          </cell>
          <cell r="K551">
            <v>0</v>
          </cell>
          <cell r="L551">
            <v>0</v>
          </cell>
          <cell r="M551">
            <v>2.0920765139664805E-2</v>
          </cell>
          <cell r="N551">
            <v>2.0920765139664805E-2</v>
          </cell>
          <cell r="O551">
            <v>0</v>
          </cell>
          <cell r="P551">
            <v>932517.13096599618</v>
          </cell>
          <cell r="Q551">
            <v>5212985.8543807762</v>
          </cell>
          <cell r="R551">
            <v>-270</v>
          </cell>
          <cell r="U551" t="str">
            <v>PENDIENTE</v>
          </cell>
        </row>
        <row r="552">
          <cell r="A552" t="str">
            <v>20257</v>
          </cell>
          <cell r="B552" t="str">
            <v>SERFINANZAS</v>
          </cell>
          <cell r="C552" t="str">
            <v>LAMAR OPTICAL S.A.S</v>
          </cell>
          <cell r="D552" t="str">
            <v>111000206819</v>
          </cell>
          <cell r="E552">
            <v>45868</v>
          </cell>
          <cell r="F552">
            <v>30</v>
          </cell>
          <cell r="G552">
            <v>6</v>
          </cell>
          <cell r="H552">
            <v>825860.47884377884</v>
          </cell>
          <cell r="I552">
            <v>109059.65273589508</v>
          </cell>
          <cell r="J552">
            <v>0</v>
          </cell>
          <cell r="K552">
            <v>0</v>
          </cell>
          <cell r="L552">
            <v>0</v>
          </cell>
          <cell r="M552">
            <v>2.0920765139664805E-2</v>
          </cell>
          <cell r="N552">
            <v>2.0920765139664805E-2</v>
          </cell>
          <cell r="O552">
            <v>0</v>
          </cell>
          <cell r="P552">
            <v>934920.13157967397</v>
          </cell>
          <cell r="Q552">
            <v>4387125.3755369969</v>
          </cell>
          <cell r="R552">
            <v>-301</v>
          </cell>
          <cell r="U552" t="str">
            <v>PENDIENTE</v>
          </cell>
        </row>
        <row r="553">
          <cell r="A553" t="str">
            <v>20258</v>
          </cell>
          <cell r="B553" t="str">
            <v>SERFINANZAS</v>
          </cell>
          <cell r="C553" t="str">
            <v>LAMAR OPTICAL S.A.S</v>
          </cell>
          <cell r="D553" t="str">
            <v>111000206819</v>
          </cell>
          <cell r="E553">
            <v>45899</v>
          </cell>
          <cell r="F553">
            <v>31</v>
          </cell>
          <cell r="G553">
            <v>5</v>
          </cell>
          <cell r="H553">
            <v>845598.54428814515</v>
          </cell>
          <cell r="I553">
            <v>91782.019619873274</v>
          </cell>
          <cell r="J553">
            <v>0</v>
          </cell>
          <cell r="K553">
            <v>0</v>
          </cell>
          <cell r="L553">
            <v>0</v>
          </cell>
          <cell r="M553">
            <v>2.0920765139664805E-2</v>
          </cell>
          <cell r="N553">
            <v>2.0920765139664805E-2</v>
          </cell>
          <cell r="O553">
            <v>0</v>
          </cell>
          <cell r="P553">
            <v>937380.5639080184</v>
          </cell>
          <cell r="Q553">
            <v>3541526.8312488515</v>
          </cell>
          <cell r="R553">
            <v>-331</v>
          </cell>
          <cell r="U553" t="str">
            <v>PENDIENTE</v>
          </cell>
        </row>
        <row r="554">
          <cell r="A554" t="str">
            <v>20259</v>
          </cell>
          <cell r="B554" t="str">
            <v>SERFINANZAS</v>
          </cell>
          <cell r="C554" t="str">
            <v>LAMAR OPTICAL S.A.S</v>
          </cell>
          <cell r="D554" t="str">
            <v>111000206819</v>
          </cell>
          <cell r="E554">
            <v>45930</v>
          </cell>
          <cell r="F554">
            <v>32</v>
          </cell>
          <cell r="G554">
            <v>4</v>
          </cell>
          <cell r="H554">
            <v>865808.34949663188</v>
          </cell>
          <cell r="I554">
            <v>74091.451072378535</v>
          </cell>
          <cell r="J554">
            <v>0</v>
          </cell>
          <cell r="K554">
            <v>0</v>
          </cell>
          <cell r="L554">
            <v>0</v>
          </cell>
          <cell r="M554">
            <v>2.0920765139664805E-2</v>
          </cell>
          <cell r="N554">
            <v>2.0920765139664805E-2</v>
          </cell>
          <cell r="O554">
            <v>0</v>
          </cell>
          <cell r="P554">
            <v>939899.80056901043</v>
          </cell>
          <cell r="Q554">
            <v>2675718.4817522196</v>
          </cell>
          <cell r="R554">
            <v>-362</v>
          </cell>
          <cell r="U554" t="str">
            <v>PENDIENTE</v>
          </cell>
        </row>
        <row r="555">
          <cell r="A555" t="str">
            <v>202510</v>
          </cell>
          <cell r="B555" t="str">
            <v>SERFINANZAS</v>
          </cell>
          <cell r="C555" t="str">
            <v>LAMAR OPTICAL S.A.S</v>
          </cell>
          <cell r="D555" t="str">
            <v>111000206819</v>
          </cell>
          <cell r="E555">
            <v>45960</v>
          </cell>
          <cell r="F555">
            <v>33</v>
          </cell>
          <cell r="G555">
            <v>3</v>
          </cell>
          <cell r="H555">
            <v>886501.16904960142</v>
          </cell>
          <cell r="I555">
            <v>55978.077936598675</v>
          </cell>
          <cell r="J555">
            <v>0</v>
          </cell>
          <cell r="K555">
            <v>0</v>
          </cell>
          <cell r="L555">
            <v>0</v>
          </cell>
          <cell r="M555">
            <v>2.0920765139664805E-2</v>
          </cell>
          <cell r="N555">
            <v>2.0920765139664805E-2</v>
          </cell>
          <cell r="O555">
            <v>0</v>
          </cell>
          <cell r="P555">
            <v>942479.2469862001</v>
          </cell>
          <cell r="Q555">
            <v>1789217.3127026181</v>
          </cell>
          <cell r="R555">
            <v>-393</v>
          </cell>
          <cell r="U555" t="str">
            <v>PENDIENTE</v>
          </cell>
        </row>
        <row r="556">
          <cell r="A556" t="str">
            <v>202511</v>
          </cell>
          <cell r="B556" t="str">
            <v>SERFINANZAS</v>
          </cell>
          <cell r="C556" t="str">
            <v>LAMAR OPTICAL S.A.S</v>
          </cell>
          <cell r="D556" t="str">
            <v>111000206819</v>
          </cell>
          <cell r="E556">
            <v>45991</v>
          </cell>
          <cell r="F556">
            <v>34</v>
          </cell>
          <cell r="G556">
            <v>2</v>
          </cell>
          <cell r="H556">
            <v>907688.54698988691</v>
          </cell>
          <cell r="I556">
            <v>37431.795182873677</v>
          </cell>
          <cell r="J556">
            <v>0</v>
          </cell>
          <cell r="K556">
            <v>0</v>
          </cell>
          <cell r="L556">
            <v>0</v>
          </cell>
          <cell r="M556">
            <v>2.0920765139664805E-2</v>
          </cell>
          <cell r="N556">
            <v>2.0920765139664805E-2</v>
          </cell>
          <cell r="O556">
            <v>0</v>
          </cell>
          <cell r="P556">
            <v>945120.34217276063</v>
          </cell>
          <cell r="Q556">
            <v>881528.76571273117</v>
          </cell>
          <cell r="R556">
            <v>-423</v>
          </cell>
          <cell r="U556" t="str">
            <v>PENDIENTE</v>
          </cell>
        </row>
        <row r="557">
          <cell r="A557" t="str">
            <v>202512</v>
          </cell>
          <cell r="B557" t="str">
            <v>SERFINANZAS</v>
          </cell>
          <cell r="C557" t="str">
            <v>LAMAR OPTICAL S.A.S</v>
          </cell>
          <cell r="D557" t="str">
            <v>111000206819</v>
          </cell>
          <cell r="E557">
            <v>46021</v>
          </cell>
          <cell r="F557">
            <v>35</v>
          </cell>
          <cell r="G557">
            <v>1</v>
          </cell>
          <cell r="H557">
            <v>929382.30326294526</v>
          </cell>
          <cell r="I557">
            <v>18442.256271334649</v>
          </cell>
          <cell r="J557">
            <v>0</v>
          </cell>
          <cell r="K557">
            <v>0</v>
          </cell>
          <cell r="L557">
            <v>0</v>
          </cell>
          <cell r="M557">
            <v>2.0920765139664805E-2</v>
          </cell>
          <cell r="N557">
            <v>2.0920765139664805E-2</v>
          </cell>
          <cell r="O557">
            <v>0</v>
          </cell>
          <cell r="P557">
            <v>947824.55953427986</v>
          </cell>
          <cell r="Q557">
            <v>-47853.537550214096</v>
          </cell>
          <cell r="R557">
            <v>-454</v>
          </cell>
          <cell r="U557" t="str">
            <v>PENDIENTE</v>
          </cell>
        </row>
        <row r="558">
          <cell r="A558" t="str">
            <v>20261</v>
          </cell>
          <cell r="B558" t="str">
            <v>SERFINANZAS</v>
          </cell>
          <cell r="C558" t="str">
            <v>LAMAR OPTICAL S.A.S</v>
          </cell>
          <cell r="D558" t="str">
            <v>111000206819</v>
          </cell>
          <cell r="E558">
            <v>46052</v>
          </cell>
          <cell r="F558">
            <v>36</v>
          </cell>
          <cell r="G558">
            <v>0</v>
          </cell>
          <cell r="H558">
            <v>951594.54031092965</v>
          </cell>
          <cell r="I558">
            <v>-1001.1326201901597</v>
          </cell>
          <cell r="J558">
            <v>0</v>
          </cell>
          <cell r="K558">
            <v>0</v>
          </cell>
          <cell r="L558">
            <v>0</v>
          </cell>
          <cell r="M558">
            <v>2.0920765139664805E-2</v>
          </cell>
          <cell r="N558">
            <v>2.0920765139664805E-2</v>
          </cell>
          <cell r="O558">
            <v>0</v>
          </cell>
          <cell r="P558">
            <v>950593.40769073949</v>
          </cell>
          <cell r="Q558">
            <v>-999448.07786114374</v>
          </cell>
          <cell r="R558">
            <v>-484</v>
          </cell>
          <cell r="U558" t="str">
            <v>PENDIENTE</v>
          </cell>
        </row>
        <row r="559">
          <cell r="A559" t="str">
            <v>20231</v>
          </cell>
          <cell r="B559" t="str">
            <v>SERFINANZAS</v>
          </cell>
          <cell r="C559" t="str">
            <v>INVERSIONES RUEDA S.A.S</v>
          </cell>
          <cell r="D559" t="str">
            <v>111000206579</v>
          </cell>
          <cell r="E559">
            <v>44957</v>
          </cell>
          <cell r="F559">
            <v>0</v>
          </cell>
          <cell r="G559">
            <v>36</v>
          </cell>
          <cell r="H559">
            <v>0</v>
          </cell>
          <cell r="I559">
            <v>0</v>
          </cell>
          <cell r="J559">
            <v>0</v>
          </cell>
          <cell r="K559">
            <v>0</v>
          </cell>
          <cell r="L559">
            <v>0</v>
          </cell>
          <cell r="M559">
            <v>1.0341666666666667E-2</v>
          </cell>
          <cell r="N559">
            <v>0</v>
          </cell>
          <cell r="O559">
            <v>-1</v>
          </cell>
          <cell r="P559">
            <v>0</v>
          </cell>
          <cell r="Q559">
            <v>9676000</v>
          </cell>
          <cell r="R559" t="str">
            <v>OK</v>
          </cell>
          <cell r="S559">
            <v>0</v>
          </cell>
          <cell r="T559">
            <v>44957</v>
          </cell>
          <cell r="U559" t="str">
            <v>PAGADO</v>
          </cell>
        </row>
        <row r="560">
          <cell r="A560" t="str">
            <v>20232</v>
          </cell>
          <cell r="B560" t="str">
            <v>SERFINANZAS</v>
          </cell>
          <cell r="C560" t="str">
            <v>INVERSIONES RUEDA S.A.S</v>
          </cell>
          <cell r="D560" t="str">
            <v>111000206579</v>
          </cell>
          <cell r="E560">
            <v>44985</v>
          </cell>
          <cell r="F560">
            <v>1</v>
          </cell>
          <cell r="G560">
            <v>35</v>
          </cell>
          <cell r="H560">
            <v>182823.88</v>
          </cell>
          <cell r="I560">
            <v>202429.32</v>
          </cell>
          <cell r="J560">
            <v>0</v>
          </cell>
          <cell r="K560">
            <v>0</v>
          </cell>
          <cell r="L560">
            <v>0</v>
          </cell>
          <cell r="M560">
            <v>1.0341666666666667E-2</v>
          </cell>
          <cell r="N560">
            <v>2.0920764778834231E-2</v>
          </cell>
          <cell r="O560">
            <v>1.022958721563342</v>
          </cell>
          <cell r="P560">
            <v>385253.2</v>
          </cell>
          <cell r="Q560">
            <v>9493176.1199999992</v>
          </cell>
          <cell r="R560" t="str">
            <v>OK</v>
          </cell>
          <cell r="S560">
            <v>389673.47</v>
          </cell>
          <cell r="T560">
            <v>45009</v>
          </cell>
          <cell r="U560" t="str">
            <v>PAGADO</v>
          </cell>
        </row>
        <row r="561">
          <cell r="A561" t="str">
            <v>20233</v>
          </cell>
          <cell r="B561" t="str">
            <v>SERFINANZAS</v>
          </cell>
          <cell r="C561" t="str">
            <v>INVERSIONES RUEDA S.A.S</v>
          </cell>
          <cell r="D561" t="str">
            <v>111000206579</v>
          </cell>
          <cell r="E561">
            <v>45015</v>
          </cell>
          <cell r="F561">
            <v>2</v>
          </cell>
          <cell r="G561">
            <v>34</v>
          </cell>
          <cell r="H561">
            <v>188509.76</v>
          </cell>
          <cell r="I561">
            <v>198982.41</v>
          </cell>
          <cell r="J561">
            <v>0</v>
          </cell>
          <cell r="K561">
            <v>0</v>
          </cell>
          <cell r="L561">
            <v>0</v>
          </cell>
          <cell r="M561">
            <v>1.0341666666666667E-2</v>
          </cell>
          <cell r="N561">
            <v>2.0960572887801857E-2</v>
          </cell>
          <cell r="O561">
            <v>1.0268080149365209</v>
          </cell>
          <cell r="P561">
            <v>387492.17000000004</v>
          </cell>
          <cell r="Q561">
            <v>9304666.3599999994</v>
          </cell>
          <cell r="R561" t="str">
            <v>OK</v>
          </cell>
          <cell r="S561">
            <v>389051.93</v>
          </cell>
          <cell r="T561">
            <v>45033</v>
          </cell>
          <cell r="U561" t="str">
            <v>PAGADO</v>
          </cell>
        </row>
        <row r="562">
          <cell r="A562" t="str">
            <v>20234</v>
          </cell>
          <cell r="B562" t="str">
            <v>SERFINANZAS</v>
          </cell>
          <cell r="C562" t="str">
            <v>INVERSIONES RUEDA S.A.S</v>
          </cell>
          <cell r="D562" t="str">
            <v>111000206579</v>
          </cell>
          <cell r="E562">
            <v>45046</v>
          </cell>
          <cell r="F562">
            <v>3</v>
          </cell>
          <cell r="G562">
            <v>33</v>
          </cell>
          <cell r="H562">
            <v>193423.46</v>
          </cell>
          <cell r="I562">
            <v>187010.3</v>
          </cell>
          <cell r="J562">
            <v>0</v>
          </cell>
          <cell r="K562">
            <v>0</v>
          </cell>
          <cell r="L562">
            <v>0</v>
          </cell>
          <cell r="M562">
            <v>1.0341666666666667E-2</v>
          </cell>
          <cell r="N562">
            <v>2.009854977755484E-2</v>
          </cell>
          <cell r="O562">
            <v>0.9434536448884614</v>
          </cell>
          <cell r="P562">
            <v>380433.76</v>
          </cell>
          <cell r="Q562">
            <v>9111242.8999999985</v>
          </cell>
          <cell r="R562" t="str">
            <v>OK</v>
          </cell>
          <cell r="S562">
            <v>384043.42</v>
          </cell>
          <cell r="T562">
            <v>45054</v>
          </cell>
          <cell r="U562" t="str">
            <v>PAGADO</v>
          </cell>
        </row>
        <row r="563">
          <cell r="A563" t="str">
            <v>20235</v>
          </cell>
          <cell r="B563" t="str">
            <v>SERFINANZAS</v>
          </cell>
          <cell r="C563" t="str">
            <v>INVERSIONES RUEDA S.A.S</v>
          </cell>
          <cell r="D563" t="str">
            <v>111000206579</v>
          </cell>
          <cell r="E563">
            <v>45076</v>
          </cell>
          <cell r="F563">
            <v>4</v>
          </cell>
          <cell r="G563">
            <v>32</v>
          </cell>
          <cell r="H563">
            <v>198839</v>
          </cell>
          <cell r="I563">
            <v>179086.88</v>
          </cell>
          <cell r="J563">
            <v>0</v>
          </cell>
          <cell r="K563">
            <v>0</v>
          </cell>
          <cell r="L563">
            <v>0</v>
          </cell>
          <cell r="M563">
            <v>1.0341666666666667E-2</v>
          </cell>
          <cell r="N563">
            <v>1.9655592762212501E-2</v>
          </cell>
          <cell r="O563">
            <v>0.90062137910193396</v>
          </cell>
          <cell r="P563">
            <v>377925.88</v>
          </cell>
          <cell r="Q563">
            <v>8912403.8999999985</v>
          </cell>
          <cell r="R563" t="str">
            <v>OK</v>
          </cell>
          <cell r="S563">
            <v>377919.77</v>
          </cell>
          <cell r="T563">
            <v>45072</v>
          </cell>
          <cell r="U563" t="str">
            <v>PAGADO</v>
          </cell>
        </row>
        <row r="564">
          <cell r="A564" t="str">
            <v>20236</v>
          </cell>
          <cell r="B564" t="str">
            <v>SERFINANZAS</v>
          </cell>
          <cell r="C564" t="str">
            <v>INVERSIONES RUEDA S.A.S</v>
          </cell>
          <cell r="D564" t="str">
            <v>111000206579</v>
          </cell>
          <cell r="E564">
            <v>45107</v>
          </cell>
          <cell r="F564">
            <v>5</v>
          </cell>
          <cell r="G564">
            <v>31</v>
          </cell>
          <cell r="H564">
            <v>205265.44</v>
          </cell>
          <cell r="I564">
            <v>175068.31</v>
          </cell>
          <cell r="J564">
            <v>0</v>
          </cell>
          <cell r="K564">
            <v>0</v>
          </cell>
          <cell r="L564">
            <v>6.1099999999860302</v>
          </cell>
          <cell r="M564">
            <v>1.0341666666666667E-2</v>
          </cell>
          <cell r="N564">
            <v>1.9643219939796494E-2</v>
          </cell>
          <cell r="O564">
            <v>0.89942497403350452</v>
          </cell>
          <cell r="P564">
            <v>380339.86</v>
          </cell>
          <cell r="Q564">
            <v>8707138.459999999</v>
          </cell>
          <cell r="R564" t="str">
            <v>OK</v>
          </cell>
          <cell r="S564">
            <v>500000</v>
          </cell>
          <cell r="T564">
            <v>45136</v>
          </cell>
          <cell r="U564" t="str">
            <v>PAGADO</v>
          </cell>
        </row>
        <row r="565">
          <cell r="A565" t="str">
            <v>20237</v>
          </cell>
          <cell r="B565" t="str">
            <v>SERFINANZAS</v>
          </cell>
          <cell r="C565" t="str">
            <v>INVERSIONES RUEDA S.A.S</v>
          </cell>
          <cell r="D565" t="str">
            <v>111000206579</v>
          </cell>
          <cell r="E565">
            <v>45137</v>
          </cell>
          <cell r="F565">
            <v>6</v>
          </cell>
          <cell r="G565">
            <v>30</v>
          </cell>
          <cell r="H565">
            <v>179562.51538955871</v>
          </cell>
          <cell r="I565">
            <v>182765.58172646968</v>
          </cell>
          <cell r="J565">
            <v>0</v>
          </cell>
          <cell r="K565">
            <v>0</v>
          </cell>
          <cell r="L565">
            <v>0</v>
          </cell>
          <cell r="M565">
            <v>1.0341666666666667E-2</v>
          </cell>
          <cell r="N565">
            <v>2.0990315310372324E-2</v>
          </cell>
          <cell r="O565">
            <v>1.0296839945565499</v>
          </cell>
          <cell r="P565">
            <v>362328.09711602842</v>
          </cell>
          <cell r="Q565">
            <v>8527575.9446104411</v>
          </cell>
          <cell r="R565" t="str">
            <v>OK</v>
          </cell>
          <cell r="S565">
            <v>269417.08</v>
          </cell>
          <cell r="T565">
            <v>45155</v>
          </cell>
          <cell r="U565" t="str">
            <v>PAGADO</v>
          </cell>
        </row>
        <row r="566">
          <cell r="A566" t="str">
            <v>20238</v>
          </cell>
          <cell r="B566" t="str">
            <v>SERFINANZAS</v>
          </cell>
          <cell r="C566" t="str">
            <v>INVERSIONES RUEDA S.A.S</v>
          </cell>
          <cell r="D566" t="str">
            <v>111000206579</v>
          </cell>
          <cell r="E566">
            <v>45168</v>
          </cell>
          <cell r="F566">
            <v>7</v>
          </cell>
          <cell r="G566">
            <v>29</v>
          </cell>
          <cell r="H566">
            <v>184658.49957631441</v>
          </cell>
          <cell r="I566">
            <v>179009.73244623808</v>
          </cell>
          <cell r="J566">
            <v>0</v>
          </cell>
          <cell r="K566">
            <v>0</v>
          </cell>
          <cell r="L566">
            <v>0</v>
          </cell>
          <cell r="M566">
            <v>1.0341666666666667E-2</v>
          </cell>
          <cell r="N566">
            <v>2.0991866106965015E-2</v>
          </cell>
          <cell r="O566">
            <v>1.0298339507137806</v>
          </cell>
          <cell r="P566">
            <v>363668.23202255252</v>
          </cell>
          <cell r="Q566">
            <v>8342917.4450341268</v>
          </cell>
          <cell r="R566" t="str">
            <v>OK</v>
          </cell>
          <cell r="S566">
            <v>386537.21</v>
          </cell>
          <cell r="T566">
            <v>45190</v>
          </cell>
          <cell r="U566" t="str">
            <v>PAGADO</v>
          </cell>
        </row>
        <row r="567">
          <cell r="A567" t="str">
            <v>20239</v>
          </cell>
          <cell r="B567" t="str">
            <v>SERFINANZAS</v>
          </cell>
          <cell r="C567" t="str">
            <v>INVERSIONES RUEDA S.A.S</v>
          </cell>
          <cell r="D567" t="str">
            <v>111000206579</v>
          </cell>
          <cell r="E567">
            <v>45199</v>
          </cell>
          <cell r="F567">
            <v>8</v>
          </cell>
          <cell r="G567">
            <v>28</v>
          </cell>
          <cell r="H567">
            <v>212273.17</v>
          </cell>
          <cell r="I567">
            <v>170250.69</v>
          </cell>
          <cell r="J567">
            <v>0</v>
          </cell>
          <cell r="K567">
            <v>0</v>
          </cell>
          <cell r="L567">
            <v>0</v>
          </cell>
          <cell r="M567">
            <v>1.0341666666666667E-2</v>
          </cell>
          <cell r="N567">
            <v>2.0406613288656793E-2</v>
          </cell>
          <cell r="O567">
            <v>0.97324221969284053</v>
          </cell>
          <cell r="P567">
            <v>382523.86</v>
          </cell>
          <cell r="Q567">
            <v>8130644.2750341268</v>
          </cell>
          <cell r="R567" t="str">
            <v>OK</v>
          </cell>
          <cell r="S567">
            <v>388449.07</v>
          </cell>
          <cell r="T567">
            <v>45229</v>
          </cell>
          <cell r="U567" t="str">
            <v>PAGADO</v>
          </cell>
        </row>
        <row r="568">
          <cell r="A568" t="str">
            <v>202310</v>
          </cell>
          <cell r="B568" t="str">
            <v>SERFINANZAS</v>
          </cell>
          <cell r="C568" t="str">
            <v>INVERSIONES RUEDA S.A.S</v>
          </cell>
          <cell r="D568" t="str">
            <v>111000206579</v>
          </cell>
          <cell r="E568">
            <v>45229</v>
          </cell>
          <cell r="F568">
            <v>9</v>
          </cell>
          <cell r="G568">
            <v>27</v>
          </cell>
          <cell r="H568">
            <v>195288.44447349221</v>
          </cell>
          <cell r="I568">
            <v>171175.23582540292</v>
          </cell>
          <cell r="J568">
            <v>0</v>
          </cell>
          <cell r="K568">
            <v>0</v>
          </cell>
          <cell r="L568">
            <v>0</v>
          </cell>
          <cell r="M568">
            <v>1.0341666666666667E-2</v>
          </cell>
          <cell r="N568">
            <v>2.105309616742327E-2</v>
          </cell>
          <cell r="O568">
            <v>1.0357546656654248</v>
          </cell>
          <cell r="P568">
            <v>366463.68029889511</v>
          </cell>
          <cell r="Q568">
            <v>7935355.8305606348</v>
          </cell>
          <cell r="R568" t="str">
            <v>OK</v>
          </cell>
          <cell r="S568">
            <v>386367.44</v>
          </cell>
          <cell r="T568">
            <v>45259</v>
          </cell>
          <cell r="U568" t="str">
            <v>PAGADO</v>
          </cell>
        </row>
        <row r="569">
          <cell r="A569" t="str">
            <v>202311</v>
          </cell>
          <cell r="B569" t="str">
            <v>SERFINANZAS</v>
          </cell>
          <cell r="C569" t="str">
            <v>INVERSIONES RUEDA S.A.S</v>
          </cell>
          <cell r="D569" t="str">
            <v>111000206579</v>
          </cell>
          <cell r="E569">
            <v>45260</v>
          </cell>
          <cell r="F569">
            <v>10</v>
          </cell>
          <cell r="G569">
            <v>26</v>
          </cell>
          <cell r="H569">
            <v>200830.73052764992</v>
          </cell>
          <cell r="I569">
            <v>167090.45252849907</v>
          </cell>
          <cell r="J569">
            <v>0</v>
          </cell>
          <cell r="K569">
            <v>0</v>
          </cell>
          <cell r="L569">
            <v>0</v>
          </cell>
          <cell r="M569">
            <v>1.0341666666666667E-2</v>
          </cell>
          <cell r="N569">
            <v>2.10564536860465E-2</v>
          </cell>
          <cell r="O569">
            <v>1.0360793250004674</v>
          </cell>
          <cell r="P569">
            <v>367921.18305614899</v>
          </cell>
          <cell r="Q569">
            <v>7734525.1000329852</v>
          </cell>
          <cell r="R569" t="str">
            <v>OK</v>
          </cell>
          <cell r="S569">
            <v>387304.62</v>
          </cell>
          <cell r="T569">
            <v>45289</v>
          </cell>
          <cell r="U569" t="str">
            <v>PAGADO</v>
          </cell>
        </row>
        <row r="570">
          <cell r="A570" t="str">
            <v>202312</v>
          </cell>
          <cell r="B570" t="str">
            <v>SERFINANZAS</v>
          </cell>
          <cell r="C570" t="str">
            <v>INVERSIONES RUEDA S.A.S</v>
          </cell>
          <cell r="D570" t="str">
            <v>111000206579</v>
          </cell>
          <cell r="E570">
            <v>45290</v>
          </cell>
          <cell r="F570">
            <v>11</v>
          </cell>
          <cell r="G570">
            <v>25</v>
          </cell>
          <cell r="H570">
            <v>206530.30666002465</v>
          </cell>
          <cell r="I570">
            <v>162889.74308162904</v>
          </cell>
          <cell r="J570">
            <v>0</v>
          </cell>
          <cell r="K570">
            <v>0</v>
          </cell>
          <cell r="L570">
            <v>0</v>
          </cell>
          <cell r="M570">
            <v>1.0341666666666667E-2</v>
          </cell>
          <cell r="N570">
            <v>2.1060083324435055E-2</v>
          </cell>
          <cell r="O570">
            <v>1.036430297286226</v>
          </cell>
          <cell r="P570">
            <v>369420.04974165373</v>
          </cell>
          <cell r="Q570">
            <v>7527994.7933729608</v>
          </cell>
          <cell r="R570" t="str">
            <v>OK</v>
          </cell>
          <cell r="S570">
            <v>385142.46</v>
          </cell>
          <cell r="T570">
            <v>45320</v>
          </cell>
          <cell r="U570" t="str">
            <v>PAGADO</v>
          </cell>
        </row>
        <row r="571">
          <cell r="A571" t="str">
            <v>20241</v>
          </cell>
          <cell r="B571" t="str">
            <v>SERFINANZAS</v>
          </cell>
          <cell r="C571" t="str">
            <v>INVERSIONES RUEDA S.A.S</v>
          </cell>
          <cell r="D571" t="str">
            <v>111000206579</v>
          </cell>
          <cell r="E571">
            <v>45321</v>
          </cell>
          <cell r="F571">
            <v>12</v>
          </cell>
          <cell r="G571">
            <v>24</v>
          </cell>
          <cell r="H571">
            <v>212391.63676303616</v>
          </cell>
          <cell r="I571">
            <v>158569.81750065688</v>
          </cell>
          <cell r="J571">
            <v>0</v>
          </cell>
          <cell r="K571">
            <v>0</v>
          </cell>
          <cell r="L571">
            <v>0</v>
          </cell>
          <cell r="M571">
            <v>1.0341666666666667E-2</v>
          </cell>
          <cell r="N571">
            <v>2.1064017956049723E-2</v>
          </cell>
          <cell r="O571">
            <v>1.0368107612618584</v>
          </cell>
          <cell r="P571">
            <v>370961.45426369307</v>
          </cell>
          <cell r="Q571">
            <v>7315603.1566099245</v>
          </cell>
          <cell r="R571" t="str">
            <v>OK</v>
          </cell>
          <cell r="S571">
            <v>384726.06</v>
          </cell>
          <cell r="T571">
            <v>45346</v>
          </cell>
          <cell r="U571" t="str">
            <v>PAGADO</v>
          </cell>
        </row>
        <row r="572">
          <cell r="A572" t="str">
            <v>20242</v>
          </cell>
          <cell r="B572" t="str">
            <v>SERFINANZAS</v>
          </cell>
          <cell r="C572" t="str">
            <v>INVERSIONES RUEDA S.A.S</v>
          </cell>
          <cell r="D572" t="str">
            <v>111000206579</v>
          </cell>
          <cell r="E572">
            <v>45351</v>
          </cell>
          <cell r="F572">
            <v>13</v>
          </cell>
          <cell r="G572">
            <v>23</v>
          </cell>
          <cell r="H572">
            <v>218419.31141437116</v>
          </cell>
          <cell r="I572">
            <v>154127.2924316967</v>
          </cell>
          <cell r="J572">
            <v>0</v>
          </cell>
          <cell r="K572">
            <v>0</v>
          </cell>
          <cell r="L572">
            <v>0</v>
          </cell>
          <cell r="M572">
            <v>1.0341666666666667E-2</v>
          </cell>
          <cell r="N572">
            <v>2.1068295960318301E-2</v>
          </cell>
          <cell r="O572">
            <v>1.0372244280726801</v>
          </cell>
          <cell r="P572">
            <v>372546.60384606785</v>
          </cell>
          <cell r="Q572">
            <v>7097183.8451955533</v>
          </cell>
          <cell r="R572" t="str">
            <v>OK</v>
          </cell>
          <cell r="S572">
            <v>381056.29</v>
          </cell>
          <cell r="T572">
            <v>45381</v>
          </cell>
          <cell r="U572" t="str">
            <v>PAGADO</v>
          </cell>
        </row>
        <row r="573">
          <cell r="A573" t="str">
            <v>20243</v>
          </cell>
          <cell r="B573" t="str">
            <v>SERFINANZAS</v>
          </cell>
          <cell r="C573" t="str">
            <v>INVERSIONES RUEDA S.A.S</v>
          </cell>
          <cell r="D573" t="str">
            <v>111000206579</v>
          </cell>
          <cell r="E573">
            <v>45381</v>
          </cell>
          <cell r="F573">
            <v>14</v>
          </cell>
          <cell r="G573">
            <v>22</v>
          </cell>
          <cell r="H573">
            <v>224618.05147231102</v>
          </cell>
          <cell r="I573">
            <v>149558.68850127942</v>
          </cell>
          <cell r="J573">
            <v>0</v>
          </cell>
          <cell r="K573">
            <v>0</v>
          </cell>
          <cell r="L573">
            <v>0</v>
          </cell>
          <cell r="M573">
            <v>1.0341666666666667E-2</v>
          </cell>
          <cell r="N573">
            <v>2.1072962426149259E-2</v>
          </cell>
          <cell r="O573">
            <v>1.0376756576453756</v>
          </cell>
          <cell r="P573">
            <v>374176.73997359048</v>
          </cell>
          <cell r="Q573">
            <v>6872565.7937232424</v>
          </cell>
          <cell r="R573" t="str">
            <v>OK</v>
          </cell>
          <cell r="S573">
            <v>769071.76</v>
          </cell>
          <cell r="T573">
            <v>45411</v>
          </cell>
          <cell r="U573" t="str">
            <v>PAGADO</v>
          </cell>
        </row>
        <row r="574">
          <cell r="A574" t="str">
            <v>20244</v>
          </cell>
          <cell r="B574" t="str">
            <v>SERFINANZAS</v>
          </cell>
          <cell r="C574" t="str">
            <v>INVERSIONES RUEDA S.A.S</v>
          </cell>
          <cell r="D574" t="str">
            <v>111000206579</v>
          </cell>
          <cell r="E574">
            <v>45412</v>
          </cell>
          <cell r="F574">
            <v>15</v>
          </cell>
          <cell r="G574">
            <v>21</v>
          </cell>
          <cell r="H574">
            <v>230992.71177309522</v>
          </cell>
          <cell r="I574">
            <v>144860.42759131693</v>
          </cell>
          <cell r="J574">
            <v>0</v>
          </cell>
          <cell r="K574">
            <v>0</v>
          </cell>
          <cell r="L574">
            <v>0</v>
          </cell>
          <cell r="M574">
            <v>1.0341666666666667E-2</v>
          </cell>
          <cell r="N574">
            <v>2.1078070685568245E-2</v>
          </cell>
          <cell r="O574">
            <v>1.0381696069848423</v>
          </cell>
          <cell r="P574">
            <v>375853.13936441217</v>
          </cell>
          <cell r="Q574">
            <v>6641573.0819501467</v>
          </cell>
          <cell r="R574" t="str">
            <v>OK</v>
          </cell>
          <cell r="S574">
            <v>379639.58</v>
          </cell>
          <cell r="T574">
            <v>45439</v>
          </cell>
          <cell r="U574" t="str">
            <v>PAGADO</v>
          </cell>
        </row>
        <row r="575">
          <cell r="A575" t="str">
            <v>20245</v>
          </cell>
          <cell r="B575" t="str">
            <v>SERFINANZAS</v>
          </cell>
          <cell r="C575" t="str">
            <v>INVERSIONES RUEDA S.A.S</v>
          </cell>
          <cell r="D575" t="str">
            <v>111000206579</v>
          </cell>
          <cell r="E575">
            <v>45442</v>
          </cell>
          <cell r="F575">
            <v>16</v>
          </cell>
          <cell r="G575">
            <v>20</v>
          </cell>
          <cell r="H575">
            <v>237548.28493321568</v>
          </cell>
          <cell r="I575">
            <v>140028.83003672969</v>
          </cell>
          <cell r="J575">
            <v>0</v>
          </cell>
          <cell r="K575">
            <v>0</v>
          </cell>
          <cell r="L575">
            <v>0</v>
          </cell>
          <cell r="M575">
            <v>1.0341666666666667E-2</v>
          </cell>
          <cell r="N575">
            <v>2.1083684288182736E-2</v>
          </cell>
          <cell r="O575">
            <v>1.0387124210974443</v>
          </cell>
          <cell r="P575">
            <v>377577.1149699454</v>
          </cell>
          <cell r="Q575">
            <v>6404024.7970169308</v>
          </cell>
          <cell r="R575" t="str">
            <v>OK</v>
          </cell>
          <cell r="S575">
            <v>376229.61</v>
          </cell>
          <cell r="T575">
            <v>45456</v>
          </cell>
          <cell r="U575" t="str">
            <v>PAGADO</v>
          </cell>
        </row>
        <row r="576">
          <cell r="A576" t="str">
            <v>20246</v>
          </cell>
          <cell r="B576" t="str">
            <v>SERFINANZAS</v>
          </cell>
          <cell r="C576" t="str">
            <v>INVERSIONES RUEDA S.A.S</v>
          </cell>
          <cell r="D576" t="str">
            <v>111000206579</v>
          </cell>
          <cell r="E576">
            <v>45473</v>
          </cell>
          <cell r="F576">
            <v>17</v>
          </cell>
          <cell r="G576">
            <v>19</v>
          </cell>
          <cell r="H576">
            <v>244289.90525962034</v>
          </cell>
          <cell r="I576">
            <v>135060.11174354324</v>
          </cell>
          <cell r="J576">
            <v>0</v>
          </cell>
          <cell r="K576">
            <v>0</v>
          </cell>
          <cell r="L576">
            <v>16239.93</v>
          </cell>
          <cell r="M576">
            <v>1.0341666666666667E-2</v>
          </cell>
          <cell r="N576">
            <v>2.1089879571743041E-2</v>
          </cell>
          <cell r="O576">
            <v>1.0393114815545244</v>
          </cell>
          <cell r="P576">
            <v>395589.94700316357</v>
          </cell>
          <cell r="Q576">
            <v>6159734.8917573104</v>
          </cell>
          <cell r="R576" t="str">
            <v>OK</v>
          </cell>
          <cell r="S576">
            <v>389000</v>
          </cell>
          <cell r="T576">
            <v>45504</v>
          </cell>
          <cell r="U576" t="str">
            <v>PAGADO</v>
          </cell>
        </row>
        <row r="577">
          <cell r="A577" t="str">
            <v>20247</v>
          </cell>
          <cell r="B577" t="str">
            <v>SERFINANZAS</v>
          </cell>
          <cell r="C577" t="str">
            <v>INVERSIONES RUEDA S.A.S</v>
          </cell>
          <cell r="D577" t="str">
            <v>111000206579</v>
          </cell>
          <cell r="E577">
            <v>45503</v>
          </cell>
          <cell r="F577">
            <v>18</v>
          </cell>
          <cell r="G577">
            <v>18</v>
          </cell>
          <cell r="H577">
            <v>251222.85277088839</v>
          </cell>
          <cell r="I577">
            <v>129950.38122519619</v>
          </cell>
          <cell r="J577">
            <v>0</v>
          </cell>
          <cell r="K577">
            <v>0</v>
          </cell>
          <cell r="L577">
            <v>6589.9470031635719</v>
          </cell>
          <cell r="M577">
            <v>1.0341666666666667E-2</v>
          </cell>
          <cell r="N577">
            <v>2.10967490498804E-2</v>
          </cell>
          <cell r="O577">
            <v>1.0399757340738498</v>
          </cell>
          <cell r="P577">
            <v>387763.18099924817</v>
          </cell>
          <cell r="Q577">
            <v>5908512.0389864221</v>
          </cell>
          <cell r="R577" t="str">
            <v>OK</v>
          </cell>
          <cell r="S577">
            <v>364457.95</v>
          </cell>
          <cell r="T577">
            <v>45516</v>
          </cell>
          <cell r="U577" t="str">
            <v>PAGADO</v>
          </cell>
        </row>
        <row r="578">
          <cell r="A578" t="str">
            <v>20248</v>
          </cell>
          <cell r="B578" t="str">
            <v>SERFINANZAS</v>
          </cell>
          <cell r="C578" t="str">
            <v>INVERSIONES RUEDA S.A.S</v>
          </cell>
          <cell r="D578" t="str">
            <v>111000206579</v>
          </cell>
          <cell r="E578">
            <v>45534</v>
          </cell>
          <cell r="F578">
            <v>19</v>
          </cell>
          <cell r="G578">
            <v>17</v>
          </cell>
          <cell r="H578">
            <v>258352.55733252622</v>
          </cell>
          <cell r="I578">
            <v>124695.63655473845</v>
          </cell>
          <cell r="J578">
            <v>0</v>
          </cell>
          <cell r="K578">
            <v>0</v>
          </cell>
          <cell r="L578">
            <v>23305.230999248161</v>
          </cell>
          <cell r="M578">
            <v>1.0341666666666667E-2</v>
          </cell>
          <cell r="N578">
            <v>2.1104405937053723E-2</v>
          </cell>
          <cell r="O578">
            <v>1.0407161260648241</v>
          </cell>
          <cell r="P578">
            <v>406353.42488651286</v>
          </cell>
          <cell r="Q578">
            <v>5650159.4816538962</v>
          </cell>
          <cell r="R578">
            <v>3</v>
          </cell>
          <cell r="U578" t="str">
            <v>PENDIENTE</v>
          </cell>
        </row>
        <row r="579">
          <cell r="A579" t="str">
            <v>20249</v>
          </cell>
          <cell r="B579" t="str">
            <v>SERFINANZAS</v>
          </cell>
          <cell r="C579" t="str">
            <v>INVERSIONES RUEDA S.A.S</v>
          </cell>
          <cell r="D579" t="str">
            <v>111000206579</v>
          </cell>
          <cell r="E579">
            <v>45565</v>
          </cell>
          <cell r="F579">
            <v>20</v>
          </cell>
          <cell r="G579">
            <v>16</v>
          </cell>
          <cell r="H579">
            <v>265684.60290962335</v>
          </cell>
          <cell r="I579">
            <v>119291.7622305331</v>
          </cell>
          <cell r="J579">
            <v>0</v>
          </cell>
          <cell r="K579">
            <v>0</v>
          </cell>
          <cell r="L579">
            <v>0</v>
          </cell>
          <cell r="M579">
            <v>1.0341666666666667E-2</v>
          </cell>
          <cell r="N579">
            <v>2.1112990282464453E-2</v>
          </cell>
          <cell r="O579">
            <v>1.0415461997548219</v>
          </cell>
          <cell r="P579">
            <v>384976.36514015647</v>
          </cell>
          <cell r="Q579">
            <v>5384474.8787442725</v>
          </cell>
          <cell r="R579">
            <v>3</v>
          </cell>
          <cell r="U579" t="str">
            <v>PENDIENTE</v>
          </cell>
        </row>
        <row r="580">
          <cell r="A580" t="str">
            <v>202410</v>
          </cell>
          <cell r="B580" t="str">
            <v>SERFINANZAS</v>
          </cell>
          <cell r="C580" t="str">
            <v>INVERSIONES RUEDA S.A.S</v>
          </cell>
          <cell r="D580" t="str">
            <v>111000206579</v>
          </cell>
          <cell r="E580">
            <v>45595</v>
          </cell>
          <cell r="F580">
            <v>21</v>
          </cell>
          <cell r="G580">
            <v>15</v>
          </cell>
          <cell r="H580">
            <v>273224.73194019846</v>
          </cell>
          <cell r="I580">
            <v>113734.52595300681</v>
          </cell>
          <cell r="J580">
            <v>0</v>
          </cell>
          <cell r="K580">
            <v>0</v>
          </cell>
          <cell r="L580">
            <v>0</v>
          </cell>
          <cell r="M580">
            <v>1.0341666666666667E-2</v>
          </cell>
          <cell r="N580">
            <v>2.1122677422451108E-2</v>
          </cell>
          <cell r="O580">
            <v>1.0424829095037333</v>
          </cell>
          <cell r="P580">
            <v>386959.25789320527</v>
          </cell>
          <cell r="Q580">
            <v>5111250.1468040738</v>
          </cell>
          <cell r="R580">
            <v>-28</v>
          </cell>
          <cell r="U580" t="str">
            <v>PENDIENTE</v>
          </cell>
        </row>
        <row r="581">
          <cell r="A581" t="str">
            <v>202411</v>
          </cell>
          <cell r="B581" t="str">
            <v>SERFINANZAS</v>
          </cell>
          <cell r="C581" t="str">
            <v>INVERSIONES RUEDA S.A.S</v>
          </cell>
          <cell r="D581" t="str">
            <v>111000206579</v>
          </cell>
          <cell r="E581">
            <v>45626</v>
          </cell>
          <cell r="F581">
            <v>22</v>
          </cell>
          <cell r="G581">
            <v>14</v>
          </cell>
          <cell r="H581">
            <v>280978.84983266133</v>
          </cell>
          <cell r="I581">
            <v>108019.57530992433</v>
          </cell>
          <cell r="J581">
            <v>0</v>
          </cell>
          <cell r="K581">
            <v>0</v>
          </cell>
          <cell r="L581">
            <v>0</v>
          </cell>
          <cell r="M581">
            <v>1.0341666666666667E-2</v>
          </cell>
          <cell r="N581">
            <v>2.1133689842487174E-2</v>
          </cell>
          <cell r="O581">
            <v>1.0435477688142312</v>
          </cell>
          <cell r="P581">
            <v>388998.42514258565</v>
          </cell>
          <cell r="Q581">
            <v>4830271.2969714124</v>
          </cell>
          <cell r="R581">
            <v>-58</v>
          </cell>
          <cell r="U581" t="str">
            <v>PENDIENTE</v>
          </cell>
        </row>
        <row r="582">
          <cell r="A582" t="str">
            <v>202412</v>
          </cell>
          <cell r="B582" t="str">
            <v>SERFINANZAS</v>
          </cell>
          <cell r="C582" t="str">
            <v>INVERSIONES RUEDA S.A.S</v>
          </cell>
          <cell r="D582" t="str">
            <v>111000206579</v>
          </cell>
          <cell r="E582">
            <v>45656</v>
          </cell>
          <cell r="F582">
            <v>23</v>
          </cell>
          <cell r="G582">
            <v>13</v>
          </cell>
          <cell r="H582">
            <v>288953.02959091228</v>
          </cell>
          <cell r="I582">
            <v>102142.43436759115</v>
          </cell>
          <cell r="J582">
            <v>0</v>
          </cell>
          <cell r="K582">
            <v>0</v>
          </cell>
          <cell r="L582">
            <v>0</v>
          </cell>
          <cell r="M582">
            <v>1.0341666666666667E-2</v>
          </cell>
          <cell r="N582">
            <v>2.1146314169068436E-2</v>
          </cell>
          <cell r="O582">
            <v>1.0447684933829269</v>
          </cell>
          <cell r="P582">
            <v>391095.46395850345</v>
          </cell>
          <cell r="Q582">
            <v>4541318.2673805002</v>
          </cell>
          <cell r="R582">
            <v>-89</v>
          </cell>
          <cell r="U582" t="str">
            <v>PENDIENTE</v>
          </cell>
        </row>
        <row r="583">
          <cell r="A583" t="str">
            <v>20251</v>
          </cell>
          <cell r="B583" t="str">
            <v>SERFINANZAS</v>
          </cell>
          <cell r="C583" t="str">
            <v>INVERSIONES RUEDA S.A.S</v>
          </cell>
          <cell r="D583" t="str">
            <v>111000206579</v>
          </cell>
          <cell r="E583">
            <v>45687</v>
          </cell>
          <cell r="F583">
            <v>24</v>
          </cell>
          <cell r="G583">
            <v>12</v>
          </cell>
          <cell r="H583">
            <v>297153.51657070237</v>
          </cell>
          <cell r="I583">
            <v>96098.500165314574</v>
          </cell>
          <cell r="J583">
            <v>0</v>
          </cell>
          <cell r="K583">
            <v>0</v>
          </cell>
          <cell r="L583">
            <v>0</v>
          </cell>
          <cell r="M583">
            <v>1.0341666666666667E-2</v>
          </cell>
          <cell r="N583">
            <v>2.1160926080775574E-2</v>
          </cell>
          <cell r="O583">
            <v>1.0461814099057767</v>
          </cell>
          <cell r="P583">
            <v>393252.01673601696</v>
          </cell>
          <cell r="Q583">
            <v>4244164.750809798</v>
          </cell>
          <cell r="R583">
            <v>-119</v>
          </cell>
          <cell r="U583" t="str">
            <v>PENDIENTE</v>
          </cell>
        </row>
        <row r="584">
          <cell r="A584" t="str">
            <v>20252</v>
          </cell>
          <cell r="B584" t="str">
            <v>SERFINANZAS</v>
          </cell>
          <cell r="C584" t="str">
            <v>INVERSIONES RUEDA S.A.S</v>
          </cell>
          <cell r="D584" t="str">
            <v>111000206579</v>
          </cell>
          <cell r="E584">
            <v>45716</v>
          </cell>
          <cell r="F584">
            <v>25</v>
          </cell>
          <cell r="G584">
            <v>11</v>
          </cell>
          <cell r="H584">
            <v>305586.73337097891</v>
          </cell>
          <cell r="I584">
            <v>89883.039110377387</v>
          </cell>
          <cell r="J584">
            <v>0</v>
          </cell>
          <cell r="K584">
            <v>0</v>
          </cell>
          <cell r="L584">
            <v>0</v>
          </cell>
          <cell r="M584">
            <v>1.0341666666666667E-2</v>
          </cell>
          <cell r="N584">
            <v>2.1178027807056139E-2</v>
          </cell>
          <cell r="O584">
            <v>1.0478350820682807</v>
          </cell>
          <cell r="P584">
            <v>395469.77248135628</v>
          </cell>
          <cell r="Q584">
            <v>3938578.0174388192</v>
          </cell>
          <cell r="R584">
            <v>-150</v>
          </cell>
          <cell r="U584" t="str">
            <v>PENDIENTE</v>
          </cell>
        </row>
        <row r="585">
          <cell r="A585" t="str">
            <v>20253</v>
          </cell>
          <cell r="B585" t="str">
            <v>SERFINANZAS</v>
          </cell>
          <cell r="C585" t="str">
            <v>INVERSIONES RUEDA S.A.S</v>
          </cell>
          <cell r="D585" t="str">
            <v>111000206579</v>
          </cell>
          <cell r="E585">
            <v>45746</v>
          </cell>
          <cell r="F585">
            <v>26</v>
          </cell>
          <cell r="G585">
            <v>10</v>
          </cell>
          <cell r="H585">
            <v>314259.28486404731</v>
          </cell>
          <cell r="I585">
            <v>83491.183270701076</v>
          </cell>
          <cell r="J585">
            <v>0</v>
          </cell>
          <cell r="K585">
            <v>0</v>
          </cell>
          <cell r="L585">
            <v>0</v>
          </cell>
          <cell r="M585">
            <v>1.0341666666666667E-2</v>
          </cell>
          <cell r="N585">
            <v>2.1198306317921758E-2</v>
          </cell>
          <cell r="O585">
            <v>1.0497959372688244</v>
          </cell>
          <cell r="P585">
            <v>397750.4681347484</v>
          </cell>
          <cell r="Q585">
            <v>3624318.7325747721</v>
          </cell>
          <cell r="R585">
            <v>-179</v>
          </cell>
          <cell r="U585" t="str">
            <v>PENDIENTE</v>
          </cell>
        </row>
        <row r="586">
          <cell r="A586" t="str">
            <v>20254</v>
          </cell>
          <cell r="B586" t="str">
            <v>SERFINANZAS</v>
          </cell>
          <cell r="C586" t="str">
            <v>INVERSIONES RUEDA S.A.S</v>
          </cell>
          <cell r="D586" t="str">
            <v>111000206579</v>
          </cell>
          <cell r="E586">
            <v>45777</v>
          </cell>
          <cell r="F586">
            <v>27</v>
          </cell>
          <cell r="G586">
            <v>9</v>
          </cell>
          <cell r="H586">
            <v>323177.963368489</v>
          </cell>
          <cell r="I586">
            <v>76917.926562294757</v>
          </cell>
          <cell r="J586">
            <v>0</v>
          </cell>
          <cell r="K586">
            <v>0</v>
          </cell>
          <cell r="L586">
            <v>0</v>
          </cell>
          <cell r="M586">
            <v>1.0341666666666667E-2</v>
          </cell>
          <cell r="N586">
            <v>2.1222726873044929E-2</v>
          </cell>
          <cell r="O586">
            <v>1.0521573124620396</v>
          </cell>
          <cell r="P586">
            <v>400095.88993078377</v>
          </cell>
          <cell r="Q586">
            <v>3301140.7692062831</v>
          </cell>
          <cell r="R586">
            <v>-209</v>
          </cell>
          <cell r="U586" t="str">
            <v>PENDIENTE</v>
          </cell>
        </row>
        <row r="587">
          <cell r="A587" t="str">
            <v>20255</v>
          </cell>
          <cell r="B587" t="str">
            <v>SERFINANZAS</v>
          </cell>
          <cell r="C587" t="str">
            <v>INVERSIONES RUEDA S.A.S</v>
          </cell>
          <cell r="D587" t="str">
            <v>111000206579</v>
          </cell>
          <cell r="E587">
            <v>45807</v>
          </cell>
          <cell r="F587">
            <v>28</v>
          </cell>
          <cell r="G587">
            <v>8</v>
          </cell>
          <cell r="H587">
            <v>332349.75396888674</v>
          </cell>
          <cell r="I587">
            <v>70158.120828503874</v>
          </cell>
          <cell r="J587">
            <v>0</v>
          </cell>
          <cell r="K587">
            <v>0</v>
          </cell>
          <cell r="L587">
            <v>0</v>
          </cell>
          <cell r="M587">
            <v>1.0341666666666667E-2</v>
          </cell>
          <cell r="N587">
            <v>2.1252689822546553E-2</v>
          </cell>
          <cell r="O587">
            <v>1.055054616201117</v>
          </cell>
          <cell r="P587">
            <v>402507.8747973906</v>
          </cell>
          <cell r="Q587">
            <v>2968791.0152373966</v>
          </cell>
          <cell r="R587">
            <v>-240</v>
          </cell>
          <cell r="U587" t="str">
            <v>PENDIENTE</v>
          </cell>
        </row>
        <row r="588">
          <cell r="A588" t="str">
            <v>20256</v>
          </cell>
          <cell r="B588" t="str">
            <v>SERFINANZAS</v>
          </cell>
          <cell r="C588" t="str">
            <v>INVERSIONES RUEDA S.A.S</v>
          </cell>
          <cell r="D588" t="str">
            <v>111000206579</v>
          </cell>
          <cell r="E588">
            <v>45838</v>
          </cell>
          <cell r="F588">
            <v>29</v>
          </cell>
          <cell r="G588">
            <v>7</v>
          </cell>
          <cell r="H588">
            <v>341781.83998652379</v>
          </cell>
          <cell r="I588">
            <v>63206.471807987989</v>
          </cell>
          <cell r="J588">
            <v>0</v>
          </cell>
          <cell r="K588">
            <v>0</v>
          </cell>
          <cell r="L588">
            <v>0</v>
          </cell>
          <cell r="M588">
            <v>1.0341666666666667E-2</v>
          </cell>
          <cell r="N588">
            <v>2.1290306890440969E-2</v>
          </cell>
          <cell r="O588">
            <v>1.0586920442005772</v>
          </cell>
          <cell r="P588">
            <v>404988.3117945118</v>
          </cell>
          <cell r="Q588">
            <v>2627009.175250873</v>
          </cell>
          <cell r="R588">
            <v>-270</v>
          </cell>
          <cell r="U588" t="str">
            <v>PENDIENTE</v>
          </cell>
        </row>
        <row r="589">
          <cell r="A589" t="str">
            <v>20257</v>
          </cell>
          <cell r="B589" t="str">
            <v>SERFINANZAS</v>
          </cell>
          <cell r="C589" t="str">
            <v>INVERSIONES RUEDA S.A.S</v>
          </cell>
          <cell r="D589" t="str">
            <v>111000206579</v>
          </cell>
          <cell r="E589">
            <v>45868</v>
          </cell>
          <cell r="F589">
            <v>30</v>
          </cell>
          <cell r="G589">
            <v>6</v>
          </cell>
          <cell r="H589">
            <v>351481.60860534135</v>
          </cell>
          <cell r="I589">
            <v>56057.534988269872</v>
          </cell>
          <cell r="J589">
            <v>0</v>
          </cell>
          <cell r="K589">
            <v>0</v>
          </cell>
          <cell r="L589">
            <v>0</v>
          </cell>
          <cell r="M589">
            <v>1.0341666666666667E-2</v>
          </cell>
          <cell r="N589">
            <v>2.1338918613756464E-2</v>
          </cell>
          <cell r="O589">
            <v>1.0633926137395453</v>
          </cell>
          <cell r="P589">
            <v>407539.1435936112</v>
          </cell>
          <cell r="Q589">
            <v>2275527.5666455314</v>
          </cell>
          <cell r="R589">
            <v>-301</v>
          </cell>
          <cell r="U589" t="str">
            <v>PENDIENTE</v>
          </cell>
        </row>
        <row r="590">
          <cell r="A590" t="str">
            <v>20258</v>
          </cell>
          <cell r="B590" t="str">
            <v>SERFINANZAS</v>
          </cell>
          <cell r="C590" t="str">
            <v>INVERSIONES RUEDA S.A.S</v>
          </cell>
          <cell r="D590" t="str">
            <v>111000206579</v>
          </cell>
          <cell r="E590">
            <v>45899</v>
          </cell>
          <cell r="F590">
            <v>31</v>
          </cell>
          <cell r="G590">
            <v>5</v>
          </cell>
          <cell r="H590">
            <v>361456.65665756096</v>
          </cell>
          <cell r="I590">
            <v>48705.711341608148</v>
          </cell>
          <cell r="J590">
            <v>0</v>
          </cell>
          <cell r="K590">
            <v>0</v>
          </cell>
          <cell r="L590">
            <v>0</v>
          </cell>
          <cell r="M590">
            <v>1.0341666666666667E-2</v>
          </cell>
          <cell r="N590">
            <v>2.1404140321361901E-2</v>
          </cell>
          <cell r="O590">
            <v>1.069699305852883</v>
          </cell>
          <cell r="P590">
            <v>410162.3679991691</v>
          </cell>
          <cell r="Q590">
            <v>1914070.9099879705</v>
          </cell>
          <cell r="R590">
            <v>-331</v>
          </cell>
          <cell r="U590" t="str">
            <v>PENDIENTE</v>
          </cell>
        </row>
        <row r="591">
          <cell r="A591" t="str">
            <v>20259</v>
          </cell>
          <cell r="B591" t="str">
            <v>SERFINANZAS</v>
          </cell>
          <cell r="C591" t="str">
            <v>INVERSIONES RUEDA S.A.S</v>
          </cell>
          <cell r="D591" t="str">
            <v>111000206579</v>
          </cell>
          <cell r="E591">
            <v>45930</v>
          </cell>
          <cell r="F591">
            <v>32</v>
          </cell>
          <cell r="G591">
            <v>4</v>
          </cell>
          <cell r="H591">
            <v>371714.79657350259</v>
          </cell>
          <cell r="I591">
            <v>41145.242939854164</v>
          </cell>
          <cell r="J591">
            <v>0</v>
          </cell>
          <cell r="K591">
            <v>0</v>
          </cell>
          <cell r="L591">
            <v>0</v>
          </cell>
          <cell r="M591">
            <v>1.0341666666666667E-2</v>
          </cell>
          <cell r="N591">
            <v>2.1496195739223033E-2</v>
          </cell>
          <cell r="O591">
            <v>1.0786007161214859</v>
          </cell>
          <cell r="P591">
            <v>412860.03951335675</v>
          </cell>
          <cell r="Q591">
            <v>1542356.1134144678</v>
          </cell>
          <cell r="R591">
            <v>-362</v>
          </cell>
          <cell r="U591" t="str">
            <v>PENDIENTE</v>
          </cell>
        </row>
        <row r="592">
          <cell r="A592" t="str">
            <v>202510</v>
          </cell>
          <cell r="B592" t="str">
            <v>SERFINANZAS</v>
          </cell>
          <cell r="C592" t="str">
            <v>INVERSIONES RUEDA S.A.S</v>
          </cell>
          <cell r="D592" t="str">
            <v>111000206579</v>
          </cell>
          <cell r="E592">
            <v>45960</v>
          </cell>
          <cell r="F592">
            <v>33</v>
          </cell>
          <cell r="G592">
            <v>3</v>
          </cell>
          <cell r="H592">
            <v>382264.06250025862</v>
          </cell>
          <cell r="I592">
            <v>33370.208444858399</v>
          </cell>
          <cell r="J592">
            <v>0</v>
          </cell>
          <cell r="K592">
            <v>0</v>
          </cell>
          <cell r="L592">
            <v>0</v>
          </cell>
          <cell r="M592">
            <v>1.0341666666666667E-2</v>
          </cell>
          <cell r="N592">
            <v>2.1635864865853473E-2</v>
          </cell>
          <cell r="O592">
            <v>1.092106191702189</v>
          </cell>
          <cell r="P592">
            <v>415634.27094511699</v>
          </cell>
          <cell r="Q592">
            <v>1160092.0509142091</v>
          </cell>
          <cell r="R592">
            <v>-393</v>
          </cell>
          <cell r="U592" t="str">
            <v>PENDIENTE</v>
          </cell>
        </row>
        <row r="593">
          <cell r="A593" t="str">
            <v>202511</v>
          </cell>
          <cell r="B593" t="str">
            <v>SERFINANZAS</v>
          </cell>
          <cell r="C593" t="str">
            <v>INVERSIONES RUEDA S.A.S</v>
          </cell>
          <cell r="D593" t="str">
            <v>111000206579</v>
          </cell>
          <cell r="E593">
            <v>45991</v>
          </cell>
          <cell r="F593">
            <v>34</v>
          </cell>
          <cell r="G593">
            <v>2</v>
          </cell>
          <cell r="H593">
            <v>393112.716594016</v>
          </cell>
          <cell r="I593">
            <v>25374.518470894654</v>
          </cell>
          <cell r="J593">
            <v>0</v>
          </cell>
          <cell r="K593">
            <v>0</v>
          </cell>
          <cell r="L593">
            <v>0</v>
          </cell>
          <cell r="M593">
            <v>1.0341666666666667E-2</v>
          </cell>
          <cell r="N593">
            <v>2.1872849185457566E-2</v>
          </cell>
          <cell r="O593">
            <v>1.115021677884696</v>
          </cell>
          <cell r="P593">
            <v>418487.23506491067</v>
          </cell>
          <cell r="Q593">
            <v>766979.33432019316</v>
          </cell>
          <cell r="R593">
            <v>-423</v>
          </cell>
          <cell r="U593" t="str">
            <v>PENDIENTE</v>
          </cell>
        </row>
        <row r="594">
          <cell r="A594" t="str">
            <v>202512</v>
          </cell>
          <cell r="B594" t="str">
            <v>SERFINANZAS</v>
          </cell>
          <cell r="C594" t="str">
            <v>INVERSIONES RUEDA S.A.S</v>
          </cell>
          <cell r="D594" t="str">
            <v>111000206579</v>
          </cell>
          <cell r="E594">
            <v>46021</v>
          </cell>
          <cell r="F594">
            <v>35</v>
          </cell>
          <cell r="G594">
            <v>1</v>
          </cell>
          <cell r="H594">
            <v>404269.25549095421</v>
          </cell>
          <cell r="I594">
            <v>17151.910815469819</v>
          </cell>
          <cell r="J594">
            <v>0</v>
          </cell>
          <cell r="K594">
            <v>0</v>
          </cell>
          <cell r="L594">
            <v>0</v>
          </cell>
          <cell r="M594">
            <v>1.0341666666666667E-2</v>
          </cell>
          <cell r="N594">
            <v>2.2362937367370266E-2</v>
          </cell>
          <cell r="O594">
            <v>1.1624113489802026</v>
          </cell>
          <cell r="P594">
            <v>421421.16630642401</v>
          </cell>
          <cell r="Q594">
            <v>362710.07882923895</v>
          </cell>
          <cell r="R594">
            <v>-454</v>
          </cell>
          <cell r="U594" t="str">
            <v>PENDIENTE</v>
          </cell>
        </row>
        <row r="595">
          <cell r="A595" t="str">
            <v>20261</v>
          </cell>
          <cell r="B595" t="str">
            <v>SERFINANZAS</v>
          </cell>
          <cell r="C595" t="str">
            <v>INVERSIONES RUEDA S.A.S</v>
          </cell>
          <cell r="D595" t="str">
            <v>111000206579</v>
          </cell>
          <cell r="E595">
            <v>46052</v>
          </cell>
          <cell r="F595">
            <v>36</v>
          </cell>
          <cell r="G595">
            <v>0</v>
          </cell>
          <cell r="H595">
            <v>415742.4169617875</v>
          </cell>
          <cell r="I595">
            <v>8695.945554784028</v>
          </cell>
          <cell r="J595">
            <v>0</v>
          </cell>
          <cell r="K595">
            <v>0</v>
          </cell>
          <cell r="L595">
            <v>0</v>
          </cell>
          <cell r="M595">
            <v>1.0341666666666667E-2</v>
          </cell>
          <cell r="N595">
            <v>2.3974921190094669E-2</v>
          </cell>
          <cell r="O595">
            <v>1.3182840796223689</v>
          </cell>
          <cell r="P595">
            <v>424438.36251657153</v>
          </cell>
          <cell r="Q595">
            <v>-53032.338132548553</v>
          </cell>
          <cell r="R595">
            <v>-484</v>
          </cell>
          <cell r="U595" t="str">
            <v>PENDIENTE</v>
          </cell>
        </row>
        <row r="596">
          <cell r="A596" t="str">
            <v>20231</v>
          </cell>
          <cell r="B596" t="str">
            <v>SERFINANZAS</v>
          </cell>
          <cell r="C596" t="str">
            <v>LAMAR OPTICAL S.A.S</v>
          </cell>
          <cell r="D596" t="str">
            <v>111000206274</v>
          </cell>
          <cell r="E596">
            <v>44953</v>
          </cell>
          <cell r="F596">
            <v>0</v>
          </cell>
          <cell r="G596">
            <v>12</v>
          </cell>
          <cell r="H596">
            <v>0</v>
          </cell>
          <cell r="I596">
            <v>0</v>
          </cell>
          <cell r="J596">
            <v>0</v>
          </cell>
          <cell r="K596">
            <v>0</v>
          </cell>
          <cell r="L596">
            <v>0</v>
          </cell>
          <cell r="M596">
            <v>1.9746596666666668E-2</v>
          </cell>
          <cell r="N596">
            <v>0</v>
          </cell>
          <cell r="O596">
            <v>-1</v>
          </cell>
          <cell r="P596">
            <v>0</v>
          </cell>
          <cell r="Q596">
            <v>20000000</v>
          </cell>
          <cell r="R596" t="str">
            <v>OK</v>
          </cell>
          <cell r="S596">
            <v>0</v>
          </cell>
          <cell r="T596">
            <v>44957</v>
          </cell>
          <cell r="U596" t="str">
            <v>PAGADO</v>
          </cell>
        </row>
        <row r="597">
          <cell r="A597" t="str">
            <v>20232</v>
          </cell>
          <cell r="B597" t="str">
            <v>SERFINANZAS</v>
          </cell>
          <cell r="C597" t="str">
            <v>LAMAR OPTICAL S.A.S</v>
          </cell>
          <cell r="D597" t="str">
            <v>111000206274</v>
          </cell>
          <cell r="E597">
            <v>44984</v>
          </cell>
          <cell r="F597">
            <v>1</v>
          </cell>
          <cell r="G597">
            <v>11</v>
          </cell>
          <cell r="H597">
            <v>1493318.05</v>
          </cell>
          <cell r="I597">
            <v>394931.93</v>
          </cell>
          <cell r="J597">
            <v>0</v>
          </cell>
          <cell r="K597">
            <v>0</v>
          </cell>
          <cell r="L597">
            <v>0</v>
          </cell>
          <cell r="M597">
            <v>1.9746596666666668E-2</v>
          </cell>
          <cell r="N597">
            <v>1.9746596499999998E-2</v>
          </cell>
          <cell r="O597">
            <v>-8.4402731470589742E-9</v>
          </cell>
          <cell r="P597">
            <v>1888249.98</v>
          </cell>
          <cell r="Q597">
            <v>18506681.949999999</v>
          </cell>
          <cell r="R597" t="str">
            <v>OK</v>
          </cell>
          <cell r="S597">
            <v>1927518.82</v>
          </cell>
          <cell r="T597">
            <v>45009</v>
          </cell>
          <cell r="U597" t="str">
            <v>PAGADO</v>
          </cell>
        </row>
        <row r="598">
          <cell r="A598" t="str">
            <v>20233</v>
          </cell>
          <cell r="B598" t="str">
            <v>SERFINANZAS</v>
          </cell>
          <cell r="C598" t="str">
            <v>LAMAR OPTICAL S.A.S</v>
          </cell>
          <cell r="D598" t="str">
            <v>111000206274</v>
          </cell>
          <cell r="E598">
            <v>45012</v>
          </cell>
          <cell r="F598">
            <v>2</v>
          </cell>
          <cell r="G598">
            <v>10</v>
          </cell>
          <cell r="H598">
            <v>1520620.72</v>
          </cell>
          <cell r="I598">
            <v>370659.8</v>
          </cell>
          <cell r="J598">
            <v>0</v>
          </cell>
          <cell r="K598">
            <v>0</v>
          </cell>
          <cell r="L598">
            <v>0</v>
          </cell>
          <cell r="M598">
            <v>1.9746596666666668E-2</v>
          </cell>
          <cell r="N598">
            <v>2.0028430866290432E-2</v>
          </cell>
          <cell r="O598">
            <v>1.4272545511577528E-2</v>
          </cell>
          <cell r="P598">
            <v>1891280.52</v>
          </cell>
          <cell r="Q598">
            <v>16986061.23</v>
          </cell>
          <cell r="R598" t="str">
            <v>OK</v>
          </cell>
          <cell r="S598">
            <v>1918570.25</v>
          </cell>
          <cell r="T598">
            <v>45029</v>
          </cell>
          <cell r="U598" t="str">
            <v>PAGADO</v>
          </cell>
        </row>
        <row r="599">
          <cell r="A599" t="str">
            <v>20234</v>
          </cell>
          <cell r="B599" t="str">
            <v>SERFINANZAS</v>
          </cell>
          <cell r="C599" t="str">
            <v>LAMAR OPTICAL S.A.S</v>
          </cell>
          <cell r="D599" t="str">
            <v>111000206274</v>
          </cell>
          <cell r="E599">
            <v>45043</v>
          </cell>
          <cell r="F599">
            <v>3</v>
          </cell>
          <cell r="G599">
            <v>9</v>
          </cell>
          <cell r="H599">
            <v>1557292.69</v>
          </cell>
          <cell r="I599">
            <v>325339.03999999998</v>
          </cell>
          <cell r="J599">
            <v>0</v>
          </cell>
          <cell r="K599">
            <v>0</v>
          </cell>
          <cell r="L599">
            <v>0</v>
          </cell>
          <cell r="M599">
            <v>1.9746596666666668E-2</v>
          </cell>
          <cell r="N599">
            <v>1.9153294904259564E-2</v>
          </cell>
          <cell r="O599">
            <v>-3.0045773072816639E-2</v>
          </cell>
          <cell r="P599">
            <v>1882631.73</v>
          </cell>
          <cell r="Q599">
            <v>15428768.540000001</v>
          </cell>
          <cell r="R599" t="str">
            <v>OK</v>
          </cell>
          <cell r="S599">
            <v>1916653.67</v>
          </cell>
          <cell r="T599">
            <v>45064</v>
          </cell>
          <cell r="U599" t="str">
            <v>PAGADO</v>
          </cell>
        </row>
        <row r="600">
          <cell r="A600" t="str">
            <v>20235</v>
          </cell>
          <cell r="B600" t="str">
            <v>SERFINANZAS</v>
          </cell>
          <cell r="C600" t="str">
            <v>LAMAR OPTICAL S.A.S</v>
          </cell>
          <cell r="D600" t="str">
            <v>111000206274</v>
          </cell>
          <cell r="E600">
            <v>45073</v>
          </cell>
          <cell r="F600">
            <v>4</v>
          </cell>
          <cell r="G600">
            <v>8</v>
          </cell>
          <cell r="H600">
            <v>1589997.74</v>
          </cell>
          <cell r="I600">
            <v>288607.65000000002</v>
          </cell>
          <cell r="J600">
            <v>0</v>
          </cell>
          <cell r="K600">
            <v>0</v>
          </cell>
          <cell r="L600">
            <v>0</v>
          </cell>
          <cell r="M600">
            <v>1.9746596666666668E-2</v>
          </cell>
          <cell r="N600">
            <v>1.8705812408279215E-2</v>
          </cell>
          <cell r="O600">
            <v>-5.2707019642749597E-2</v>
          </cell>
          <cell r="P600">
            <v>1878605.3900000001</v>
          </cell>
          <cell r="Q600">
            <v>13838770.800000001</v>
          </cell>
          <cell r="R600" t="str">
            <v>OK</v>
          </cell>
          <cell r="S600">
            <v>1878556.12</v>
          </cell>
          <cell r="T600">
            <v>45072</v>
          </cell>
          <cell r="U600" t="str">
            <v>PAGADO</v>
          </cell>
        </row>
        <row r="601">
          <cell r="A601" t="str">
            <v>20236</v>
          </cell>
          <cell r="B601" t="str">
            <v>SERFINANZAS</v>
          </cell>
          <cell r="C601" t="str">
            <v>LAMAR OPTICAL S.A.S</v>
          </cell>
          <cell r="D601" t="str">
            <v>111000206274</v>
          </cell>
          <cell r="E601">
            <v>45104</v>
          </cell>
          <cell r="F601">
            <v>5</v>
          </cell>
          <cell r="G601">
            <v>7</v>
          </cell>
          <cell r="H601">
            <v>1647811.72</v>
          </cell>
          <cell r="I601">
            <v>234034.7</v>
          </cell>
          <cell r="J601">
            <v>0</v>
          </cell>
          <cell r="K601">
            <v>0</v>
          </cell>
          <cell r="L601">
            <v>49.270000000018626</v>
          </cell>
          <cell r="M601">
            <v>1.9746596666666668E-2</v>
          </cell>
          <cell r="N601">
            <v>1.6911523673764434E-2</v>
          </cell>
          <cell r="O601">
            <v>-0.14357274019213606</v>
          </cell>
          <cell r="P601">
            <v>1881895.69</v>
          </cell>
          <cell r="Q601">
            <v>12190959.08</v>
          </cell>
          <cell r="R601" t="str">
            <v>OK</v>
          </cell>
          <cell r="S601">
            <v>1926132.16</v>
          </cell>
          <cell r="T601">
            <v>45133</v>
          </cell>
          <cell r="U601" t="str">
            <v>PAGADO</v>
          </cell>
        </row>
        <row r="602">
          <cell r="A602" t="str">
            <v>20237</v>
          </cell>
          <cell r="B602" t="str">
            <v>SERFINANZAS</v>
          </cell>
          <cell r="C602" t="str">
            <v>LAMAR OPTICAL S.A.S</v>
          </cell>
          <cell r="D602" t="str">
            <v>111000206274</v>
          </cell>
          <cell r="E602">
            <v>45134</v>
          </cell>
          <cell r="F602">
            <v>6</v>
          </cell>
          <cell r="G602">
            <v>6</v>
          </cell>
          <cell r="H602">
            <v>1646696.78</v>
          </cell>
          <cell r="I602">
            <v>241553.2</v>
          </cell>
          <cell r="J602">
            <v>0</v>
          </cell>
          <cell r="K602">
            <v>0</v>
          </cell>
          <cell r="L602">
            <v>0</v>
          </cell>
          <cell r="M602">
            <v>1.9746596666666668E-2</v>
          </cell>
          <cell r="N602">
            <v>1.9814126059719332E-2</v>
          </cell>
          <cell r="O602">
            <v>3.4197990769040398E-3</v>
          </cell>
          <cell r="P602">
            <v>1888249.98</v>
          </cell>
          <cell r="Q602">
            <v>10544262.300000001</v>
          </cell>
          <cell r="R602" t="str">
            <v>OK</v>
          </cell>
          <cell r="S602">
            <v>1929386.06</v>
          </cell>
          <cell r="T602">
            <v>45163</v>
          </cell>
          <cell r="U602" t="str">
            <v>PAGADO</v>
          </cell>
        </row>
        <row r="603">
          <cell r="A603" t="str">
            <v>20238</v>
          </cell>
          <cell r="B603" t="str">
            <v>SERFINANZAS</v>
          </cell>
          <cell r="C603" t="str">
            <v>LAMAR OPTICAL S.A.S</v>
          </cell>
          <cell r="D603" t="str">
            <v>111000206274</v>
          </cell>
          <cell r="E603">
            <v>45165</v>
          </cell>
          <cell r="F603">
            <v>7</v>
          </cell>
          <cell r="G603">
            <v>5</v>
          </cell>
          <cell r="H603">
            <v>1677951.9</v>
          </cell>
          <cell r="I603">
            <v>206042.2</v>
          </cell>
          <cell r="J603">
            <v>0</v>
          </cell>
          <cell r="K603">
            <v>0</v>
          </cell>
          <cell r="L603">
            <v>0</v>
          </cell>
          <cell r="M603">
            <v>1.9746596666666668E-2</v>
          </cell>
          <cell r="N603">
            <v>1.9540693709791342E-2</v>
          </cell>
          <cell r="O603">
            <v>-1.0427263003902953E-2</v>
          </cell>
          <cell r="P603">
            <v>1883994.0999999999</v>
          </cell>
          <cell r="Q603">
            <v>8866310.4000000004</v>
          </cell>
          <cell r="R603" t="str">
            <v>OK</v>
          </cell>
          <cell r="S603">
            <v>1926487.42</v>
          </cell>
          <cell r="T603">
            <v>45191</v>
          </cell>
          <cell r="U603" t="str">
            <v>PAGADO</v>
          </cell>
        </row>
        <row r="604">
          <cell r="A604" t="str">
            <v>20239</v>
          </cell>
          <cell r="B604" t="str">
            <v>SERFINANZAS</v>
          </cell>
          <cell r="C604" t="str">
            <v>LAMAR OPTICAL S.A.S</v>
          </cell>
          <cell r="D604" t="str">
            <v>111000206274</v>
          </cell>
          <cell r="E604">
            <v>45196</v>
          </cell>
          <cell r="F604">
            <v>8</v>
          </cell>
          <cell r="G604">
            <v>4</v>
          </cell>
          <cell r="H604">
            <v>1709851.03</v>
          </cell>
          <cell r="I604">
            <v>175432.44</v>
          </cell>
          <cell r="J604">
            <v>0</v>
          </cell>
          <cell r="K604">
            <v>0</v>
          </cell>
          <cell r="L604">
            <v>0</v>
          </cell>
          <cell r="M604">
            <v>1.9746596666666668E-2</v>
          </cell>
          <cell r="N604">
            <v>1.9786408560656752E-2</v>
          </cell>
          <cell r="O604">
            <v>2.0161395232876078E-3</v>
          </cell>
          <cell r="P604">
            <v>1885283.47</v>
          </cell>
          <cell r="Q604">
            <v>7156459.3700000001</v>
          </cell>
          <cell r="R604" t="str">
            <v>OK</v>
          </cell>
          <cell r="S604">
            <v>1931611.17</v>
          </cell>
          <cell r="T604">
            <v>45225</v>
          </cell>
          <cell r="U604" t="str">
            <v>PAGADO</v>
          </cell>
        </row>
        <row r="605">
          <cell r="A605" t="str">
            <v>202310</v>
          </cell>
          <cell r="B605" t="str">
            <v>SERFINANZAS</v>
          </cell>
          <cell r="C605" t="str">
            <v>LAMAR OPTICAL S.A.S</v>
          </cell>
          <cell r="D605" t="str">
            <v>111000206274</v>
          </cell>
          <cell r="E605">
            <v>45226</v>
          </cell>
          <cell r="F605">
            <v>9</v>
          </cell>
          <cell r="G605">
            <v>3</v>
          </cell>
          <cell r="H605">
            <v>1746185.71</v>
          </cell>
          <cell r="I605">
            <v>142064.26999999999</v>
          </cell>
          <cell r="J605">
            <v>0</v>
          </cell>
          <cell r="K605">
            <v>0</v>
          </cell>
          <cell r="L605">
            <v>0</v>
          </cell>
          <cell r="M605">
            <v>1.9746596666666668E-2</v>
          </cell>
          <cell r="N605">
            <v>1.9851194935240721E-2</v>
          </cell>
          <cell r="O605">
            <v>5.2970276518899961E-3</v>
          </cell>
          <cell r="P605">
            <v>1888249.98</v>
          </cell>
          <cell r="Q605">
            <v>5410273.6600000001</v>
          </cell>
          <cell r="R605" t="str">
            <v>OK</v>
          </cell>
          <cell r="S605">
            <v>1950000</v>
          </cell>
          <cell r="T605">
            <v>45258</v>
          </cell>
          <cell r="U605" t="str">
            <v>PAGADO</v>
          </cell>
        </row>
        <row r="606">
          <cell r="A606" t="str">
            <v>202311</v>
          </cell>
          <cell r="B606" t="str">
            <v>SERFINANZAS</v>
          </cell>
          <cell r="C606" t="str">
            <v>LAMAR OPTICAL S.A.S</v>
          </cell>
          <cell r="D606" t="str">
            <v>111000206274</v>
          </cell>
          <cell r="E606">
            <v>45257</v>
          </cell>
          <cell r="F606">
            <v>10</v>
          </cell>
          <cell r="G606">
            <v>2</v>
          </cell>
          <cell r="H606">
            <v>1780666.94</v>
          </cell>
          <cell r="I606">
            <v>107583.03999999999</v>
          </cell>
          <cell r="J606">
            <v>0</v>
          </cell>
          <cell r="K606">
            <v>0</v>
          </cell>
          <cell r="L606">
            <v>0</v>
          </cell>
          <cell r="M606">
            <v>1.9746596666666668E-2</v>
          </cell>
          <cell r="N606">
            <v>1.9884953472020857E-2</v>
          </cell>
          <cell r="O606">
            <v>7.0066152507051171E-3</v>
          </cell>
          <cell r="P606">
            <v>1888249.98</v>
          </cell>
          <cell r="Q606">
            <v>3629606.72</v>
          </cell>
          <cell r="R606" t="str">
            <v>OK</v>
          </cell>
          <cell r="S606">
            <v>1911304.83</v>
          </cell>
          <cell r="T606">
            <v>45286</v>
          </cell>
          <cell r="U606" t="str">
            <v>PAGADO</v>
          </cell>
        </row>
        <row r="607">
          <cell r="A607" t="str">
            <v>202312</v>
          </cell>
          <cell r="B607" t="str">
            <v>SERFINANZAS</v>
          </cell>
          <cell r="C607" t="str">
            <v>LAMAR OPTICAL S.A.S</v>
          </cell>
          <cell r="D607" t="str">
            <v>111000206274</v>
          </cell>
          <cell r="E607">
            <v>45287</v>
          </cell>
          <cell r="F607">
            <v>11</v>
          </cell>
          <cell r="G607">
            <v>1</v>
          </cell>
          <cell r="H607">
            <v>1815829.05</v>
          </cell>
          <cell r="I607">
            <v>72420.929999999993</v>
          </cell>
          <cell r="J607">
            <v>0</v>
          </cell>
          <cell r="K607">
            <v>0</v>
          </cell>
          <cell r="L607">
            <v>0</v>
          </cell>
          <cell r="M607">
            <v>1.9746596666666668E-2</v>
          </cell>
          <cell r="N607">
            <v>1.99528311430942E-2</v>
          </cell>
          <cell r="O607">
            <v>1.0444051697053647E-2</v>
          </cell>
          <cell r="P607">
            <v>1888249.98</v>
          </cell>
          <cell r="Q607">
            <v>1813777.6700000002</v>
          </cell>
          <cell r="R607" t="str">
            <v>OK</v>
          </cell>
          <cell r="S607">
            <v>1927679.88</v>
          </cell>
          <cell r="T607">
            <v>45317</v>
          </cell>
          <cell r="U607" t="str">
            <v>PAGADO</v>
          </cell>
        </row>
        <row r="608">
          <cell r="A608" t="str">
            <v>20241</v>
          </cell>
          <cell r="B608" t="str">
            <v>SERFINANZAS</v>
          </cell>
          <cell r="C608" t="str">
            <v>LAMAR OPTICAL S.A.S</v>
          </cell>
          <cell r="D608" t="str">
            <v>111000206274</v>
          </cell>
          <cell r="E608">
            <v>45318</v>
          </cell>
          <cell r="F608">
            <v>12</v>
          </cell>
          <cell r="G608">
            <v>0</v>
          </cell>
          <cell r="H608">
            <v>1842996.9100000032</v>
          </cell>
          <cell r="I608">
            <v>36564.49</v>
          </cell>
          <cell r="J608">
            <v>0</v>
          </cell>
          <cell r="K608">
            <v>0</v>
          </cell>
          <cell r="L608">
            <v>0</v>
          </cell>
          <cell r="M608">
            <v>1.9746596666666668E-2</v>
          </cell>
          <cell r="N608">
            <v>2.0159301001869759E-2</v>
          </cell>
          <cell r="O608">
            <v>2.0900023541766011E-2</v>
          </cell>
          <cell r="P608">
            <v>1879561.4000000032</v>
          </cell>
          <cell r="Q608">
            <v>0</v>
          </cell>
          <cell r="R608" t="str">
            <v>OK</v>
          </cell>
          <cell r="S608">
            <v>1909520.32</v>
          </cell>
          <cell r="T608">
            <v>45336</v>
          </cell>
          <cell r="U608" t="str">
            <v>PAGADO</v>
          </cell>
        </row>
        <row r="609">
          <cell r="A609" t="str">
            <v>20231</v>
          </cell>
          <cell r="B609" t="str">
            <v>SERFINANZAS</v>
          </cell>
          <cell r="C609" t="str">
            <v>INVERSIONES RUEDA S.A.S</v>
          </cell>
          <cell r="D609" t="str">
            <v>111000206283</v>
          </cell>
          <cell r="E609">
            <v>44953</v>
          </cell>
          <cell r="F609">
            <v>0</v>
          </cell>
          <cell r="G609">
            <v>12</v>
          </cell>
          <cell r="H609">
            <v>0</v>
          </cell>
          <cell r="I609">
            <v>0</v>
          </cell>
          <cell r="J609">
            <v>0</v>
          </cell>
          <cell r="K609">
            <v>0</v>
          </cell>
          <cell r="L609">
            <v>0</v>
          </cell>
          <cell r="M609">
            <v>1.9741666666666668E-2</v>
          </cell>
          <cell r="N609">
            <v>0</v>
          </cell>
          <cell r="O609">
            <v>-1</v>
          </cell>
          <cell r="P609">
            <v>0</v>
          </cell>
          <cell r="Q609">
            <v>20000000</v>
          </cell>
          <cell r="R609" t="str">
            <v>OK</v>
          </cell>
          <cell r="S609">
            <v>0</v>
          </cell>
          <cell r="T609">
            <v>44953</v>
          </cell>
          <cell r="U609" t="str">
            <v>PAGADO</v>
          </cell>
        </row>
        <row r="610">
          <cell r="A610" t="str">
            <v>20232</v>
          </cell>
          <cell r="B610" t="str">
            <v>SERFINANZAS</v>
          </cell>
          <cell r="C610" t="str">
            <v>INVERSIONES RUEDA S.A.S</v>
          </cell>
          <cell r="D610" t="str">
            <v>111000206283</v>
          </cell>
          <cell r="E610">
            <v>44984</v>
          </cell>
          <cell r="F610">
            <v>1</v>
          </cell>
          <cell r="G610">
            <v>11</v>
          </cell>
          <cell r="H610">
            <v>1493318.05</v>
          </cell>
          <cell r="I610">
            <v>394931.93</v>
          </cell>
          <cell r="J610">
            <v>0</v>
          </cell>
          <cell r="K610">
            <v>0</v>
          </cell>
          <cell r="L610">
            <v>0</v>
          </cell>
          <cell r="M610">
            <v>1.9741666666666668E-2</v>
          </cell>
          <cell r="N610">
            <v>1.9746596499999998E-2</v>
          </cell>
          <cell r="O610">
            <v>2.497171802446907E-4</v>
          </cell>
          <cell r="P610">
            <v>1888249.98</v>
          </cell>
          <cell r="Q610">
            <v>18506681.949999999</v>
          </cell>
          <cell r="R610" t="str">
            <v>OK</v>
          </cell>
          <cell r="S610">
            <v>1927518.82</v>
          </cell>
          <cell r="T610">
            <v>45009</v>
          </cell>
          <cell r="U610" t="str">
            <v>PAGADO</v>
          </cell>
        </row>
        <row r="611">
          <cell r="A611" t="str">
            <v>20233</v>
          </cell>
          <cell r="B611" t="str">
            <v>SERFINANZAS</v>
          </cell>
          <cell r="C611" t="str">
            <v>INVERSIONES RUEDA S.A.S</v>
          </cell>
          <cell r="D611" t="str">
            <v>111000206283</v>
          </cell>
          <cell r="E611">
            <v>45012</v>
          </cell>
          <cell r="F611">
            <v>2</v>
          </cell>
          <cell r="G611">
            <v>10</v>
          </cell>
          <cell r="H611">
            <v>1520620.72</v>
          </cell>
          <cell r="I611">
            <v>370659.8</v>
          </cell>
          <cell r="J611">
            <v>0</v>
          </cell>
          <cell r="K611">
            <v>0</v>
          </cell>
          <cell r="L611">
            <v>0</v>
          </cell>
          <cell r="M611">
            <v>1.9741666666666668E-2</v>
          </cell>
          <cell r="N611">
            <v>2.0028430866290432E-2</v>
          </cell>
          <cell r="O611">
            <v>1.4525835354517458E-2</v>
          </cell>
          <cell r="P611">
            <v>1891280.52</v>
          </cell>
          <cell r="Q611">
            <v>16986061.23</v>
          </cell>
          <cell r="R611" t="str">
            <v>OK</v>
          </cell>
          <cell r="S611">
            <v>1925082.69</v>
          </cell>
          <cell r="T611">
            <v>45033</v>
          </cell>
          <cell r="U611" t="str">
            <v>PAGADO</v>
          </cell>
        </row>
        <row r="612">
          <cell r="A612" t="str">
            <v>20234</v>
          </cell>
          <cell r="B612" t="str">
            <v>SERFINANZAS</v>
          </cell>
          <cell r="C612" t="str">
            <v>INVERSIONES RUEDA S.A.S</v>
          </cell>
          <cell r="D612" t="str">
            <v>111000206283</v>
          </cell>
          <cell r="E612">
            <v>45043</v>
          </cell>
          <cell r="F612">
            <v>3</v>
          </cell>
          <cell r="G612">
            <v>9</v>
          </cell>
          <cell r="H612">
            <v>1557292.69</v>
          </cell>
          <cell r="I612">
            <v>325339.03999999998</v>
          </cell>
          <cell r="J612">
            <v>0</v>
          </cell>
          <cell r="K612">
            <v>0</v>
          </cell>
          <cell r="L612">
            <v>0</v>
          </cell>
          <cell r="M612">
            <v>1.9741666666666668E-2</v>
          </cell>
          <cell r="N612">
            <v>1.9153294904259564E-2</v>
          </cell>
          <cell r="O612">
            <v>-2.9803550649578847E-2</v>
          </cell>
          <cell r="P612">
            <v>1882631.73</v>
          </cell>
          <cell r="Q612">
            <v>15428768.540000001</v>
          </cell>
          <cell r="R612" t="str">
            <v>OK</v>
          </cell>
          <cell r="S612">
            <v>1916653.17</v>
          </cell>
          <cell r="T612">
            <v>45064</v>
          </cell>
          <cell r="U612" t="str">
            <v>PAGADO</v>
          </cell>
        </row>
        <row r="613">
          <cell r="A613" t="str">
            <v>20235</v>
          </cell>
          <cell r="B613" t="str">
            <v>SERFINANZAS</v>
          </cell>
          <cell r="C613" t="str">
            <v>INVERSIONES RUEDA S.A.S</v>
          </cell>
          <cell r="D613" t="str">
            <v>111000206283</v>
          </cell>
          <cell r="E613">
            <v>45073</v>
          </cell>
          <cell r="F613">
            <v>4</v>
          </cell>
          <cell r="G613">
            <v>8</v>
          </cell>
          <cell r="H613">
            <v>1589997.74</v>
          </cell>
          <cell r="I613">
            <v>288607.65000000002</v>
          </cell>
          <cell r="J613">
            <v>0</v>
          </cell>
          <cell r="K613">
            <v>0</v>
          </cell>
          <cell r="L613">
            <v>0</v>
          </cell>
          <cell r="M613">
            <v>1.9741666666666668E-2</v>
          </cell>
          <cell r="N613">
            <v>1.8705812408279215E-2</v>
          </cell>
          <cell r="O613">
            <v>-5.2470456313420955E-2</v>
          </cell>
          <cell r="P613">
            <v>1878605.3900000001</v>
          </cell>
          <cell r="Q613">
            <v>13838770.800000001</v>
          </cell>
          <cell r="R613" t="str">
            <v>OK</v>
          </cell>
          <cell r="S613">
            <v>1906142.17</v>
          </cell>
          <cell r="T613">
            <v>45090</v>
          </cell>
          <cell r="U613" t="str">
            <v>PAGADO</v>
          </cell>
        </row>
        <row r="614">
          <cell r="A614" t="str">
            <v>20236</v>
          </cell>
          <cell r="B614" t="str">
            <v>SERFINANZAS</v>
          </cell>
          <cell r="C614" t="str">
            <v>INVERSIONES RUEDA S.A.S</v>
          </cell>
          <cell r="D614" t="str">
            <v>111000206283</v>
          </cell>
          <cell r="E614">
            <v>45104</v>
          </cell>
          <cell r="F614">
            <v>5</v>
          </cell>
          <cell r="G614">
            <v>7</v>
          </cell>
          <cell r="H614">
            <v>1647811.72</v>
          </cell>
          <cell r="I614">
            <v>234034.7</v>
          </cell>
          <cell r="J614">
            <v>0</v>
          </cell>
          <cell r="K614">
            <v>0</v>
          </cell>
          <cell r="L614">
            <v>0</v>
          </cell>
          <cell r="M614">
            <v>1.9741666666666668E-2</v>
          </cell>
          <cell r="N614">
            <v>1.6911523673764434E-2</v>
          </cell>
          <cell r="O614">
            <v>-0.14335886836144707</v>
          </cell>
          <cell r="P614">
            <v>1881846.42</v>
          </cell>
          <cell r="Q614">
            <v>12190959.08</v>
          </cell>
          <cell r="R614" t="str">
            <v>OK</v>
          </cell>
          <cell r="S614">
            <v>1960000</v>
          </cell>
          <cell r="T614">
            <v>45136</v>
          </cell>
          <cell r="U614" t="str">
            <v>PAGADO</v>
          </cell>
        </row>
        <row r="615">
          <cell r="A615" t="str">
            <v>20237</v>
          </cell>
          <cell r="B615" t="str">
            <v>SERFINANZAS</v>
          </cell>
          <cell r="C615" t="str">
            <v>INVERSIONES RUEDA S.A.S</v>
          </cell>
          <cell r="D615" t="str">
            <v>111000206283</v>
          </cell>
          <cell r="E615">
            <v>45134</v>
          </cell>
          <cell r="F615">
            <v>6</v>
          </cell>
          <cell r="G615">
            <v>6</v>
          </cell>
          <cell r="H615">
            <v>1682629.9816436002</v>
          </cell>
          <cell r="I615">
            <v>241496.74076217492</v>
          </cell>
          <cell r="J615">
            <v>0</v>
          </cell>
          <cell r="K615">
            <v>0</v>
          </cell>
          <cell r="L615">
            <v>0</v>
          </cell>
          <cell r="M615">
            <v>1.9741666666666668E-2</v>
          </cell>
          <cell r="N615">
            <v>1.9809494821319253E-2</v>
          </cell>
          <cell r="O615">
            <v>3.4357866434402418E-3</v>
          </cell>
          <cell r="P615">
            <v>1924126.722405775</v>
          </cell>
          <cell r="Q615">
            <v>10508329.0983564</v>
          </cell>
          <cell r="R615" t="str">
            <v>OK</v>
          </cell>
          <cell r="S615">
            <v>1903848.08</v>
          </cell>
          <cell r="T615">
            <v>45163</v>
          </cell>
          <cell r="U615" t="str">
            <v>PAGADO</v>
          </cell>
        </row>
        <row r="616">
          <cell r="A616" t="str">
            <v>20238</v>
          </cell>
          <cell r="B616" t="str">
            <v>SERFINANZAS</v>
          </cell>
          <cell r="C616" t="str">
            <v>INVERSIONES RUEDA S.A.S</v>
          </cell>
          <cell r="D616" t="str">
            <v>111000206283</v>
          </cell>
          <cell r="E616">
            <v>45165</v>
          </cell>
          <cell r="F616">
            <v>7</v>
          </cell>
          <cell r="G616">
            <v>5</v>
          </cell>
          <cell r="H616">
            <v>1677951.9</v>
          </cell>
          <cell r="I616">
            <v>206042.2</v>
          </cell>
          <cell r="J616">
            <v>0</v>
          </cell>
          <cell r="K616">
            <v>0</v>
          </cell>
          <cell r="L616">
            <v>20278.64240577491</v>
          </cell>
          <cell r="M616">
            <v>1.9741666666666668E-2</v>
          </cell>
          <cell r="N616">
            <v>1.9607513056688234E-2</v>
          </cell>
          <cell r="O616">
            <v>-6.7954551276538933E-3</v>
          </cell>
          <cell r="P616">
            <v>1904272.7424057748</v>
          </cell>
          <cell r="Q616">
            <v>8830377.1983563993</v>
          </cell>
          <cell r="R616" t="str">
            <v>OK</v>
          </cell>
          <cell r="S616">
            <v>1926487.42</v>
          </cell>
          <cell r="T616">
            <v>45191</v>
          </cell>
          <cell r="U616" t="str">
            <v>PAGADO</v>
          </cell>
        </row>
        <row r="617">
          <cell r="A617" t="str">
            <v>20239</v>
          </cell>
          <cell r="B617" t="str">
            <v>SERFINANZAS</v>
          </cell>
          <cell r="C617" t="str">
            <v>INVERSIONES RUEDA S.A.S</v>
          </cell>
          <cell r="D617" t="str">
            <v>111000206283</v>
          </cell>
          <cell r="E617">
            <v>45196</v>
          </cell>
          <cell r="F617">
            <v>8</v>
          </cell>
          <cell r="G617">
            <v>4</v>
          </cell>
          <cell r="H617">
            <v>1709851.03</v>
          </cell>
          <cell r="I617">
            <v>175432.44</v>
          </cell>
          <cell r="J617">
            <v>0</v>
          </cell>
          <cell r="K617">
            <v>0</v>
          </cell>
          <cell r="L617">
            <v>0</v>
          </cell>
          <cell r="M617">
            <v>1.9741666666666668E-2</v>
          </cell>
          <cell r="N617">
            <v>1.9866924827701957E-2</v>
          </cell>
          <cell r="O617">
            <v>6.3448625260593694E-3</v>
          </cell>
          <cell r="P617">
            <v>1885283.47</v>
          </cell>
          <cell r="Q617">
            <v>7120526.1683563991</v>
          </cell>
          <cell r="R617" t="str">
            <v>OK</v>
          </cell>
          <cell r="S617">
            <v>1931611.17</v>
          </cell>
          <cell r="T617">
            <v>45225</v>
          </cell>
          <cell r="U617" t="str">
            <v>PAGADO</v>
          </cell>
        </row>
        <row r="618">
          <cell r="A618" t="str">
            <v>202310</v>
          </cell>
          <cell r="B618" t="str">
            <v>SERFINANZAS</v>
          </cell>
          <cell r="C618" t="str">
            <v>INVERSIONES RUEDA S.A.S</v>
          </cell>
          <cell r="D618" t="str">
            <v>111000206283</v>
          </cell>
          <cell r="E618">
            <v>45226</v>
          </cell>
          <cell r="F618">
            <v>9</v>
          </cell>
          <cell r="G618">
            <v>3</v>
          </cell>
          <cell r="H618">
            <v>1745980.1822639003</v>
          </cell>
          <cell r="I618">
            <v>142309.45357342152</v>
          </cell>
          <cell r="J618">
            <v>0</v>
          </cell>
          <cell r="K618">
            <v>0</v>
          </cell>
          <cell r="L618">
            <v>0</v>
          </cell>
          <cell r="M618">
            <v>1.9741666666666668E-2</v>
          </cell>
          <cell r="N618">
            <v>1.9985805853202868E-2</v>
          </cell>
          <cell r="O618">
            <v>1.2366695814412854E-2</v>
          </cell>
          <cell r="P618">
            <v>1888289.6358373219</v>
          </cell>
          <cell r="Q618">
            <v>5374545.9860924985</v>
          </cell>
          <cell r="R618" t="str">
            <v>OK</v>
          </cell>
          <cell r="S618">
            <v>1950000</v>
          </cell>
          <cell r="T618">
            <v>45258</v>
          </cell>
          <cell r="U618" t="str">
            <v>PAGADO</v>
          </cell>
        </row>
        <row r="619">
          <cell r="A619" t="str">
            <v>202311</v>
          </cell>
          <cell r="B619" t="str">
            <v>SERFINANZAS</v>
          </cell>
          <cell r="C619" t="str">
            <v>INVERSIONES RUEDA S.A.S</v>
          </cell>
          <cell r="D619" t="str">
            <v>111000206283</v>
          </cell>
          <cell r="E619">
            <v>45257</v>
          </cell>
          <cell r="F619">
            <v>10</v>
          </cell>
          <cell r="G619">
            <v>2</v>
          </cell>
          <cell r="H619">
            <v>1782872.7435151367</v>
          </cell>
          <cell r="I619">
            <v>107840.06842316547</v>
          </cell>
          <cell r="J619">
            <v>0</v>
          </cell>
          <cell r="K619">
            <v>0</v>
          </cell>
          <cell r="L619">
            <v>0</v>
          </cell>
          <cell r="M619">
            <v>1.9741666666666668E-2</v>
          </cell>
          <cell r="N619">
            <v>2.006496338522714E-2</v>
          </cell>
          <cell r="O619">
            <v>1.6376363962539831E-2</v>
          </cell>
          <cell r="P619">
            <v>1890712.8119383021</v>
          </cell>
          <cell r="Q619">
            <v>3591673.2425773619</v>
          </cell>
          <cell r="R619" t="str">
            <v>OK</v>
          </cell>
          <cell r="S619">
            <v>1911304.83</v>
          </cell>
          <cell r="T619">
            <v>45286</v>
          </cell>
          <cell r="U619" t="str">
            <v>PAGADO</v>
          </cell>
        </row>
        <row r="620">
          <cell r="A620" t="str">
            <v>202312</v>
          </cell>
          <cell r="B620" t="str">
            <v>SERFINANZAS</v>
          </cell>
          <cell r="C620" t="str">
            <v>INVERSIONES RUEDA S.A.S</v>
          </cell>
          <cell r="D620" t="str">
            <v>111000206283</v>
          </cell>
          <cell r="E620">
            <v>45287</v>
          </cell>
          <cell r="F620">
            <v>11</v>
          </cell>
          <cell r="G620">
            <v>1</v>
          </cell>
          <cell r="H620">
            <v>1820544.8445856117</v>
          </cell>
          <cell r="I620">
            <v>72642.345164684535</v>
          </cell>
          <cell r="J620">
            <v>0</v>
          </cell>
          <cell r="K620">
            <v>0</v>
          </cell>
          <cell r="L620">
            <v>0</v>
          </cell>
          <cell r="M620">
            <v>1.9741666666666668E-2</v>
          </cell>
          <cell r="N620">
            <v>2.022520988366883E-2</v>
          </cell>
          <cell r="O620">
            <v>2.4493535686052947E-2</v>
          </cell>
          <cell r="P620">
            <v>1893187.1897502963</v>
          </cell>
          <cell r="Q620">
            <v>1771128.3979917502</v>
          </cell>
          <cell r="R620" t="str">
            <v>OK</v>
          </cell>
          <cell r="S620">
            <v>1927679.88</v>
          </cell>
          <cell r="T620">
            <v>45317</v>
          </cell>
          <cell r="U620" t="str">
            <v>PAGADO</v>
          </cell>
        </row>
        <row r="621">
          <cell r="A621" t="str">
            <v>20241</v>
          </cell>
          <cell r="B621" t="str">
            <v>SERFINANZAS</v>
          </cell>
          <cell r="C621" t="str">
            <v>INVERSIONES RUEDA S.A.S</v>
          </cell>
          <cell r="D621" t="str">
            <v>111000206283</v>
          </cell>
          <cell r="E621">
            <v>45318</v>
          </cell>
          <cell r="F621">
            <v>12</v>
          </cell>
          <cell r="G621">
            <v>0</v>
          </cell>
          <cell r="H621">
            <v>1859012.9571517059</v>
          </cell>
          <cell r="I621">
            <v>36700.894013751895</v>
          </cell>
          <cell r="J621">
            <v>0</v>
          </cell>
          <cell r="K621">
            <v>0</v>
          </cell>
          <cell r="L621">
            <v>0</v>
          </cell>
          <cell r="M621">
            <v>1.9741666666666668E-2</v>
          </cell>
          <cell r="N621">
            <v>2.0721757979470241E-2</v>
          </cell>
          <cell r="O621">
            <v>4.9645824202798172E-2</v>
          </cell>
          <cell r="P621">
            <v>1895713.8511654579</v>
          </cell>
          <cell r="Q621">
            <v>-87884.559159955708</v>
          </cell>
          <cell r="R621" t="str">
            <v>OK</v>
          </cell>
          <cell r="S621">
            <v>1909520.32</v>
          </cell>
          <cell r="T621">
            <v>45336</v>
          </cell>
          <cell r="U621" t="str">
            <v>PAGADO</v>
          </cell>
        </row>
        <row r="622">
          <cell r="A622" t="str">
            <v>202210</v>
          </cell>
          <cell r="B622" t="str">
            <v>SERFINANZAS</v>
          </cell>
          <cell r="C622" t="str">
            <v>GLADYS JEANNETH CORREA RUEDA</v>
          </cell>
          <cell r="D622" t="str">
            <v>121000638199</v>
          </cell>
          <cell r="E622">
            <v>44844</v>
          </cell>
          <cell r="F622">
            <v>7</v>
          </cell>
          <cell r="G622">
            <v>53</v>
          </cell>
          <cell r="H622">
            <v>302081.05</v>
          </cell>
          <cell r="I622">
            <v>538677.55000000005</v>
          </cell>
          <cell r="J622">
            <v>0</v>
          </cell>
          <cell r="K622">
            <v>18888.099999999999</v>
          </cell>
          <cell r="L622">
            <v>0</v>
          </cell>
          <cell r="M622">
            <v>1.89E-2</v>
          </cell>
          <cell r="N622">
            <v>1.8934499831961174E-2</v>
          </cell>
          <cell r="O622">
            <v>1.8253879344536372E-3</v>
          </cell>
          <cell r="P622">
            <v>859646.70000000007</v>
          </cell>
          <cell r="Q622">
            <v>28147445.199999999</v>
          </cell>
          <cell r="R622" t="str">
            <v>OK</v>
          </cell>
          <cell r="S622">
            <v>877606.38</v>
          </cell>
          <cell r="T622">
            <v>44858</v>
          </cell>
          <cell r="U622" t="str">
            <v>PAGADO</v>
          </cell>
        </row>
        <row r="623">
          <cell r="A623" t="str">
            <v>202211</v>
          </cell>
          <cell r="B623" t="str">
            <v>SERFINANZAS</v>
          </cell>
          <cell r="C623" t="str">
            <v>GLADYS JEANNETH CORREA RUEDA</v>
          </cell>
          <cell r="D623" t="str">
            <v>121000638199</v>
          </cell>
          <cell r="E623">
            <v>44875</v>
          </cell>
          <cell r="F623">
            <v>8</v>
          </cell>
          <cell r="G623">
            <v>52</v>
          </cell>
          <cell r="H623">
            <v>306562</v>
          </cell>
          <cell r="I623">
            <v>536849.80000000005</v>
          </cell>
          <cell r="J623">
            <v>0</v>
          </cell>
          <cell r="K623">
            <v>18685.400000000001</v>
          </cell>
          <cell r="L623">
            <v>0</v>
          </cell>
          <cell r="M623">
            <v>1.89E-2</v>
          </cell>
          <cell r="N623">
            <v>1.9072771833658284E-2</v>
          </cell>
          <cell r="O623">
            <v>9.1413668602267073E-3</v>
          </cell>
          <cell r="P623">
            <v>862097.20000000007</v>
          </cell>
          <cell r="Q623">
            <v>27840883.199999999</v>
          </cell>
          <cell r="R623" t="str">
            <v>OK</v>
          </cell>
          <cell r="S623">
            <v>880344.83</v>
          </cell>
          <cell r="T623">
            <v>44889</v>
          </cell>
          <cell r="U623" t="str">
            <v>PAGADO</v>
          </cell>
        </row>
        <row r="624">
          <cell r="A624" t="str">
            <v>202212</v>
          </cell>
          <cell r="B624" t="str">
            <v>SERFINANZAS</v>
          </cell>
          <cell r="C624" t="str">
            <v>GLADYS JEANNETH CORREA RUEDA</v>
          </cell>
          <cell r="D624" t="str">
            <v>121000638199</v>
          </cell>
          <cell r="E624">
            <v>44905</v>
          </cell>
          <cell r="F624">
            <v>9</v>
          </cell>
          <cell r="G624">
            <v>51</v>
          </cell>
          <cell r="H624">
            <v>307108.37</v>
          </cell>
          <cell r="I624">
            <v>547257.61</v>
          </cell>
          <cell r="J624">
            <v>0</v>
          </cell>
          <cell r="K624">
            <v>18479.7</v>
          </cell>
          <cell r="L624">
            <v>0</v>
          </cell>
          <cell r="M624">
            <v>1.89E-2</v>
          </cell>
          <cell r="N624">
            <v>1.9656618149240322E-2</v>
          </cell>
          <cell r="O624">
            <v>4.003270630901179E-2</v>
          </cell>
          <cell r="P624">
            <v>872845.67999999993</v>
          </cell>
          <cell r="Q624">
            <v>27533774.829999998</v>
          </cell>
          <cell r="R624" t="str">
            <v>OK</v>
          </cell>
          <cell r="S624">
            <v>890665.17</v>
          </cell>
          <cell r="T624">
            <v>44916</v>
          </cell>
          <cell r="U624" t="str">
            <v>PAGADO</v>
          </cell>
        </row>
        <row r="625">
          <cell r="A625" t="str">
            <v>20231</v>
          </cell>
          <cell r="B625" t="str">
            <v>SERFINANZAS</v>
          </cell>
          <cell r="C625" t="str">
            <v>GLADYS JEANNETH CORREA RUEDA</v>
          </cell>
          <cell r="D625" t="str">
            <v>121000638199</v>
          </cell>
          <cell r="E625">
            <v>44936</v>
          </cell>
          <cell r="F625">
            <v>10</v>
          </cell>
          <cell r="G625">
            <v>50</v>
          </cell>
          <cell r="H625">
            <v>306731.73</v>
          </cell>
          <cell r="I625">
            <v>560999.68000000005</v>
          </cell>
          <cell r="J625">
            <v>0</v>
          </cell>
          <cell r="K625">
            <v>18273.63</v>
          </cell>
          <cell r="L625">
            <v>0</v>
          </cell>
          <cell r="M625">
            <v>1.89E-2</v>
          </cell>
          <cell r="N625">
            <v>2.0374964328855889E-2</v>
          </cell>
          <cell r="O625">
            <v>7.8040440680205769E-2</v>
          </cell>
          <cell r="P625">
            <v>886005.04</v>
          </cell>
          <cell r="Q625">
            <v>27227043.099999998</v>
          </cell>
          <cell r="R625" t="str">
            <v>OK</v>
          </cell>
          <cell r="S625">
            <v>904575.95</v>
          </cell>
          <cell r="T625">
            <v>44949</v>
          </cell>
          <cell r="U625" t="str">
            <v>PAGADO</v>
          </cell>
        </row>
        <row r="626">
          <cell r="A626" t="str">
            <v>20232</v>
          </cell>
          <cell r="B626" t="str">
            <v>SERFINANZAS</v>
          </cell>
          <cell r="C626" t="str">
            <v>GLADYS JEANNETH CORREA RUEDA</v>
          </cell>
          <cell r="D626" t="str">
            <v>121000638199</v>
          </cell>
          <cell r="E626">
            <v>44967</v>
          </cell>
          <cell r="F626">
            <v>11</v>
          </cell>
          <cell r="G626">
            <v>49</v>
          </cell>
          <cell r="H626">
            <v>308693.75</v>
          </cell>
          <cell r="I626">
            <v>568092.92000000004</v>
          </cell>
          <cell r="J626">
            <v>0</v>
          </cell>
          <cell r="K626">
            <v>18067.810000000001</v>
          </cell>
          <cell r="L626">
            <v>0</v>
          </cell>
          <cell r="M626">
            <v>1.89E-2</v>
          </cell>
          <cell r="N626">
            <v>2.0865024450635261E-2</v>
          </cell>
          <cell r="O626">
            <v>0.1039695476526592</v>
          </cell>
          <cell r="P626">
            <v>894854.4800000001</v>
          </cell>
          <cell r="Q626">
            <v>26918349.349999998</v>
          </cell>
          <cell r="R626" t="str">
            <v>OK</v>
          </cell>
          <cell r="S626">
            <v>918500</v>
          </cell>
          <cell r="T626">
            <v>44995</v>
          </cell>
          <cell r="U626" t="str">
            <v>PAGADO</v>
          </cell>
        </row>
        <row r="627">
          <cell r="A627" t="str">
            <v>20233</v>
          </cell>
          <cell r="B627" t="str">
            <v>SERFINANZAS</v>
          </cell>
          <cell r="C627" t="str">
            <v>GLADYS JEANNETH CORREA RUEDA</v>
          </cell>
          <cell r="D627" t="str">
            <v>121000638199</v>
          </cell>
          <cell r="E627">
            <v>44995</v>
          </cell>
          <cell r="F627">
            <v>12</v>
          </cell>
          <cell r="G627">
            <v>48</v>
          </cell>
          <cell r="H627">
            <v>314517.83</v>
          </cell>
          <cell r="I627">
            <v>563694.88</v>
          </cell>
          <cell r="J627">
            <v>0</v>
          </cell>
          <cell r="K627">
            <v>17860.830000000002</v>
          </cell>
          <cell r="L627">
            <v>0</v>
          </cell>
          <cell r="M627">
            <v>1.89E-2</v>
          </cell>
          <cell r="N627">
            <v>2.0940915532029085E-2</v>
          </cell>
          <cell r="O627">
            <v>0.10798494878460763</v>
          </cell>
          <cell r="P627">
            <v>896073.53999999992</v>
          </cell>
          <cell r="Q627">
            <v>26603831.52</v>
          </cell>
          <cell r="R627" t="str">
            <v>OK</v>
          </cell>
          <cell r="S627">
            <v>929390.14</v>
          </cell>
          <cell r="T627">
            <v>45009</v>
          </cell>
          <cell r="U627" t="str">
            <v>PAGADO</v>
          </cell>
        </row>
        <row r="628">
          <cell r="A628" t="str">
            <v>20234</v>
          </cell>
          <cell r="B628" t="str">
            <v>SERFINANZAS</v>
          </cell>
          <cell r="C628" t="str">
            <v>GLADYS JEANNETH CORREA RUEDA</v>
          </cell>
          <cell r="D628" t="str">
            <v>121000638199</v>
          </cell>
          <cell r="E628">
            <v>45026</v>
          </cell>
          <cell r="F628">
            <v>13</v>
          </cell>
          <cell r="G628">
            <v>47</v>
          </cell>
          <cell r="H628">
            <v>318053.74</v>
          </cell>
          <cell r="I628">
            <v>566589.31999999995</v>
          </cell>
          <cell r="J628">
            <v>0</v>
          </cell>
          <cell r="K628">
            <v>31564.18</v>
          </cell>
          <cell r="L628">
            <v>0</v>
          </cell>
          <cell r="M628">
            <v>1.89E-2</v>
          </cell>
          <cell r="N628">
            <v>2.1297282670507605E-2</v>
          </cell>
          <cell r="O628">
            <v>0.12684035293691021</v>
          </cell>
          <cell r="P628">
            <v>916207.24</v>
          </cell>
          <cell r="Q628">
            <v>26285777.780000001</v>
          </cell>
          <cell r="R628" t="str">
            <v>OK</v>
          </cell>
          <cell r="S628">
            <v>937288.28</v>
          </cell>
          <cell r="T628">
            <v>45045</v>
          </cell>
          <cell r="U628" t="str">
            <v>PAGADO</v>
          </cell>
        </row>
        <row r="629">
          <cell r="A629" t="str">
            <v>20235</v>
          </cell>
          <cell r="B629" t="str">
            <v>SERFINANZAS</v>
          </cell>
          <cell r="C629" t="str">
            <v>GLADYS JEANNETH CORREA RUEDA</v>
          </cell>
          <cell r="D629" t="str">
            <v>121000638199</v>
          </cell>
          <cell r="E629">
            <v>45056</v>
          </cell>
          <cell r="F629">
            <v>14</v>
          </cell>
          <cell r="G629">
            <v>46</v>
          </cell>
          <cell r="H629">
            <v>337287.21</v>
          </cell>
          <cell r="I629">
            <v>522626.44</v>
          </cell>
          <cell r="J629">
            <v>0</v>
          </cell>
          <cell r="K629">
            <v>31182.52</v>
          </cell>
          <cell r="L629">
            <v>0</v>
          </cell>
          <cell r="M629">
            <v>1.89E-2</v>
          </cell>
          <cell r="N629">
            <v>1.9882479581701765E-2</v>
          </cell>
          <cell r="O629">
            <v>5.1983046650887044E-2</v>
          </cell>
          <cell r="P629">
            <v>891096.17</v>
          </cell>
          <cell r="Q629">
            <v>25948490.57</v>
          </cell>
          <cell r="R629" t="str">
            <v>OK</v>
          </cell>
          <cell r="S629">
            <v>910762.93</v>
          </cell>
          <cell r="T629">
            <v>45066</v>
          </cell>
          <cell r="U629" t="str">
            <v>PAGADO</v>
          </cell>
        </row>
        <row r="630">
          <cell r="A630" t="str">
            <v>20236</v>
          </cell>
          <cell r="B630" t="str">
            <v>SERFINANZAS</v>
          </cell>
          <cell r="C630" t="str">
            <v>GLADYS JEANNETH CORREA RUEDA</v>
          </cell>
          <cell r="D630" t="str">
            <v>121000638199</v>
          </cell>
          <cell r="E630">
            <v>45087</v>
          </cell>
          <cell r="F630">
            <v>15</v>
          </cell>
          <cell r="G630">
            <v>45</v>
          </cell>
          <cell r="H630">
            <v>343368.3</v>
          </cell>
          <cell r="I630">
            <v>517902.22</v>
          </cell>
          <cell r="J630">
            <v>0</v>
          </cell>
          <cell r="K630">
            <v>30777.77</v>
          </cell>
          <cell r="L630">
            <v>0</v>
          </cell>
          <cell r="M630">
            <v>1.89E-2</v>
          </cell>
          <cell r="N630">
            <v>1.9958857283157952E-2</v>
          </cell>
          <cell r="O630">
            <v>5.6024194876082012E-2</v>
          </cell>
          <cell r="P630">
            <v>892048.29</v>
          </cell>
          <cell r="Q630">
            <v>25605122.27</v>
          </cell>
          <cell r="R630" t="str">
            <v>OK</v>
          </cell>
          <cell r="S630">
            <v>917169.04</v>
          </cell>
          <cell r="T630">
            <v>45114</v>
          </cell>
          <cell r="U630" t="str">
            <v>PAGADO</v>
          </cell>
        </row>
        <row r="631">
          <cell r="A631" t="str">
            <v>20237</v>
          </cell>
          <cell r="B631" t="str">
            <v>SERFINANZAS</v>
          </cell>
          <cell r="C631" t="str">
            <v>GLADYS JEANNETH CORREA RUEDA</v>
          </cell>
          <cell r="D631" t="str">
            <v>121000638199</v>
          </cell>
          <cell r="E631">
            <v>45117</v>
          </cell>
          <cell r="F631">
            <v>16</v>
          </cell>
          <cell r="G631">
            <v>44</v>
          </cell>
          <cell r="H631">
            <v>348157.73</v>
          </cell>
          <cell r="I631">
            <v>517222.49</v>
          </cell>
          <cell r="J631">
            <v>0</v>
          </cell>
          <cell r="K631">
            <v>30365.73</v>
          </cell>
          <cell r="L631">
            <v>0</v>
          </cell>
          <cell r="M631">
            <v>1.89E-2</v>
          </cell>
          <cell r="N631">
            <v>2.0199961732110097E-2</v>
          </cell>
          <cell r="O631">
            <v>6.8781044026989369E-2</v>
          </cell>
          <cell r="P631">
            <v>895745.95</v>
          </cell>
          <cell r="Q631">
            <v>25256964.539999999</v>
          </cell>
          <cell r="R631" t="str">
            <v>OK</v>
          </cell>
          <cell r="S631">
            <v>871268.79</v>
          </cell>
          <cell r="T631">
            <v>45150</v>
          </cell>
          <cell r="U631" t="str">
            <v>PAGADO</v>
          </cell>
        </row>
        <row r="632">
          <cell r="A632" t="str">
            <v>20238</v>
          </cell>
          <cell r="B632" t="str">
            <v>SERFINANZAS</v>
          </cell>
          <cell r="C632" t="str">
            <v>GLADYS JEANNETH CORREA RUEDA</v>
          </cell>
          <cell r="D632" t="str">
            <v>121000638199</v>
          </cell>
          <cell r="E632">
            <v>45148</v>
          </cell>
          <cell r="F632">
            <v>17</v>
          </cell>
          <cell r="G632">
            <v>43</v>
          </cell>
          <cell r="H632">
            <v>352190.41</v>
          </cell>
          <cell r="I632">
            <v>519078.38</v>
          </cell>
          <cell r="J632">
            <v>0</v>
          </cell>
          <cell r="K632">
            <v>29947.94</v>
          </cell>
          <cell r="L632">
            <v>24477.159999999916</v>
          </cell>
          <cell r="M632">
            <v>1.89E-2</v>
          </cell>
          <cell r="N632">
            <v>2.0551890912224403E-2</v>
          </cell>
          <cell r="O632">
            <v>8.7401635567428748E-2</v>
          </cell>
          <cell r="P632">
            <v>925693.8899999999</v>
          </cell>
          <cell r="Q632">
            <v>24904774.129999999</v>
          </cell>
          <cell r="R632" t="str">
            <v>OK</v>
          </cell>
          <cell r="S632">
            <v>927509.6</v>
          </cell>
          <cell r="T632">
            <v>45175</v>
          </cell>
          <cell r="U632" t="str">
            <v>PAGADO</v>
          </cell>
        </row>
        <row r="633">
          <cell r="A633" t="str">
            <v>20239</v>
          </cell>
          <cell r="B633" t="str">
            <v>SERFINANZAS</v>
          </cell>
          <cell r="C633" t="str">
            <v>GLADYS JEANNETH CORREA RUEDA</v>
          </cell>
          <cell r="D633" t="str">
            <v>121000638199</v>
          </cell>
          <cell r="E633">
            <v>45179</v>
          </cell>
          <cell r="F633">
            <v>18</v>
          </cell>
          <cell r="G633">
            <v>42</v>
          </cell>
          <cell r="H633">
            <v>359064.33</v>
          </cell>
          <cell r="I633">
            <v>513060.61</v>
          </cell>
          <cell r="J633">
            <v>0</v>
          </cell>
          <cell r="K633">
            <v>29525.31</v>
          </cell>
          <cell r="L633">
            <v>0</v>
          </cell>
          <cell r="M633">
            <v>1.89E-2</v>
          </cell>
          <cell r="N633">
            <v>2.0600893921859473E-2</v>
          </cell>
          <cell r="O633">
            <v>8.9994387399972009E-2</v>
          </cell>
          <cell r="P633">
            <v>901650.25</v>
          </cell>
          <cell r="Q633">
            <v>24545709.800000001</v>
          </cell>
          <cell r="R633" t="str">
            <v>OK</v>
          </cell>
          <cell r="S633">
            <v>928407</v>
          </cell>
          <cell r="T633">
            <v>45208</v>
          </cell>
          <cell r="U633" t="str">
            <v>PAGADO</v>
          </cell>
        </row>
        <row r="634">
          <cell r="A634" t="str">
            <v>202310</v>
          </cell>
          <cell r="B634" t="str">
            <v>SERFINANZAS</v>
          </cell>
          <cell r="C634" t="str">
            <v>GLADYS JEANNETH CORREA RUEDA</v>
          </cell>
          <cell r="D634" t="str">
            <v>121000638199</v>
          </cell>
          <cell r="E634">
            <v>45209</v>
          </cell>
          <cell r="F634">
            <v>19</v>
          </cell>
          <cell r="G634">
            <v>41</v>
          </cell>
          <cell r="H634">
            <v>410927.53725088149</v>
          </cell>
          <cell r="I634">
            <v>463913.91522000002</v>
          </cell>
          <cell r="J634">
            <v>0</v>
          </cell>
          <cell r="K634">
            <v>0</v>
          </cell>
          <cell r="L634">
            <v>0</v>
          </cell>
          <cell r="M634">
            <v>1.89E-2</v>
          </cell>
          <cell r="N634">
            <v>1.89E-2</v>
          </cell>
          <cell r="O634">
            <v>0</v>
          </cell>
          <cell r="P634">
            <v>874841.45247088152</v>
          </cell>
          <cell r="Q634">
            <v>24134782.262749121</v>
          </cell>
          <cell r="R634" t="str">
            <v>OK</v>
          </cell>
          <cell r="S634">
            <v>931384.34</v>
          </cell>
          <cell r="T634">
            <v>45239</v>
          </cell>
          <cell r="U634" t="str">
            <v>PAGADO</v>
          </cell>
        </row>
        <row r="635">
          <cell r="A635" t="str">
            <v>202311</v>
          </cell>
          <cell r="B635" t="str">
            <v>SERFINANZAS</v>
          </cell>
          <cell r="C635" t="str">
            <v>GLADYS JEANNETH CORREA RUEDA</v>
          </cell>
          <cell r="D635" t="str">
            <v>121000638199</v>
          </cell>
          <cell r="E635">
            <v>45240</v>
          </cell>
          <cell r="F635">
            <v>20</v>
          </cell>
          <cell r="G635">
            <v>40</v>
          </cell>
          <cell r="H635">
            <v>417522.92422375811</v>
          </cell>
          <cell r="I635">
            <v>456147.38476595836</v>
          </cell>
          <cell r="J635">
            <v>0</v>
          </cell>
          <cell r="K635">
            <v>0</v>
          </cell>
          <cell r="L635">
            <v>0</v>
          </cell>
          <cell r="M635">
            <v>1.89E-2</v>
          </cell>
          <cell r="N635">
            <v>1.89E-2</v>
          </cell>
          <cell r="O635">
            <v>0</v>
          </cell>
          <cell r="P635">
            <v>873670.30898971646</v>
          </cell>
          <cell r="Q635">
            <v>23717259.338525362</v>
          </cell>
          <cell r="R635" t="str">
            <v>OK</v>
          </cell>
          <cell r="S635">
            <v>1000000</v>
          </cell>
          <cell r="T635">
            <v>45271</v>
          </cell>
          <cell r="U635" t="str">
            <v>PAGADO</v>
          </cell>
        </row>
        <row r="636">
          <cell r="A636" t="str">
            <v>202312</v>
          </cell>
          <cell r="B636" t="str">
            <v>SERFINANZAS</v>
          </cell>
          <cell r="C636" t="str">
            <v>GLADYS JEANNETH CORREA RUEDA</v>
          </cell>
          <cell r="D636" t="str">
            <v>121000638199</v>
          </cell>
          <cell r="E636">
            <v>45270</v>
          </cell>
          <cell r="F636">
            <v>21</v>
          </cell>
          <cell r="G636">
            <v>39</v>
          </cell>
          <cell r="H636">
            <v>424224.16715754935</v>
          </cell>
          <cell r="I636">
            <v>448256.20149812935</v>
          </cell>
          <cell r="J636">
            <v>0</v>
          </cell>
          <cell r="K636">
            <v>0</v>
          </cell>
          <cell r="L636">
            <v>0</v>
          </cell>
          <cell r="M636">
            <v>1.89E-2</v>
          </cell>
          <cell r="N636">
            <v>1.89E-2</v>
          </cell>
          <cell r="O636">
            <v>0</v>
          </cell>
          <cell r="P636">
            <v>872480.3686556787</v>
          </cell>
          <cell r="Q636">
            <v>23293035.171367813</v>
          </cell>
          <cell r="R636" t="str">
            <v>OK</v>
          </cell>
          <cell r="S636">
            <v>829310.48</v>
          </cell>
          <cell r="T636">
            <v>45301</v>
          </cell>
          <cell r="U636" t="str">
            <v>PAGADO</v>
          </cell>
        </row>
        <row r="637">
          <cell r="A637" t="str">
            <v>20241</v>
          </cell>
          <cell r="B637" t="str">
            <v>SERFINANZAS</v>
          </cell>
          <cell r="C637" t="str">
            <v>GLADYS JEANNETH CORREA RUEDA</v>
          </cell>
          <cell r="D637" t="str">
            <v>121000638199</v>
          </cell>
          <cell r="E637">
            <v>45301</v>
          </cell>
          <cell r="F637">
            <v>22</v>
          </cell>
          <cell r="G637">
            <v>38</v>
          </cell>
          <cell r="H637">
            <v>431032.96504042798</v>
          </cell>
          <cell r="I637">
            <v>440238.36473885167</v>
          </cell>
          <cell r="J637">
            <v>0</v>
          </cell>
          <cell r="K637">
            <v>0</v>
          </cell>
          <cell r="L637">
            <v>43169.888655678718</v>
          </cell>
          <cell r="M637">
            <v>1.89E-2</v>
          </cell>
          <cell r="N637">
            <v>1.89E-2</v>
          </cell>
          <cell r="O637">
            <v>0</v>
          </cell>
          <cell r="P637">
            <v>914441.21843495837</v>
          </cell>
          <cell r="Q637">
            <v>22862002.206327386</v>
          </cell>
          <cell r="R637" t="str">
            <v>OK</v>
          </cell>
          <cell r="S637">
            <v>1000000</v>
          </cell>
          <cell r="T637">
            <v>45332</v>
          </cell>
          <cell r="U637" t="str">
            <v>PAGADO</v>
          </cell>
        </row>
        <row r="638">
          <cell r="A638" t="str">
            <v>20242</v>
          </cell>
          <cell r="B638" t="str">
            <v>SERFINANZAS</v>
          </cell>
          <cell r="C638" t="str">
            <v>GLADYS JEANNETH CORREA RUEDA</v>
          </cell>
          <cell r="D638" t="str">
            <v>121000638199</v>
          </cell>
          <cell r="E638">
            <v>45332</v>
          </cell>
          <cell r="F638">
            <v>23</v>
          </cell>
          <cell r="G638">
            <v>37</v>
          </cell>
          <cell r="H638">
            <v>437951.04412932682</v>
          </cell>
          <cell r="I638">
            <v>432091.84169958759</v>
          </cell>
          <cell r="J638">
            <v>0</v>
          </cell>
          <cell r="K638">
            <v>0</v>
          </cell>
          <cell r="L638">
            <v>0</v>
          </cell>
          <cell r="M638">
            <v>1.89E-2</v>
          </cell>
          <cell r="N638">
            <v>1.89E-2</v>
          </cell>
          <cell r="O638">
            <v>0</v>
          </cell>
          <cell r="P638">
            <v>870042.88582891435</v>
          </cell>
          <cell r="Q638">
            <v>22424051.162198059</v>
          </cell>
          <cell r="R638" t="str">
            <v>OK</v>
          </cell>
          <cell r="S638">
            <v>851966</v>
          </cell>
          <cell r="T638">
            <v>45359</v>
          </cell>
          <cell r="U638" t="str">
            <v>PAGADO</v>
          </cell>
        </row>
        <row r="639">
          <cell r="A639" t="str">
            <v>20243</v>
          </cell>
          <cell r="B639" t="str">
            <v>SERFINANZAS</v>
          </cell>
          <cell r="C639" t="str">
            <v>GLADYS JEANNETH CORREA RUEDA</v>
          </cell>
          <cell r="D639" t="str">
            <v>121000638199</v>
          </cell>
          <cell r="E639">
            <v>45361</v>
          </cell>
          <cell r="F639">
            <v>24</v>
          </cell>
          <cell r="G639">
            <v>36</v>
          </cell>
          <cell r="H639">
            <v>444980.15838760248</v>
          </cell>
          <cell r="I639">
            <v>423814.56696554332</v>
          </cell>
          <cell r="J639">
            <v>0</v>
          </cell>
          <cell r="K639">
            <v>0</v>
          </cell>
          <cell r="L639">
            <v>18076.885828914354</v>
          </cell>
          <cell r="M639">
            <v>1.89E-2</v>
          </cell>
          <cell r="N639">
            <v>1.89E-2</v>
          </cell>
          <cell r="O639">
            <v>0</v>
          </cell>
          <cell r="P639">
            <v>886871.61118206009</v>
          </cell>
          <cell r="Q639">
            <v>21979071.003810458</v>
          </cell>
          <cell r="R639" t="str">
            <v>OK</v>
          </cell>
          <cell r="S639">
            <v>936129</v>
          </cell>
          <cell r="T639">
            <v>45392</v>
          </cell>
          <cell r="U639" t="str">
            <v>PAGADO</v>
          </cell>
        </row>
        <row r="640">
          <cell r="A640" t="str">
            <v>20244</v>
          </cell>
          <cell r="B640" t="str">
            <v>SERFINANZAS</v>
          </cell>
          <cell r="C640" t="str">
            <v>GLADYS JEANNETH CORREA RUEDA</v>
          </cell>
          <cell r="D640" t="str">
            <v>121000638199</v>
          </cell>
          <cell r="E640">
            <v>45392</v>
          </cell>
          <cell r="F640">
            <v>25</v>
          </cell>
          <cell r="G640">
            <v>35</v>
          </cell>
          <cell r="H640">
            <v>452122.08992972347</v>
          </cell>
          <cell r="I640">
            <v>415404.44197201764</v>
          </cell>
          <cell r="J640">
            <v>0</v>
          </cell>
          <cell r="K640">
            <v>0</v>
          </cell>
          <cell r="L640">
            <v>0</v>
          </cell>
          <cell r="M640">
            <v>1.89E-2</v>
          </cell>
          <cell r="N640">
            <v>1.89E-2</v>
          </cell>
          <cell r="O640">
            <v>0</v>
          </cell>
          <cell r="P640">
            <v>867526.53190174117</v>
          </cell>
          <cell r="Q640">
            <v>21526948.913880736</v>
          </cell>
          <cell r="R640" t="str">
            <v>OK</v>
          </cell>
          <cell r="S640">
            <v>950000</v>
          </cell>
          <cell r="T640">
            <v>45427</v>
          </cell>
          <cell r="U640" t="str">
            <v>PAGADO</v>
          </cell>
        </row>
        <row r="641">
          <cell r="A641" t="str">
            <v>20245</v>
          </cell>
          <cell r="B641" t="str">
            <v>SERFINANZAS</v>
          </cell>
          <cell r="C641" t="str">
            <v>GLADYS JEANNETH CORREA RUEDA</v>
          </cell>
          <cell r="D641" t="str">
            <v>121000638199</v>
          </cell>
          <cell r="E641">
            <v>45422</v>
          </cell>
          <cell r="F641">
            <v>26</v>
          </cell>
          <cell r="G641">
            <v>34</v>
          </cell>
          <cell r="H641">
            <v>459378.64947309549</v>
          </cell>
          <cell r="I641">
            <v>406859.33447234589</v>
          </cell>
          <cell r="J641">
            <v>0</v>
          </cell>
          <cell r="K641">
            <v>0</v>
          </cell>
          <cell r="L641">
            <v>0</v>
          </cell>
          <cell r="M641">
            <v>1.89E-2</v>
          </cell>
          <cell r="N641">
            <v>1.89E-2</v>
          </cell>
          <cell r="O641">
            <v>0</v>
          </cell>
          <cell r="P641">
            <v>866237.98394544143</v>
          </cell>
          <cell r="Q641">
            <v>21067570.264407638</v>
          </cell>
          <cell r="R641" t="str">
            <v>OK</v>
          </cell>
          <cell r="S641">
            <v>0</v>
          </cell>
          <cell r="T641">
            <v>45427</v>
          </cell>
          <cell r="U641" t="str">
            <v>PAGADO</v>
          </cell>
        </row>
        <row r="642">
          <cell r="A642" t="str">
            <v>20246</v>
          </cell>
          <cell r="B642" t="str">
            <v>SERFINANZAS</v>
          </cell>
          <cell r="C642" t="str">
            <v>GLADYS JEANNETH CORREA RUEDA</v>
          </cell>
          <cell r="D642" t="str">
            <v>121000638199</v>
          </cell>
          <cell r="E642">
            <v>45453</v>
          </cell>
          <cell r="F642">
            <v>27</v>
          </cell>
          <cell r="G642">
            <v>33</v>
          </cell>
          <cell r="H642">
            <v>466751.67679713864</v>
          </cell>
          <cell r="I642">
            <v>398177.07799730438</v>
          </cell>
          <cell r="J642">
            <v>0</v>
          </cell>
          <cell r="K642">
            <v>0</v>
          </cell>
          <cell r="L642">
            <v>866237.98394544143</v>
          </cell>
          <cell r="M642">
            <v>1.89E-2</v>
          </cell>
          <cell r="N642">
            <v>1.89E-2</v>
          </cell>
          <cell r="O642">
            <v>0</v>
          </cell>
          <cell r="P642">
            <v>1731166.7387398845</v>
          </cell>
          <cell r="Q642">
            <v>20600818.587610498</v>
          </cell>
          <cell r="R642" t="str">
            <v>OK</v>
          </cell>
          <cell r="S642">
            <v>1750514</v>
          </cell>
          <cell r="T642">
            <v>45456</v>
          </cell>
          <cell r="U642" t="str">
            <v>PAGADO</v>
          </cell>
        </row>
        <row r="643">
          <cell r="A643" t="str">
            <v>20247</v>
          </cell>
          <cell r="B643" t="str">
            <v>SERFINANZAS</v>
          </cell>
          <cell r="C643" t="str">
            <v>GLADYS JEANNETH CORREA RUEDA</v>
          </cell>
          <cell r="D643" t="str">
            <v>121000638199</v>
          </cell>
          <cell r="E643">
            <v>45483</v>
          </cell>
          <cell r="F643">
            <v>28</v>
          </cell>
          <cell r="G643">
            <v>32</v>
          </cell>
          <cell r="H643">
            <v>474243.04120973265</v>
          </cell>
          <cell r="I643">
            <v>389355.47130583844</v>
          </cell>
          <cell r="J643">
            <v>0</v>
          </cell>
          <cell r="K643">
            <v>0</v>
          </cell>
          <cell r="L643">
            <v>0</v>
          </cell>
          <cell r="M643">
            <v>1.89E-2</v>
          </cell>
          <cell r="N643">
            <v>1.89E-2</v>
          </cell>
          <cell r="O643">
            <v>0</v>
          </cell>
          <cell r="P643">
            <v>863598.51251557108</v>
          </cell>
          <cell r="Q643">
            <v>20126575.546400767</v>
          </cell>
          <cell r="R643" t="str">
            <v>OK</v>
          </cell>
          <cell r="S643">
            <v>916775.01</v>
          </cell>
          <cell r="T643">
            <v>45505</v>
          </cell>
          <cell r="U643" t="str">
            <v>PAGADO</v>
          </cell>
        </row>
        <row r="644">
          <cell r="A644" t="str">
            <v>20248</v>
          </cell>
          <cell r="B644" t="str">
            <v>SERFINANZAS</v>
          </cell>
          <cell r="C644" t="str">
            <v>GLADYS JEANNETH CORREA RUEDA</v>
          </cell>
          <cell r="D644" t="str">
            <v>121000638199</v>
          </cell>
          <cell r="E644">
            <v>45514</v>
          </cell>
          <cell r="F644">
            <v>29</v>
          </cell>
          <cell r="G644">
            <v>31</v>
          </cell>
          <cell r="H644">
            <v>481854.64202114881</v>
          </cell>
          <cell r="I644">
            <v>380392.27782697452</v>
          </cell>
          <cell r="J644">
            <v>0</v>
          </cell>
          <cell r="K644">
            <v>0</v>
          </cell>
          <cell r="L644">
            <v>0</v>
          </cell>
          <cell r="M644">
            <v>1.89E-2</v>
          </cell>
          <cell r="N644">
            <v>1.89E-2</v>
          </cell>
          <cell r="O644">
            <v>0</v>
          </cell>
          <cell r="P644">
            <v>862246.91984812333</v>
          </cell>
          <cell r="Q644">
            <v>19644720.904379617</v>
          </cell>
          <cell r="R644">
            <v>23</v>
          </cell>
          <cell r="U644" t="str">
            <v>PENDIENTE</v>
          </cell>
        </row>
        <row r="645">
          <cell r="A645" t="str">
            <v>20249</v>
          </cell>
          <cell r="B645" t="str">
            <v>SERFINANZAS</v>
          </cell>
          <cell r="C645" t="str">
            <v>GLADYS JEANNETH CORREA RUEDA</v>
          </cell>
          <cell r="D645" t="str">
            <v>121000638199</v>
          </cell>
          <cell r="E645">
            <v>45545</v>
          </cell>
          <cell r="F645">
            <v>30</v>
          </cell>
          <cell r="G645">
            <v>30</v>
          </cell>
          <cell r="H645">
            <v>489588.40902558819</v>
          </cell>
          <cell r="I645">
            <v>371285.22509277478</v>
          </cell>
          <cell r="J645">
            <v>0</v>
          </cell>
          <cell r="K645">
            <v>0</v>
          </cell>
          <cell r="L645">
            <v>0</v>
          </cell>
          <cell r="M645">
            <v>1.89E-2</v>
          </cell>
          <cell r="N645">
            <v>1.89E-2</v>
          </cell>
          <cell r="O645">
            <v>0</v>
          </cell>
          <cell r="P645">
            <v>860873.63411836303</v>
          </cell>
          <cell r="Q645">
            <v>19155132.49535403</v>
          </cell>
          <cell r="R645">
            <v>23</v>
          </cell>
          <cell r="U645" t="str">
            <v>PENDIENTE</v>
          </cell>
        </row>
        <row r="646">
          <cell r="A646" t="str">
            <v>202410</v>
          </cell>
          <cell r="B646" t="str">
            <v>SERFINANZAS</v>
          </cell>
          <cell r="C646" t="str">
            <v>GLADYS JEANNETH CORREA RUEDA</v>
          </cell>
          <cell r="D646" t="str">
            <v>121000638199</v>
          </cell>
          <cell r="E646">
            <v>45575</v>
          </cell>
          <cell r="F646">
            <v>31</v>
          </cell>
          <cell r="G646">
            <v>29</v>
          </cell>
          <cell r="H646">
            <v>497446.30299044884</v>
          </cell>
          <cell r="I646">
            <v>362032.00416219118</v>
          </cell>
          <cell r="J646">
            <v>0</v>
          </cell>
          <cell r="K646">
            <v>0</v>
          </cell>
          <cell r="L646">
            <v>0</v>
          </cell>
          <cell r="M646">
            <v>1.89E-2</v>
          </cell>
          <cell r="N646">
            <v>1.89E-2</v>
          </cell>
          <cell r="O646">
            <v>0</v>
          </cell>
          <cell r="P646">
            <v>859478.30715264007</v>
          </cell>
          <cell r="Q646">
            <v>18657686.192363583</v>
          </cell>
          <cell r="R646">
            <v>-8</v>
          </cell>
          <cell r="U646" t="str">
            <v>PENDIENTE</v>
          </cell>
        </row>
        <row r="647">
          <cell r="A647" t="str">
            <v>202411</v>
          </cell>
          <cell r="B647" t="str">
            <v>SERFINANZAS</v>
          </cell>
          <cell r="C647" t="str">
            <v>GLADYS JEANNETH CORREA RUEDA</v>
          </cell>
          <cell r="D647" t="str">
            <v>121000638199</v>
          </cell>
          <cell r="E647">
            <v>45606</v>
          </cell>
          <cell r="F647">
            <v>32</v>
          </cell>
          <cell r="G647">
            <v>28</v>
          </cell>
          <cell r="H647">
            <v>505430.31615344551</v>
          </cell>
          <cell r="I647">
            <v>352630.26903567172</v>
          </cell>
          <cell r="J647">
            <v>0</v>
          </cell>
          <cell r="K647">
            <v>0</v>
          </cell>
          <cell r="L647">
            <v>0</v>
          </cell>
          <cell r="M647">
            <v>1.89E-2</v>
          </cell>
          <cell r="N647">
            <v>1.89E-2</v>
          </cell>
          <cell r="O647">
            <v>0</v>
          </cell>
          <cell r="P647">
            <v>858060.58518911724</v>
          </cell>
          <cell r="Q647">
            <v>18152255.876210138</v>
          </cell>
          <cell r="R647">
            <v>-38</v>
          </cell>
          <cell r="U647" t="str">
            <v>PENDIENTE</v>
          </cell>
        </row>
        <row r="648">
          <cell r="A648" t="str">
            <v>202412</v>
          </cell>
          <cell r="B648" t="str">
            <v>SERFINANZAS</v>
          </cell>
          <cell r="C648" t="str">
            <v>GLADYS JEANNETH CORREA RUEDA</v>
          </cell>
          <cell r="D648" t="str">
            <v>121000638199</v>
          </cell>
          <cell r="E648">
            <v>45636</v>
          </cell>
          <cell r="F648">
            <v>33</v>
          </cell>
          <cell r="G648">
            <v>27</v>
          </cell>
          <cell r="H648">
            <v>513542.47272770829</v>
          </cell>
          <cell r="I648">
            <v>343077.63606037159</v>
          </cell>
          <cell r="J648">
            <v>0</v>
          </cell>
          <cell r="K648">
            <v>0</v>
          </cell>
          <cell r="L648">
            <v>0</v>
          </cell>
          <cell r="M648">
            <v>1.89E-2</v>
          </cell>
          <cell r="N648">
            <v>1.89E-2</v>
          </cell>
          <cell r="O648">
            <v>0</v>
          </cell>
          <cell r="P648">
            <v>856620.10878807981</v>
          </cell>
          <cell r="Q648">
            <v>17638713.40348243</v>
          </cell>
          <cell r="R648">
            <v>-69</v>
          </cell>
          <cell r="U648" t="str">
            <v>PENDIENTE</v>
          </cell>
        </row>
        <row r="649">
          <cell r="A649" t="str">
            <v>20251</v>
          </cell>
          <cell r="B649" t="str">
            <v>SERFINANZAS</v>
          </cell>
          <cell r="C649" t="str">
            <v>GLADYS JEANNETH CORREA RUEDA</v>
          </cell>
          <cell r="D649" t="str">
            <v>121000638199</v>
          </cell>
          <cell r="E649">
            <v>45667</v>
          </cell>
          <cell r="F649">
            <v>34</v>
          </cell>
          <cell r="G649">
            <v>26</v>
          </cell>
          <cell r="H649">
            <v>521784.82941498794</v>
          </cell>
          <cell r="I649">
            <v>333371.68332581792</v>
          </cell>
          <cell r="J649">
            <v>0</v>
          </cell>
          <cell r="K649">
            <v>0</v>
          </cell>
          <cell r="L649">
            <v>0</v>
          </cell>
          <cell r="M649">
            <v>1.89E-2</v>
          </cell>
          <cell r="N649">
            <v>1.89E-2</v>
          </cell>
          <cell r="O649">
            <v>0</v>
          </cell>
          <cell r="P649">
            <v>855156.51274080586</v>
          </cell>
          <cell r="Q649">
            <v>17116928.574067444</v>
          </cell>
          <cell r="R649">
            <v>-99</v>
          </cell>
          <cell r="U649" t="str">
            <v>PENDIENTE</v>
          </cell>
        </row>
        <row r="650">
          <cell r="A650" t="str">
            <v>20252</v>
          </cell>
          <cell r="B650" t="str">
            <v>SERFINANZAS</v>
          </cell>
          <cell r="C650" t="str">
            <v>GLADYS JEANNETH CORREA RUEDA</v>
          </cell>
          <cell r="D650" t="str">
            <v>121000638199</v>
          </cell>
          <cell r="E650">
            <v>45698</v>
          </cell>
          <cell r="F650">
            <v>35</v>
          </cell>
          <cell r="G650">
            <v>25</v>
          </cell>
          <cell r="H650">
            <v>530159.47592709842</v>
          </cell>
          <cell r="I650">
            <v>323509.95004987466</v>
          </cell>
          <cell r="J650">
            <v>0</v>
          </cell>
          <cell r="K650">
            <v>0</v>
          </cell>
          <cell r="L650">
            <v>0</v>
          </cell>
          <cell r="M650">
            <v>1.89E-2</v>
          </cell>
          <cell r="N650">
            <v>1.89E-2</v>
          </cell>
          <cell r="O650">
            <v>0</v>
          </cell>
          <cell r="P650">
            <v>853669.42597697303</v>
          </cell>
          <cell r="Q650">
            <v>16586769.098140346</v>
          </cell>
          <cell r="R650">
            <v>-130</v>
          </cell>
          <cell r="U650" t="str">
            <v>PENDIENTE</v>
          </cell>
        </row>
        <row r="651">
          <cell r="A651" t="str">
            <v>20253</v>
          </cell>
          <cell r="B651" t="str">
            <v>SERFINANZAS</v>
          </cell>
          <cell r="C651" t="str">
            <v>GLADYS JEANNETH CORREA RUEDA</v>
          </cell>
          <cell r="D651" t="str">
            <v>121000638199</v>
          </cell>
          <cell r="E651">
            <v>45726</v>
          </cell>
          <cell r="F651">
            <v>36</v>
          </cell>
          <cell r="G651">
            <v>24</v>
          </cell>
          <cell r="H651">
            <v>538668.53551572829</v>
          </cell>
          <cell r="I651">
            <v>313489.93595485255</v>
          </cell>
          <cell r="J651">
            <v>0</v>
          </cell>
          <cell r="K651">
            <v>0</v>
          </cell>
          <cell r="L651">
            <v>0</v>
          </cell>
          <cell r="M651">
            <v>1.89E-2</v>
          </cell>
          <cell r="N651">
            <v>1.89E-2</v>
          </cell>
          <cell r="O651">
            <v>0</v>
          </cell>
          <cell r="P651">
            <v>852158.4714705809</v>
          </cell>
          <cell r="Q651">
            <v>16048100.562624618</v>
          </cell>
          <cell r="R651">
            <v>-161</v>
          </cell>
          <cell r="U651" t="str">
            <v>PENDIENTE</v>
          </cell>
        </row>
        <row r="652">
          <cell r="A652" t="str">
            <v>20254</v>
          </cell>
          <cell r="B652" t="str">
            <v>SERFINANZAS</v>
          </cell>
          <cell r="C652" t="str">
            <v>GLADYS JEANNETH CORREA RUEDA</v>
          </cell>
          <cell r="D652" t="str">
            <v>121000638199</v>
          </cell>
          <cell r="E652">
            <v>45757</v>
          </cell>
          <cell r="F652">
            <v>37</v>
          </cell>
          <cell r="G652">
            <v>23</v>
          </cell>
          <cell r="H652">
            <v>547314.16551075573</v>
          </cell>
          <cell r="I652">
            <v>303309.10063360527</v>
          </cell>
          <cell r="J652">
            <v>0</v>
          </cell>
          <cell r="K652">
            <v>0</v>
          </cell>
          <cell r="L652">
            <v>0</v>
          </cell>
          <cell r="M652">
            <v>1.89E-2</v>
          </cell>
          <cell r="N652">
            <v>1.89E-2</v>
          </cell>
          <cell r="O652">
            <v>0</v>
          </cell>
          <cell r="P652">
            <v>850623.266144361</v>
          </cell>
          <cell r="Q652">
            <v>15500786.397113863</v>
          </cell>
          <cell r="R652">
            <v>-189</v>
          </cell>
          <cell r="U652" t="str">
            <v>PENDIENTE</v>
          </cell>
        </row>
        <row r="653">
          <cell r="A653" t="str">
            <v>20255</v>
          </cell>
          <cell r="B653" t="str">
            <v>SERFINANZAS</v>
          </cell>
          <cell r="C653" t="str">
            <v>GLADYS JEANNETH CORREA RUEDA</v>
          </cell>
          <cell r="D653" t="str">
            <v>121000638199</v>
          </cell>
          <cell r="E653">
            <v>45787</v>
          </cell>
          <cell r="F653">
            <v>38</v>
          </cell>
          <cell r="G653">
            <v>22</v>
          </cell>
          <cell r="H653">
            <v>556098.55786720326</v>
          </cell>
          <cell r="I653">
            <v>292964.86290545203</v>
          </cell>
          <cell r="J653">
            <v>0</v>
          </cell>
          <cell r="K653">
            <v>0</v>
          </cell>
          <cell r="L653">
            <v>0</v>
          </cell>
          <cell r="M653">
            <v>1.89E-2</v>
          </cell>
          <cell r="N653">
            <v>1.89E-2</v>
          </cell>
          <cell r="O653">
            <v>0</v>
          </cell>
          <cell r="P653">
            <v>849063.42077265528</v>
          </cell>
          <cell r="Q653">
            <v>14944687.83924666</v>
          </cell>
          <cell r="R653">
            <v>-220</v>
          </cell>
          <cell r="U653" t="str">
            <v>PENDIENTE</v>
          </cell>
        </row>
        <row r="654">
          <cell r="A654" t="str">
            <v>20256</v>
          </cell>
          <cell r="B654" t="str">
            <v>SERFINANZAS</v>
          </cell>
          <cell r="C654" t="str">
            <v>GLADYS JEANNETH CORREA RUEDA</v>
          </cell>
          <cell r="D654" t="str">
            <v>121000638199</v>
          </cell>
          <cell r="E654">
            <v>45818</v>
          </cell>
          <cell r="F654">
            <v>39</v>
          </cell>
          <cell r="G654">
            <v>21</v>
          </cell>
          <cell r="H654">
            <v>565023.93972097186</v>
          </cell>
          <cell r="I654">
            <v>282454.60016176186</v>
          </cell>
          <cell r="J654">
            <v>0</v>
          </cell>
          <cell r="K654">
            <v>0</v>
          </cell>
          <cell r="L654">
            <v>0</v>
          </cell>
          <cell r="M654">
            <v>1.89E-2</v>
          </cell>
          <cell r="N654">
            <v>1.89E-2</v>
          </cell>
          <cell r="O654">
            <v>0</v>
          </cell>
          <cell r="P654">
            <v>847478.53988273372</v>
          </cell>
          <cell r="Q654">
            <v>14379663.899525689</v>
          </cell>
          <cell r="R654">
            <v>-250</v>
          </cell>
          <cell r="U654" t="str">
            <v>PENDIENTE</v>
          </cell>
        </row>
        <row r="655">
          <cell r="A655" t="str">
            <v>20257</v>
          </cell>
          <cell r="B655" t="str">
            <v>SERFINANZAS</v>
          </cell>
          <cell r="C655" t="str">
            <v>GLADYS JEANNETH CORREA RUEDA</v>
          </cell>
          <cell r="D655" t="str">
            <v>121000638199</v>
          </cell>
          <cell r="E655">
            <v>45848</v>
          </cell>
          <cell r="F655">
            <v>40</v>
          </cell>
          <cell r="G655">
            <v>20</v>
          </cell>
          <cell r="H655">
            <v>574092.57395349338</v>
          </cell>
          <cell r="I655">
            <v>271775.64770103554</v>
          </cell>
          <cell r="J655">
            <v>0</v>
          </cell>
          <cell r="K655">
            <v>0</v>
          </cell>
          <cell r="L655">
            <v>0</v>
          </cell>
          <cell r="M655">
            <v>1.89E-2</v>
          </cell>
          <cell r="N655">
            <v>1.89E-2</v>
          </cell>
          <cell r="O655">
            <v>0</v>
          </cell>
          <cell r="P655">
            <v>845868.22165452898</v>
          </cell>
          <cell r="Q655">
            <v>13805571.325572196</v>
          </cell>
          <cell r="R655">
            <v>-281</v>
          </cell>
          <cell r="U655" t="str">
            <v>PENDIENTE</v>
          </cell>
        </row>
        <row r="656">
          <cell r="A656" t="str">
            <v>20258</v>
          </cell>
          <cell r="B656" t="str">
            <v>SERFINANZAS</v>
          </cell>
          <cell r="C656" t="str">
            <v>GLADYS JEANNETH CORREA RUEDA</v>
          </cell>
          <cell r="D656" t="str">
            <v>121000638199</v>
          </cell>
          <cell r="E656">
            <v>45879</v>
          </cell>
          <cell r="F656">
            <v>41</v>
          </cell>
          <cell r="G656">
            <v>19</v>
          </cell>
          <cell r="H656">
            <v>583306.75976544688</v>
          </cell>
          <cell r="I656">
            <v>260925.2980533145</v>
          </cell>
          <cell r="J656">
            <v>0</v>
          </cell>
          <cell r="K656">
            <v>0</v>
          </cell>
          <cell r="L656">
            <v>0</v>
          </cell>
          <cell r="M656">
            <v>1.89E-2</v>
          </cell>
          <cell r="N656">
            <v>1.89E-2</v>
          </cell>
          <cell r="O656">
            <v>0</v>
          </cell>
          <cell r="P656">
            <v>844232.05781876133</v>
          </cell>
          <cell r="Q656">
            <v>13222264.56580675</v>
          </cell>
          <cell r="R656">
            <v>-311</v>
          </cell>
          <cell r="U656" t="str">
            <v>PENDIENTE</v>
          </cell>
        </row>
        <row r="657">
          <cell r="A657" t="str">
            <v>20259</v>
          </cell>
          <cell r="B657" t="str">
            <v>SERFINANZAS</v>
          </cell>
          <cell r="C657" t="str">
            <v>GLADYS JEANNETH CORREA RUEDA</v>
          </cell>
          <cell r="D657" t="str">
            <v>121000638199</v>
          </cell>
          <cell r="E657">
            <v>45910</v>
          </cell>
          <cell r="F657">
            <v>42</v>
          </cell>
          <cell r="G657">
            <v>18</v>
          </cell>
          <cell r="H657">
            <v>592668.83325968229</v>
          </cell>
          <cell r="I657">
            <v>249900.80029374757</v>
          </cell>
          <cell r="J657">
            <v>0</v>
          </cell>
          <cell r="K657">
            <v>0</v>
          </cell>
          <cell r="L657">
            <v>0</v>
          </cell>
          <cell r="M657">
            <v>1.89E-2</v>
          </cell>
          <cell r="N657">
            <v>1.89E-2</v>
          </cell>
          <cell r="O657">
            <v>0</v>
          </cell>
          <cell r="P657">
            <v>842569.63355342986</v>
          </cell>
          <cell r="Q657">
            <v>12629595.732547067</v>
          </cell>
          <cell r="R657">
            <v>-342</v>
          </cell>
          <cell r="U657" t="str">
            <v>PENDIENTE</v>
          </cell>
        </row>
        <row r="658">
          <cell r="A658" t="str">
            <v>202510</v>
          </cell>
          <cell r="B658" t="str">
            <v>SERFINANZAS</v>
          </cell>
          <cell r="C658" t="str">
            <v>GLADYS JEANNETH CORREA RUEDA</v>
          </cell>
          <cell r="D658" t="str">
            <v>121000638199</v>
          </cell>
          <cell r="E658">
            <v>45940</v>
          </cell>
          <cell r="F658">
            <v>43</v>
          </cell>
          <cell r="G658">
            <v>17</v>
          </cell>
          <cell r="H658">
            <v>602181.16803350009</v>
          </cell>
          <cell r="I658">
            <v>238699.35934513956</v>
          </cell>
          <cell r="J658">
            <v>0</v>
          </cell>
          <cell r="K658">
            <v>0</v>
          </cell>
          <cell r="L658">
            <v>0</v>
          </cell>
          <cell r="M658">
            <v>1.89E-2</v>
          </cell>
          <cell r="N658">
            <v>1.89E-2</v>
          </cell>
          <cell r="O658">
            <v>0</v>
          </cell>
          <cell r="P658">
            <v>840880.52737863967</v>
          </cell>
          <cell r="Q658">
            <v>12027414.564513568</v>
          </cell>
          <cell r="R658">
            <v>-373</v>
          </cell>
          <cell r="U658" t="str">
            <v>PENDIENTE</v>
          </cell>
        </row>
        <row r="659">
          <cell r="A659" t="str">
            <v>202511</v>
          </cell>
          <cell r="B659" t="str">
            <v>SERFINANZAS</v>
          </cell>
          <cell r="C659" t="str">
            <v>GLADYS JEANNETH CORREA RUEDA</v>
          </cell>
          <cell r="D659" t="str">
            <v>121000638199</v>
          </cell>
          <cell r="E659">
            <v>45971</v>
          </cell>
          <cell r="F659">
            <v>44</v>
          </cell>
          <cell r="G659">
            <v>16</v>
          </cell>
          <cell r="H659">
            <v>611846.17578043765</v>
          </cell>
          <cell r="I659">
            <v>227318.13526930643</v>
          </cell>
          <cell r="J659">
            <v>0</v>
          </cell>
          <cell r="K659">
            <v>0</v>
          </cell>
          <cell r="L659">
            <v>0</v>
          </cell>
          <cell r="M659">
            <v>1.89E-2</v>
          </cell>
          <cell r="N659">
            <v>1.89E-2</v>
          </cell>
          <cell r="O659">
            <v>0</v>
          </cell>
          <cell r="P659">
            <v>839164.31104974402</v>
          </cell>
          <cell r="Q659">
            <v>11415568.38873313</v>
          </cell>
          <cell r="R659">
            <v>-403</v>
          </cell>
          <cell r="U659" t="str">
            <v>PENDIENTE</v>
          </cell>
        </row>
        <row r="660">
          <cell r="A660" t="str">
            <v>202512</v>
          </cell>
          <cell r="B660" t="str">
            <v>SERFINANZAS</v>
          </cell>
          <cell r="C660" t="str">
            <v>GLADYS JEANNETH CORREA RUEDA</v>
          </cell>
          <cell r="D660" t="str">
            <v>121000638199</v>
          </cell>
          <cell r="E660">
            <v>46001</v>
          </cell>
          <cell r="F660">
            <v>45</v>
          </cell>
          <cell r="G660">
            <v>15</v>
          </cell>
          <cell r="H660">
            <v>621666.3069017136</v>
          </cell>
          <cell r="I660">
            <v>215754.24254705617</v>
          </cell>
          <cell r="J660">
            <v>0</v>
          </cell>
          <cell r="K660">
            <v>0</v>
          </cell>
          <cell r="L660">
            <v>0</v>
          </cell>
          <cell r="M660">
            <v>1.89E-2</v>
          </cell>
          <cell r="N660">
            <v>1.89E-2</v>
          </cell>
          <cell r="O660">
            <v>0</v>
          </cell>
          <cell r="P660">
            <v>837420.54944876977</v>
          </cell>
          <cell r="Q660">
            <v>10793902.081831416</v>
          </cell>
          <cell r="R660">
            <v>-434</v>
          </cell>
          <cell r="U660" t="str">
            <v>PENDIENTE</v>
          </cell>
        </row>
        <row r="661">
          <cell r="A661" t="str">
            <v>20261</v>
          </cell>
          <cell r="B661" t="str">
            <v>SERFINANZAS</v>
          </cell>
          <cell r="C661" t="str">
            <v>GLADYS JEANNETH CORREA RUEDA</v>
          </cell>
          <cell r="D661" t="str">
            <v>121000638199</v>
          </cell>
          <cell r="E661">
            <v>46032</v>
          </cell>
          <cell r="F661">
            <v>46</v>
          </cell>
          <cell r="G661">
            <v>14</v>
          </cell>
          <cell r="H661">
            <v>631644.05112748605</v>
          </cell>
          <cell r="I661">
            <v>204004.74934661377</v>
          </cell>
          <cell r="J661">
            <v>0</v>
          </cell>
          <cell r="K661">
            <v>0</v>
          </cell>
          <cell r="L661">
            <v>0</v>
          </cell>
          <cell r="M661">
            <v>1.89E-2</v>
          </cell>
          <cell r="N661">
            <v>1.89E-2</v>
          </cell>
          <cell r="O661">
            <v>0</v>
          </cell>
          <cell r="P661">
            <v>835648.80047409981</v>
          </cell>
          <cell r="Q661">
            <v>10162258.03070393</v>
          </cell>
          <cell r="R661">
            <v>-464</v>
          </cell>
          <cell r="U661" t="str">
            <v>PENDIENTE</v>
          </cell>
        </row>
        <row r="662">
          <cell r="A662" t="str">
            <v>20262</v>
          </cell>
          <cell r="B662" t="str">
            <v>SERFINANZAS</v>
          </cell>
          <cell r="C662" t="str">
            <v>GLADYS JEANNETH CORREA RUEDA</v>
          </cell>
          <cell r="D662" t="str">
            <v>121000638199</v>
          </cell>
          <cell r="E662">
            <v>46063</v>
          </cell>
          <cell r="F662">
            <v>47</v>
          </cell>
          <cell r="G662">
            <v>13</v>
          </cell>
          <cell r="H662">
            <v>641781.93814808212</v>
          </cell>
          <cell r="I662">
            <v>192066.67678030429</v>
          </cell>
          <cell r="J662">
            <v>0</v>
          </cell>
          <cell r="K662">
            <v>0</v>
          </cell>
          <cell r="L662">
            <v>0</v>
          </cell>
          <cell r="M662">
            <v>1.89E-2</v>
          </cell>
          <cell r="N662">
            <v>1.89E-2</v>
          </cell>
          <cell r="O662">
            <v>0</v>
          </cell>
          <cell r="P662">
            <v>833848.61492838641</v>
          </cell>
          <cell r="Q662">
            <v>9520476.0925558489</v>
          </cell>
          <cell r="R662">
            <v>-495</v>
          </cell>
          <cell r="U662" t="str">
            <v>PENDIENTE</v>
          </cell>
        </row>
        <row r="663">
          <cell r="A663" t="str">
            <v>20263</v>
          </cell>
          <cell r="B663" t="str">
            <v>SERFINANZAS</v>
          </cell>
          <cell r="C663" t="str">
            <v>GLADYS JEANNETH CORREA RUEDA</v>
          </cell>
          <cell r="D663" t="str">
            <v>121000638199</v>
          </cell>
          <cell r="E663">
            <v>46091</v>
          </cell>
          <cell r="F663">
            <v>48</v>
          </cell>
          <cell r="G663">
            <v>12</v>
          </cell>
          <cell r="H663">
            <v>652082.53825535881</v>
          </cell>
          <cell r="I663">
            <v>179936.99814930555</v>
          </cell>
          <cell r="J663">
            <v>0</v>
          </cell>
          <cell r="K663">
            <v>0</v>
          </cell>
          <cell r="L663">
            <v>0</v>
          </cell>
          <cell r="M663">
            <v>1.89E-2</v>
          </cell>
          <cell r="N663">
            <v>1.89E-2</v>
          </cell>
          <cell r="O663">
            <v>0</v>
          </cell>
          <cell r="P663">
            <v>832019.5364046644</v>
          </cell>
          <cell r="Q663">
            <v>8868393.5543004908</v>
          </cell>
          <cell r="R663">
            <v>-526</v>
          </cell>
          <cell r="U663" t="str">
            <v>PENDIENTE</v>
          </cell>
        </row>
        <row r="664">
          <cell r="A664" t="str">
            <v>20264</v>
          </cell>
          <cell r="B664" t="str">
            <v>SERFINANZAS</v>
          </cell>
          <cell r="C664" t="str">
            <v>GLADYS JEANNETH CORREA RUEDA</v>
          </cell>
          <cell r="D664" t="str">
            <v>121000638199</v>
          </cell>
          <cell r="E664">
            <v>46122</v>
          </cell>
          <cell r="F664">
            <v>49</v>
          </cell>
          <cell r="G664">
            <v>11</v>
          </cell>
          <cell r="H664">
            <v>662548.46299435722</v>
          </cell>
          <cell r="I664">
            <v>167612.63817627929</v>
          </cell>
          <cell r="J664">
            <v>0</v>
          </cell>
          <cell r="K664">
            <v>0</v>
          </cell>
          <cell r="L664">
            <v>0</v>
          </cell>
          <cell r="M664">
            <v>1.89E-2</v>
          </cell>
          <cell r="N664">
            <v>1.89E-2</v>
          </cell>
          <cell r="O664">
            <v>0</v>
          </cell>
          <cell r="P664">
            <v>830161.10117063648</v>
          </cell>
          <cell r="Q664">
            <v>8205845.0913061332</v>
          </cell>
          <cell r="R664">
            <v>-554</v>
          </cell>
          <cell r="U664" t="str">
            <v>PENDIENTE</v>
          </cell>
        </row>
        <row r="665">
          <cell r="A665" t="str">
            <v>20265</v>
          </cell>
          <cell r="B665" t="str">
            <v>SERFINANZAS</v>
          </cell>
          <cell r="C665" t="str">
            <v>GLADYS JEANNETH CORREA RUEDA</v>
          </cell>
          <cell r="D665" t="str">
            <v>121000638199</v>
          </cell>
          <cell r="E665">
            <v>46152</v>
          </cell>
          <cell r="F665">
            <v>50</v>
          </cell>
          <cell r="G665">
            <v>10</v>
          </cell>
          <cell r="H665">
            <v>673182.36582541664</v>
          </cell>
          <cell r="I665">
            <v>155090.47222568592</v>
          </cell>
          <cell r="J665">
            <v>0</v>
          </cell>
          <cell r="K665">
            <v>0</v>
          </cell>
          <cell r="L665">
            <v>0</v>
          </cell>
          <cell r="M665">
            <v>1.89E-2</v>
          </cell>
          <cell r="N665">
            <v>1.89E-2</v>
          </cell>
          <cell r="O665">
            <v>0</v>
          </cell>
          <cell r="P665">
            <v>828272.83805110259</v>
          </cell>
          <cell r="Q665">
            <v>7532662.7254807167</v>
          </cell>
          <cell r="R665">
            <v>-585</v>
          </cell>
          <cell r="U665" t="str">
            <v>PENDIENTE</v>
          </cell>
        </row>
        <row r="666">
          <cell r="A666" t="str">
            <v>20266</v>
          </cell>
          <cell r="B666" t="str">
            <v>SERFINANZAS</v>
          </cell>
          <cell r="C666" t="str">
            <v>GLADYS JEANNETH CORREA RUEDA</v>
          </cell>
          <cell r="D666" t="str">
            <v>121000638199</v>
          </cell>
          <cell r="E666">
            <v>46183</v>
          </cell>
          <cell r="F666">
            <v>51</v>
          </cell>
          <cell r="G666">
            <v>9</v>
          </cell>
          <cell r="H666">
            <v>683986.94279691449</v>
          </cell>
          <cell r="I666">
            <v>142367.32551158554</v>
          </cell>
          <cell r="J666">
            <v>0</v>
          </cell>
          <cell r="K666">
            <v>0</v>
          </cell>
          <cell r="L666">
            <v>0</v>
          </cell>
          <cell r="M666">
            <v>1.89E-2</v>
          </cell>
          <cell r="N666">
            <v>1.89E-2</v>
          </cell>
          <cell r="O666">
            <v>0</v>
          </cell>
          <cell r="P666">
            <v>826354.26830850006</v>
          </cell>
          <cell r="Q666">
            <v>6848675.7826838018</v>
          </cell>
          <cell r="R666">
            <v>-615</v>
          </cell>
          <cell r="U666" t="str">
            <v>PENDIENTE</v>
          </cell>
        </row>
        <row r="667">
          <cell r="A667" t="str">
            <v>20267</v>
          </cell>
          <cell r="B667" t="str">
            <v>SERFINANZAS</v>
          </cell>
          <cell r="C667" t="str">
            <v>GLADYS JEANNETH CORREA RUEDA</v>
          </cell>
          <cell r="D667" t="str">
            <v>121000638199</v>
          </cell>
          <cell r="E667">
            <v>46213</v>
          </cell>
          <cell r="F667">
            <v>52</v>
          </cell>
          <cell r="G667">
            <v>8</v>
          </cell>
          <cell r="H667">
            <v>694964.93322880485</v>
          </cell>
          <cell r="I667">
            <v>129439.97229272386</v>
          </cell>
          <cell r="J667">
            <v>0</v>
          </cell>
          <cell r="K667">
            <v>0</v>
          </cell>
          <cell r="L667">
            <v>0</v>
          </cell>
          <cell r="M667">
            <v>1.89E-2</v>
          </cell>
          <cell r="N667">
            <v>1.89E-2</v>
          </cell>
          <cell r="O667">
            <v>0</v>
          </cell>
          <cell r="P667">
            <v>824404.90552152868</v>
          </cell>
          <cell r="Q667">
            <v>6153710.8494549971</v>
          </cell>
          <cell r="R667">
            <v>-646</v>
          </cell>
          <cell r="U667" t="str">
            <v>PENDIENTE</v>
          </cell>
        </row>
        <row r="668">
          <cell r="A668" t="str">
            <v>20268</v>
          </cell>
          <cell r="B668" t="str">
            <v>SERFINANZAS</v>
          </cell>
          <cell r="C668" t="str">
            <v>GLADYS JEANNETH CORREA RUEDA</v>
          </cell>
          <cell r="D668" t="str">
            <v>121000638199</v>
          </cell>
          <cell r="E668">
            <v>46244</v>
          </cell>
          <cell r="F668">
            <v>53</v>
          </cell>
          <cell r="G668">
            <v>7</v>
          </cell>
          <cell r="H668">
            <v>706119.12040712708</v>
          </cell>
          <cell r="I668">
            <v>116305.13505469945</v>
          </cell>
          <cell r="J668">
            <v>0</v>
          </cell>
          <cell r="K668">
            <v>0</v>
          </cell>
          <cell r="L668">
            <v>0</v>
          </cell>
          <cell r="M668">
            <v>1.89E-2</v>
          </cell>
          <cell r="N668">
            <v>1.89E-2</v>
          </cell>
          <cell r="O668">
            <v>0</v>
          </cell>
          <cell r="P668">
            <v>822424.25546182657</v>
          </cell>
          <cell r="Q668">
            <v>5447591.7290478703</v>
          </cell>
          <cell r="R668">
            <v>-676</v>
          </cell>
          <cell r="U668" t="str">
            <v>PENDIENTE</v>
          </cell>
        </row>
        <row r="669">
          <cell r="A669" t="str">
            <v>20269</v>
          </cell>
          <cell r="B669" t="str">
            <v>SERFINANZAS</v>
          </cell>
          <cell r="C669" t="str">
            <v>GLADYS JEANNETH CORREA RUEDA</v>
          </cell>
          <cell r="D669" t="str">
            <v>121000638199</v>
          </cell>
          <cell r="E669">
            <v>46275</v>
          </cell>
          <cell r="F669">
            <v>54</v>
          </cell>
          <cell r="G669">
            <v>6</v>
          </cell>
          <cell r="H669">
            <v>717452.3322896614</v>
          </cell>
          <cell r="I669">
            <v>102959.48367900476</v>
          </cell>
          <cell r="J669">
            <v>0</v>
          </cell>
          <cell r="K669">
            <v>0</v>
          </cell>
          <cell r="L669">
            <v>0</v>
          </cell>
          <cell r="M669">
            <v>1.89E-2</v>
          </cell>
          <cell r="N669">
            <v>1.89E-2</v>
          </cell>
          <cell r="O669">
            <v>0</v>
          </cell>
          <cell r="P669">
            <v>820411.81596866611</v>
          </cell>
          <cell r="Q669">
            <v>4730139.396758209</v>
          </cell>
          <cell r="R669">
            <v>-707</v>
          </cell>
          <cell r="U669" t="str">
            <v>PENDIENTE</v>
          </cell>
        </row>
        <row r="670">
          <cell r="A670" t="str">
            <v>202610</v>
          </cell>
          <cell r="B670" t="str">
            <v>SERFINANZAS</v>
          </cell>
          <cell r="C670" t="str">
            <v>GLADYS JEANNETH CORREA RUEDA</v>
          </cell>
          <cell r="D670" t="str">
            <v>121000638199</v>
          </cell>
          <cell r="E670">
            <v>46305</v>
          </cell>
          <cell r="F670">
            <v>55</v>
          </cell>
          <cell r="G670">
            <v>5</v>
          </cell>
          <cell r="H670">
            <v>728967.44222291035</v>
          </cell>
          <cell r="I670">
            <v>89399.634598730147</v>
          </cell>
          <cell r="J670">
            <v>0</v>
          </cell>
          <cell r="K670">
            <v>0</v>
          </cell>
          <cell r="L670">
            <v>0</v>
          </cell>
          <cell r="M670">
            <v>1.89E-2</v>
          </cell>
          <cell r="N670">
            <v>1.89E-2</v>
          </cell>
          <cell r="O670">
            <v>0</v>
          </cell>
          <cell r="P670">
            <v>818367.07682164048</v>
          </cell>
          <cell r="Q670">
            <v>4001171.9545352985</v>
          </cell>
          <cell r="R670">
            <v>-738</v>
          </cell>
          <cell r="U670" t="str">
            <v>PENDIENTE</v>
          </cell>
        </row>
        <row r="671">
          <cell r="A671" t="str">
            <v>202611</v>
          </cell>
          <cell r="B671" t="str">
            <v>SERFINANZAS</v>
          </cell>
          <cell r="C671" t="str">
            <v>GLADYS JEANNETH CORREA RUEDA</v>
          </cell>
          <cell r="D671" t="str">
            <v>121000638199</v>
          </cell>
          <cell r="E671">
            <v>46336</v>
          </cell>
          <cell r="F671">
            <v>56</v>
          </cell>
          <cell r="G671">
            <v>4</v>
          </cell>
          <cell r="H671">
            <v>740667.36967058794</v>
          </cell>
          <cell r="I671">
            <v>75622.149940717136</v>
          </cell>
          <cell r="J671">
            <v>0</v>
          </cell>
          <cell r="K671">
            <v>0</v>
          </cell>
          <cell r="L671">
            <v>0</v>
          </cell>
          <cell r="M671">
            <v>1.89E-2</v>
          </cell>
          <cell r="N671">
            <v>1.89E-2</v>
          </cell>
          <cell r="O671">
            <v>0</v>
          </cell>
          <cell r="P671">
            <v>816289.51961130509</v>
          </cell>
          <cell r="Q671">
            <v>3260504.5848647105</v>
          </cell>
          <cell r="R671">
            <v>-768</v>
          </cell>
          <cell r="U671" t="str">
            <v>PENDIENTE</v>
          </cell>
        </row>
        <row r="672">
          <cell r="A672" t="str">
            <v>202612</v>
          </cell>
          <cell r="B672" t="str">
            <v>SERFINANZAS</v>
          </cell>
          <cell r="C672" t="str">
            <v>GLADYS JEANNETH CORREA RUEDA</v>
          </cell>
          <cell r="D672" t="str">
            <v>121000638199</v>
          </cell>
          <cell r="E672">
            <v>46366</v>
          </cell>
          <cell r="F672">
            <v>57</v>
          </cell>
          <cell r="G672">
            <v>3</v>
          </cell>
          <cell r="H672">
            <v>752555.08095380082</v>
          </cell>
          <cell r="I672">
            <v>61623.536653943025</v>
          </cell>
          <cell r="J672">
            <v>0</v>
          </cell>
          <cell r="K672">
            <v>0</v>
          </cell>
          <cell r="L672">
            <v>0</v>
          </cell>
          <cell r="M672">
            <v>1.89E-2</v>
          </cell>
          <cell r="N672">
            <v>1.89E-2</v>
          </cell>
          <cell r="O672">
            <v>0</v>
          </cell>
          <cell r="P672">
            <v>814178.61760774383</v>
          </cell>
          <cell r="Q672">
            <v>2507949.5039109094</v>
          </cell>
          <cell r="R672">
            <v>-799</v>
          </cell>
          <cell r="U672" t="str">
            <v>PENDIENTE</v>
          </cell>
        </row>
        <row r="673">
          <cell r="A673" t="str">
            <v>20271</v>
          </cell>
          <cell r="B673" t="str">
            <v>SERFINANZAS</v>
          </cell>
          <cell r="C673" t="str">
            <v>GLADYS JEANNETH CORREA RUEDA</v>
          </cell>
          <cell r="D673" t="str">
            <v>121000638199</v>
          </cell>
          <cell r="E673">
            <v>46397</v>
          </cell>
          <cell r="F673">
            <v>58</v>
          </cell>
          <cell r="G673">
            <v>2</v>
          </cell>
          <cell r="H673">
            <v>764633.59000310919</v>
          </cell>
          <cell r="I673">
            <v>47400.245623916191</v>
          </cell>
          <cell r="J673">
            <v>0</v>
          </cell>
          <cell r="K673">
            <v>0</v>
          </cell>
          <cell r="L673">
            <v>0</v>
          </cell>
          <cell r="M673">
            <v>1.89E-2</v>
          </cell>
          <cell r="N673">
            <v>1.89E-2</v>
          </cell>
          <cell r="O673">
            <v>0</v>
          </cell>
          <cell r="P673">
            <v>812033.83562702534</v>
          </cell>
          <cell r="Q673">
            <v>1743315.9139078003</v>
          </cell>
          <cell r="R673">
            <v>-829</v>
          </cell>
          <cell r="U673" t="str">
            <v>PENDIENTE</v>
          </cell>
        </row>
        <row r="674">
          <cell r="A674" t="str">
            <v>20272</v>
          </cell>
          <cell r="B674" t="str">
            <v>SERFINANZAS</v>
          </cell>
          <cell r="C674" t="str">
            <v>GLADYS JEANNETH CORREA RUEDA</v>
          </cell>
          <cell r="D674" t="str">
            <v>121000638199</v>
          </cell>
          <cell r="E674">
            <v>46428</v>
          </cell>
          <cell r="F674">
            <v>59</v>
          </cell>
          <cell r="G674">
            <v>1</v>
          </cell>
          <cell r="H674">
            <v>776905.95912265906</v>
          </cell>
          <cell r="I674">
            <v>32948.670772857426</v>
          </cell>
          <cell r="J674">
            <v>0</v>
          </cell>
          <cell r="K674">
            <v>0</v>
          </cell>
          <cell r="L674">
            <v>0</v>
          </cell>
          <cell r="M674">
            <v>1.89E-2</v>
          </cell>
          <cell r="N674">
            <v>1.89E-2</v>
          </cell>
          <cell r="O674">
            <v>0</v>
          </cell>
          <cell r="P674">
            <v>809854.62989551644</v>
          </cell>
          <cell r="Q674">
            <v>966409.95478514128</v>
          </cell>
          <cell r="R674">
            <v>-860</v>
          </cell>
          <cell r="U674" t="str">
            <v>PENDIENTE</v>
          </cell>
        </row>
        <row r="675">
          <cell r="A675" t="str">
            <v>20273</v>
          </cell>
          <cell r="B675" t="str">
            <v>SERFINANZAS</v>
          </cell>
          <cell r="C675" t="str">
            <v>GLADYS JEANNETH CORREA RUEDA</v>
          </cell>
          <cell r="D675" t="str">
            <v>121000638199</v>
          </cell>
          <cell r="E675">
            <v>46456</v>
          </cell>
          <cell r="F675">
            <v>60</v>
          </cell>
          <cell r="G675">
            <v>0</v>
          </cell>
          <cell r="H675">
            <v>789375.29976657766</v>
          </cell>
          <cell r="I675">
            <v>18265.148145439169</v>
          </cell>
          <cell r="J675">
            <v>0</v>
          </cell>
          <cell r="K675">
            <v>0</v>
          </cell>
          <cell r="L675">
            <v>0</v>
          </cell>
          <cell r="M675">
            <v>1.89E-2</v>
          </cell>
          <cell r="N675">
            <v>1.89E-2</v>
          </cell>
          <cell r="O675">
            <v>0</v>
          </cell>
          <cell r="P675">
            <v>807640.44791201688</v>
          </cell>
          <cell r="Q675">
            <v>177034.65501856362</v>
          </cell>
          <cell r="R675">
            <v>-891</v>
          </cell>
          <cell r="U675" t="str">
            <v>PENDIENTE</v>
          </cell>
        </row>
        <row r="676">
          <cell r="A676" t="str">
            <v>202212</v>
          </cell>
          <cell r="B676" t="str">
            <v>SERFINANZAS</v>
          </cell>
          <cell r="C676" t="str">
            <v>GLADYS JEANNETH CORREA RUEDA</v>
          </cell>
          <cell r="D676" t="str">
            <v>5420603691529285</v>
          </cell>
          <cell r="E676">
            <v>44900</v>
          </cell>
          <cell r="F676">
            <v>0</v>
          </cell>
          <cell r="G676">
            <v>48</v>
          </cell>
          <cell r="H676">
            <v>366371</v>
          </cell>
          <cell r="I676">
            <v>131330</v>
          </cell>
          <cell r="J676">
            <v>0</v>
          </cell>
          <cell r="K676">
            <v>22900</v>
          </cell>
          <cell r="L676">
            <v>0</v>
          </cell>
          <cell r="M676">
            <v>7.3000000000000001E-3</v>
          </cell>
          <cell r="N676">
            <v>7.2632445261168474E-3</v>
          </cell>
          <cell r="O676">
            <v>-5.0349964223497246E-3</v>
          </cell>
          <cell r="P676">
            <v>520601</v>
          </cell>
          <cell r="Q676">
            <v>17715080</v>
          </cell>
          <cell r="R676" t="str">
            <v>OK</v>
          </cell>
          <cell r="S676">
            <v>550000</v>
          </cell>
          <cell r="T676">
            <v>44916</v>
          </cell>
          <cell r="U676" t="str">
            <v>PAGADO</v>
          </cell>
        </row>
        <row r="677">
          <cell r="A677" t="str">
            <v>20231</v>
          </cell>
          <cell r="B677" t="str">
            <v>SERFINANZAS</v>
          </cell>
          <cell r="C677" t="str">
            <v>GLADYS JEANNETH CORREA RUEDA</v>
          </cell>
          <cell r="D677" t="str">
            <v>5420603691529285</v>
          </cell>
          <cell r="E677">
            <v>44931</v>
          </cell>
          <cell r="F677">
            <v>1</v>
          </cell>
          <cell r="G677">
            <v>47</v>
          </cell>
          <cell r="H677">
            <v>369119</v>
          </cell>
          <cell r="I677">
            <v>128582</v>
          </cell>
          <cell r="J677">
            <v>0</v>
          </cell>
          <cell r="K677">
            <v>22900</v>
          </cell>
          <cell r="L677">
            <v>0</v>
          </cell>
          <cell r="M677">
            <v>7.3000000000000001E-3</v>
          </cell>
          <cell r="N677">
            <v>7.2583358359092935E-3</v>
          </cell>
          <cell r="O677">
            <v>-5.7074197384529013E-3</v>
          </cell>
          <cell r="P677">
            <v>520601</v>
          </cell>
          <cell r="Q677">
            <v>17345961</v>
          </cell>
          <cell r="R677" t="str">
            <v>OK</v>
          </cell>
          <cell r="S677">
            <v>0</v>
          </cell>
          <cell r="T677">
            <v>44916</v>
          </cell>
          <cell r="U677" t="str">
            <v>PAGADO</v>
          </cell>
        </row>
        <row r="678">
          <cell r="A678" t="str">
            <v>20232</v>
          </cell>
          <cell r="B678" t="str">
            <v>SERFINANZAS</v>
          </cell>
          <cell r="C678" t="str">
            <v>GLADYS JEANNETH CORREA RUEDA</v>
          </cell>
          <cell r="D678" t="str">
            <v>5420603691529285</v>
          </cell>
          <cell r="E678">
            <v>44962</v>
          </cell>
          <cell r="F678">
            <v>2</v>
          </cell>
          <cell r="G678">
            <v>46</v>
          </cell>
          <cell r="H678">
            <v>371887</v>
          </cell>
          <cell r="I678">
            <v>125814</v>
          </cell>
          <cell r="J678">
            <v>0</v>
          </cell>
          <cell r="K678">
            <v>51395</v>
          </cell>
          <cell r="L678">
            <v>520601</v>
          </cell>
          <cell r="M678">
            <v>7.3000000000000001E-3</v>
          </cell>
          <cell r="N678">
            <v>7.2532158927372196E-3</v>
          </cell>
          <cell r="O678">
            <v>-6.4087818168192534E-3</v>
          </cell>
          <cell r="P678">
            <v>1069697</v>
          </cell>
          <cell r="Q678">
            <v>16974074</v>
          </cell>
          <cell r="R678" t="str">
            <v>OK</v>
          </cell>
          <cell r="S678">
            <v>1092893</v>
          </cell>
          <cell r="T678">
            <v>44949</v>
          </cell>
          <cell r="U678" t="str">
            <v>PAGADO</v>
          </cell>
        </row>
        <row r="679">
          <cell r="A679" t="str">
            <v>20233</v>
          </cell>
          <cell r="B679" t="str">
            <v>SERFINANZAS</v>
          </cell>
          <cell r="C679" t="str">
            <v>GLADYS JEANNETH CORREA RUEDA</v>
          </cell>
          <cell r="D679" t="str">
            <v>5420603691529285</v>
          </cell>
          <cell r="E679">
            <v>44990</v>
          </cell>
          <cell r="F679">
            <v>3</v>
          </cell>
          <cell r="G679">
            <v>45</v>
          </cell>
          <cell r="H679">
            <v>374677</v>
          </cell>
          <cell r="I679">
            <v>123024</v>
          </cell>
          <cell r="J679">
            <v>0</v>
          </cell>
          <cell r="K679">
            <v>25900</v>
          </cell>
          <cell r="L679">
            <v>0</v>
          </cell>
          <cell r="M679">
            <v>7.3000000000000001E-3</v>
          </cell>
          <cell r="N679">
            <v>7.247759141382322E-3</v>
          </cell>
          <cell r="O679">
            <v>-7.1562820024216878E-3</v>
          </cell>
          <cell r="P679">
            <v>523601</v>
          </cell>
          <cell r="Q679">
            <v>16599397</v>
          </cell>
          <cell r="R679" t="str">
            <v>OK</v>
          </cell>
          <cell r="S679">
            <v>0</v>
          </cell>
          <cell r="T679">
            <v>44949</v>
          </cell>
          <cell r="U679" t="str">
            <v>PAGADO</v>
          </cell>
        </row>
        <row r="680">
          <cell r="A680" t="str">
            <v>20234</v>
          </cell>
          <cell r="B680" t="str">
            <v>SERFINANZAS</v>
          </cell>
          <cell r="C680" t="str">
            <v>GLADYS JEANNETH CORREA RUEDA</v>
          </cell>
          <cell r="D680" t="str">
            <v>5420603691529285</v>
          </cell>
          <cell r="E680">
            <v>45021</v>
          </cell>
          <cell r="F680">
            <v>4</v>
          </cell>
          <cell r="G680">
            <v>44</v>
          </cell>
          <cell r="H680">
            <v>377487</v>
          </cell>
          <cell r="I680">
            <v>120214</v>
          </cell>
          <cell r="J680">
            <v>0</v>
          </cell>
          <cell r="K680">
            <v>25900</v>
          </cell>
          <cell r="L680">
            <v>523601</v>
          </cell>
          <cell r="M680">
            <v>7.3000000000000001E-3</v>
          </cell>
          <cell r="N680">
            <v>7.2420702993006309E-3</v>
          </cell>
          <cell r="O680">
            <v>-7.9355754382697263E-3</v>
          </cell>
          <cell r="P680">
            <v>1047202</v>
          </cell>
          <cell r="Q680">
            <v>16221910</v>
          </cell>
          <cell r="R680" t="str">
            <v>OK</v>
          </cell>
          <cell r="S680">
            <v>683000</v>
          </cell>
          <cell r="T680">
            <v>45045</v>
          </cell>
          <cell r="U680" t="str">
            <v>PAGADO</v>
          </cell>
        </row>
        <row r="681">
          <cell r="A681" t="str">
            <v>20235</v>
          </cell>
          <cell r="B681" t="str">
            <v>SERFINANZAS</v>
          </cell>
          <cell r="C681" t="str">
            <v>GLADYS JEANNETH CORREA RUEDA</v>
          </cell>
          <cell r="D681" t="str">
            <v>5420603691529285</v>
          </cell>
          <cell r="E681">
            <v>45051</v>
          </cell>
          <cell r="F681">
            <v>5</v>
          </cell>
          <cell r="G681">
            <v>43</v>
          </cell>
          <cell r="H681">
            <v>380318</v>
          </cell>
          <cell r="I681">
            <v>117383</v>
          </cell>
          <cell r="J681">
            <v>0</v>
          </cell>
          <cell r="K681">
            <v>25900</v>
          </cell>
          <cell r="L681">
            <v>364202</v>
          </cell>
          <cell r="M681">
            <v>7.3000000000000001E-3</v>
          </cell>
          <cell r="N681">
            <v>7.2360776258775942E-3</v>
          </cell>
          <cell r="O681">
            <v>-8.7564896058089925E-3</v>
          </cell>
          <cell r="P681">
            <v>887803</v>
          </cell>
          <cell r="Q681">
            <v>15841592</v>
          </cell>
          <cell r="R681" t="str">
            <v>OK</v>
          </cell>
          <cell r="S681">
            <v>0</v>
          </cell>
          <cell r="T681">
            <v>45045</v>
          </cell>
          <cell r="U681" t="str">
            <v>PAGADO</v>
          </cell>
        </row>
        <row r="682">
          <cell r="A682" t="str">
            <v>20236</v>
          </cell>
          <cell r="B682" t="str">
            <v>SERFINANZAS</v>
          </cell>
          <cell r="C682" t="str">
            <v>GLADYS JEANNETH CORREA RUEDA</v>
          </cell>
          <cell r="D682" t="str">
            <v>5420603691529285</v>
          </cell>
          <cell r="E682">
            <v>45082</v>
          </cell>
          <cell r="F682">
            <v>6</v>
          </cell>
          <cell r="G682">
            <v>42</v>
          </cell>
          <cell r="H682">
            <v>383170</v>
          </cell>
          <cell r="I682">
            <v>114531</v>
          </cell>
          <cell r="J682">
            <v>0</v>
          </cell>
          <cell r="K682">
            <v>25900</v>
          </cell>
          <cell r="L682">
            <v>887803</v>
          </cell>
          <cell r="M682">
            <v>7.3000000000000001E-3</v>
          </cell>
          <cell r="N682">
            <v>7.2297657962659308E-3</v>
          </cell>
          <cell r="O682">
            <v>-9.6211237991875587E-3</v>
          </cell>
          <cell r="P682">
            <v>1411404</v>
          </cell>
          <cell r="Q682">
            <v>15458422</v>
          </cell>
          <cell r="R682" t="str">
            <v>OK</v>
          </cell>
          <cell r="S682">
            <v>0</v>
          </cell>
          <cell r="T682">
            <v>45045</v>
          </cell>
          <cell r="U682" t="str">
            <v>PAGADO</v>
          </cell>
        </row>
        <row r="683">
          <cell r="A683" t="str">
            <v>20237</v>
          </cell>
          <cell r="B683" t="str">
            <v>SERFINANZAS</v>
          </cell>
          <cell r="C683" t="str">
            <v>GLADYS JEANNETH CORREA RUEDA</v>
          </cell>
          <cell r="D683" t="str">
            <v>5420603691529285</v>
          </cell>
          <cell r="E683">
            <v>45112</v>
          </cell>
          <cell r="F683">
            <v>7</v>
          </cell>
          <cell r="G683">
            <v>41</v>
          </cell>
          <cell r="H683">
            <v>314507.61998641962</v>
          </cell>
          <cell r="I683">
            <v>111300.6384</v>
          </cell>
          <cell r="J683">
            <v>0</v>
          </cell>
          <cell r="K683">
            <v>25900</v>
          </cell>
          <cell r="L683">
            <v>1411404</v>
          </cell>
          <cell r="M683">
            <v>7.3000000000000001E-3</v>
          </cell>
          <cell r="N683">
            <v>7.1999999999999998E-3</v>
          </cell>
          <cell r="O683">
            <v>-1.3698630136986356E-2</v>
          </cell>
          <cell r="P683">
            <v>1863112.2583864196</v>
          </cell>
          <cell r="Q683">
            <v>15143914.38001358</v>
          </cell>
          <cell r="R683" t="str">
            <v>OK</v>
          </cell>
          <cell r="S683">
            <v>1800000</v>
          </cell>
          <cell r="T683">
            <v>45112</v>
          </cell>
          <cell r="U683" t="str">
            <v>PAGADO</v>
          </cell>
        </row>
        <row r="684">
          <cell r="A684" t="str">
            <v>20238</v>
          </cell>
          <cell r="B684" t="str">
            <v>SERFINANZAS</v>
          </cell>
          <cell r="C684" t="str">
            <v>GLADYS JEANNETH CORREA RUEDA</v>
          </cell>
          <cell r="D684" t="str">
            <v>5420603691529285</v>
          </cell>
          <cell r="E684">
            <v>45143</v>
          </cell>
          <cell r="F684">
            <v>8</v>
          </cell>
          <cell r="G684">
            <v>40</v>
          </cell>
          <cell r="H684">
            <v>316865.79812107782</v>
          </cell>
          <cell r="I684">
            <v>168747.94349250256</v>
          </cell>
          <cell r="J684">
            <v>0</v>
          </cell>
          <cell r="K684">
            <v>25900</v>
          </cell>
          <cell r="L684">
            <v>63112.25838641962</v>
          </cell>
          <cell r="M684">
            <v>7.3000000000000001E-3</v>
          </cell>
          <cell r="N684">
            <v>1.1142954143692884E-2</v>
          </cell>
          <cell r="O684">
            <v>0.52643207447847717</v>
          </cell>
          <cell r="P684">
            <v>574626</v>
          </cell>
          <cell r="Q684">
            <v>14827048.581892502</v>
          </cell>
          <cell r="R684" t="str">
            <v>OK</v>
          </cell>
          <cell r="S684">
            <v>0</v>
          </cell>
          <cell r="T684">
            <v>45143</v>
          </cell>
          <cell r="U684" t="str">
            <v>PAGADO</v>
          </cell>
        </row>
        <row r="685">
          <cell r="A685" t="str">
            <v>20239</v>
          </cell>
          <cell r="B685" t="str">
            <v>SERFINANZAS</v>
          </cell>
          <cell r="C685" t="str">
            <v>GLADYS JEANNETH CORREA RUEDA</v>
          </cell>
          <cell r="D685" t="str">
            <v>5420603691529285</v>
          </cell>
          <cell r="E685">
            <v>45174</v>
          </cell>
          <cell r="F685">
            <v>9</v>
          </cell>
          <cell r="G685">
            <v>39</v>
          </cell>
          <cell r="H685">
            <v>422910</v>
          </cell>
          <cell r="I685">
            <v>105816</v>
          </cell>
          <cell r="J685">
            <v>22121</v>
          </cell>
          <cell r="K685">
            <v>26900</v>
          </cell>
          <cell r="L685">
            <v>574626</v>
          </cell>
          <cell r="M685">
            <v>7.3000000000000001E-3</v>
          </cell>
          <cell r="N685">
            <v>7.1366866720344833E-3</v>
          </cell>
          <cell r="O685">
            <v>-2.2371688762399589E-2</v>
          </cell>
          <cell r="P685">
            <v>1152373</v>
          </cell>
          <cell r="Q685">
            <v>14404138.581892502</v>
          </cell>
          <cell r="R685" t="str">
            <v>OK</v>
          </cell>
          <cell r="S685">
            <v>0</v>
          </cell>
          <cell r="T685">
            <v>45174</v>
          </cell>
          <cell r="U685" t="str">
            <v>PAGADO</v>
          </cell>
        </row>
        <row r="686">
          <cell r="A686" t="str">
            <v>202310</v>
          </cell>
          <cell r="B686" t="str">
            <v>SERFINANZAS</v>
          </cell>
          <cell r="C686" t="str">
            <v>GLADYS JEANNETH CORREA RUEDA</v>
          </cell>
          <cell r="D686" t="str">
            <v>5420603691529285</v>
          </cell>
          <cell r="E686">
            <v>45204</v>
          </cell>
          <cell r="F686">
            <v>10</v>
          </cell>
          <cell r="G686">
            <v>38</v>
          </cell>
          <cell r="H686">
            <v>426080.97918000002</v>
          </cell>
          <cell r="I686">
            <v>103709.79778962601</v>
          </cell>
          <cell r="J686">
            <v>0</v>
          </cell>
          <cell r="K686">
            <v>26900</v>
          </cell>
          <cell r="L686">
            <v>1152373</v>
          </cell>
          <cell r="M686">
            <v>7.3000000000000001E-3</v>
          </cell>
          <cell r="N686">
            <v>7.1999999999999998E-3</v>
          </cell>
          <cell r="O686">
            <v>-1.3698630136986356E-2</v>
          </cell>
          <cell r="P686">
            <v>1709063.7769696261</v>
          </cell>
          <cell r="Q686">
            <v>13978057.602712501</v>
          </cell>
          <cell r="R686" t="str">
            <v>OK</v>
          </cell>
          <cell r="S686">
            <v>1709063.7769696261</v>
          </cell>
          <cell r="T686">
            <v>45234</v>
          </cell>
          <cell r="U686" t="str">
            <v>PAGADO</v>
          </cell>
        </row>
        <row r="687">
          <cell r="A687" t="str">
            <v>202311</v>
          </cell>
          <cell r="B687" t="str">
            <v>SERFINANZAS</v>
          </cell>
          <cell r="C687" t="str">
            <v>GLADYS JEANNETH CORREA RUEDA</v>
          </cell>
          <cell r="D687" t="str">
            <v>5420603691529285</v>
          </cell>
          <cell r="E687">
            <v>45235</v>
          </cell>
          <cell r="F687">
            <v>11</v>
          </cell>
          <cell r="G687">
            <v>37</v>
          </cell>
          <cell r="H687">
            <v>429275.73436189169</v>
          </cell>
          <cell r="I687">
            <v>100642.01473953</v>
          </cell>
          <cell r="J687">
            <v>0</v>
          </cell>
          <cell r="K687">
            <v>25900</v>
          </cell>
          <cell r="L687">
            <v>0</v>
          </cell>
          <cell r="M687">
            <v>7.3000000000000001E-3</v>
          </cell>
          <cell r="N687">
            <v>7.1999999999999998E-3</v>
          </cell>
          <cell r="O687">
            <v>-1.3698630136986356E-2</v>
          </cell>
          <cell r="P687">
            <v>555817.74910142168</v>
          </cell>
          <cell r="Q687">
            <v>13548781.868350608</v>
          </cell>
          <cell r="R687" t="str">
            <v>OK</v>
          </cell>
          <cell r="S687">
            <v>638828.22303037392</v>
          </cell>
          <cell r="T687">
            <v>45234</v>
          </cell>
          <cell r="U687" t="str">
            <v>PAGADO</v>
          </cell>
        </row>
        <row r="688">
          <cell r="A688" t="str">
            <v>202312</v>
          </cell>
          <cell r="B688" t="str">
            <v>SERFINANZAS</v>
          </cell>
          <cell r="C688" t="str">
            <v>GLADYS JEANNETH CORREA RUEDA</v>
          </cell>
          <cell r="D688" t="str">
            <v>5420603691529285</v>
          </cell>
          <cell r="E688">
            <v>45265</v>
          </cell>
          <cell r="F688">
            <v>12</v>
          </cell>
          <cell r="G688">
            <v>36</v>
          </cell>
          <cell r="H688">
            <v>432494.44381813717</v>
          </cell>
          <cell r="I688">
            <v>97551.229452124375</v>
          </cell>
          <cell r="J688">
            <v>0</v>
          </cell>
          <cell r="K688">
            <v>25900</v>
          </cell>
          <cell r="L688">
            <v>0</v>
          </cell>
          <cell r="M688">
            <v>7.3000000000000001E-3</v>
          </cell>
          <cell r="N688">
            <v>7.1999999999999998E-3</v>
          </cell>
          <cell r="O688">
            <v>-1.3698630136986356E-2</v>
          </cell>
          <cell r="P688">
            <v>555945.6732702615</v>
          </cell>
          <cell r="Q688">
            <v>13116287.424532471</v>
          </cell>
          <cell r="R688" t="str">
            <v>OK</v>
          </cell>
          <cell r="S688">
            <v>652300</v>
          </cell>
          <cell r="T688">
            <v>45264</v>
          </cell>
          <cell r="U688" t="str">
            <v>PAGADO</v>
          </cell>
        </row>
        <row r="689">
          <cell r="A689" t="str">
            <v>20241</v>
          </cell>
          <cell r="B689" t="str">
            <v>SERFINANZAS</v>
          </cell>
          <cell r="C689" t="str">
            <v>GLADYS JEANNETH CORREA RUEDA</v>
          </cell>
          <cell r="D689" t="str">
            <v>5420603691529285</v>
          </cell>
          <cell r="E689">
            <v>45296</v>
          </cell>
          <cell r="F689">
            <v>13</v>
          </cell>
          <cell r="G689">
            <v>35</v>
          </cell>
          <cell r="H689">
            <v>435737.28715788556</v>
          </cell>
          <cell r="I689">
            <v>94437.269456633789</v>
          </cell>
          <cell r="J689">
            <v>0</v>
          </cell>
          <cell r="K689">
            <v>25900</v>
          </cell>
          <cell r="L689">
            <v>0</v>
          </cell>
          <cell r="M689">
            <v>7.3000000000000001E-3</v>
          </cell>
          <cell r="N689">
            <v>7.1999999999999998E-3</v>
          </cell>
          <cell r="O689">
            <v>-1.3698630136986356E-2</v>
          </cell>
          <cell r="P689">
            <v>556074.55661451933</v>
          </cell>
          <cell r="Q689">
            <v>12680550.137374585</v>
          </cell>
          <cell r="R689" t="str">
            <v>OK</v>
          </cell>
          <cell r="S689">
            <v>0</v>
          </cell>
          <cell r="T689">
            <v>45329</v>
          </cell>
          <cell r="U689" t="str">
            <v>PAGADO</v>
          </cell>
        </row>
        <row r="690">
          <cell r="A690" t="str">
            <v>20242</v>
          </cell>
          <cell r="B690" t="str">
            <v>SERFINANZAS</v>
          </cell>
          <cell r="C690" t="str">
            <v>GLADYS JEANNETH CORREA RUEDA</v>
          </cell>
          <cell r="D690" t="str">
            <v>5420603691529285</v>
          </cell>
          <cell r="E690">
            <v>45327</v>
          </cell>
          <cell r="F690">
            <v>14</v>
          </cell>
          <cell r="G690">
            <v>34</v>
          </cell>
          <cell r="H690">
            <v>439004.44533699536</v>
          </cell>
          <cell r="I690">
            <v>91299.960989097017</v>
          </cell>
          <cell r="J690">
            <v>0</v>
          </cell>
          <cell r="K690">
            <v>25900</v>
          </cell>
          <cell r="L690">
            <v>556074.55661451933</v>
          </cell>
          <cell r="M690">
            <v>7.3000000000000001E-3</v>
          </cell>
          <cell r="N690">
            <v>7.1999999999999998E-3</v>
          </cell>
          <cell r="O690">
            <v>-1.3698630136986356E-2</v>
          </cell>
          <cell r="P690">
            <v>1112278.9629406116</v>
          </cell>
          <cell r="Q690">
            <v>12241545.69203759</v>
          </cell>
          <cell r="R690" t="str">
            <v>OK</v>
          </cell>
          <cell r="S690">
            <v>550000</v>
          </cell>
          <cell r="T690">
            <v>45329</v>
          </cell>
          <cell r="U690" t="str">
            <v>PAGADO</v>
          </cell>
        </row>
        <row r="691">
          <cell r="A691" t="str">
            <v>20243</v>
          </cell>
          <cell r="B691" t="str">
            <v>SERFINANZAS</v>
          </cell>
          <cell r="C691" t="str">
            <v>GLADYS JEANNETH CORREA RUEDA</v>
          </cell>
          <cell r="D691" t="str">
            <v>5420603691529285</v>
          </cell>
          <cell r="E691">
            <v>45356</v>
          </cell>
          <cell r="F691">
            <v>15</v>
          </cell>
          <cell r="G691">
            <v>33</v>
          </cell>
          <cell r="H691">
            <v>442296.10066813213</v>
          </cell>
          <cell r="I691">
            <v>88139.128982670649</v>
          </cell>
          <cell r="J691">
            <v>0</v>
          </cell>
          <cell r="K691">
            <v>25900</v>
          </cell>
          <cell r="L691">
            <v>562278.96294061164</v>
          </cell>
          <cell r="M691">
            <v>7.3000000000000001E-3</v>
          </cell>
          <cell r="N691">
            <v>7.1999999999999998E-3</v>
          </cell>
          <cell r="O691">
            <v>-1.3698630136986356E-2</v>
          </cell>
          <cell r="P691">
            <v>1118614.1925914143</v>
          </cell>
          <cell r="Q691">
            <v>11799249.591369458</v>
          </cell>
          <cell r="R691" t="str">
            <v>OK</v>
          </cell>
          <cell r="S691">
            <v>0</v>
          </cell>
          <cell r="T691">
            <v>45418</v>
          </cell>
          <cell r="U691" t="str">
            <v>PAGADO</v>
          </cell>
        </row>
        <row r="692">
          <cell r="A692" t="str">
            <v>20244</v>
          </cell>
          <cell r="B692" t="str">
            <v>SERFINANZAS</v>
          </cell>
          <cell r="C692" t="str">
            <v>GLADYS JEANNETH CORREA RUEDA</v>
          </cell>
          <cell r="D692" t="str">
            <v>5420603691529285</v>
          </cell>
          <cell r="E692">
            <v>45387</v>
          </cell>
          <cell r="F692">
            <v>16</v>
          </cell>
          <cell r="G692">
            <v>32</v>
          </cell>
          <cell r="H692">
            <v>445612.43683094176</v>
          </cell>
          <cell r="I692">
            <v>84954.597057860097</v>
          </cell>
          <cell r="J692">
            <v>0</v>
          </cell>
          <cell r="K692">
            <v>25900</v>
          </cell>
          <cell r="L692">
            <v>1118614.1925914143</v>
          </cell>
          <cell r="M692">
            <v>7.3000000000000001E-3</v>
          </cell>
          <cell r="N692">
            <v>7.2000000000000007E-3</v>
          </cell>
          <cell r="O692">
            <v>-1.3698630136986245E-2</v>
          </cell>
          <cell r="P692">
            <v>1675081.2264802163</v>
          </cell>
          <cell r="Q692">
            <v>11353637.154538516</v>
          </cell>
          <cell r="R692" t="str">
            <v>OK</v>
          </cell>
          <cell r="S692">
            <v>0</v>
          </cell>
          <cell r="T692">
            <v>45418</v>
          </cell>
          <cell r="U692" t="str">
            <v>PAGADO</v>
          </cell>
        </row>
        <row r="693">
          <cell r="A693" t="str">
            <v>20245</v>
          </cell>
          <cell r="B693" t="str">
            <v>SERFINANZAS</v>
          </cell>
          <cell r="C693" t="str">
            <v>GLADYS JEANNETH CORREA RUEDA</v>
          </cell>
          <cell r="D693" t="str">
            <v>5420603691529285</v>
          </cell>
          <cell r="E693">
            <v>45417</v>
          </cell>
          <cell r="F693">
            <v>17</v>
          </cell>
          <cell r="G693">
            <v>31</v>
          </cell>
          <cell r="H693">
            <v>448953.63888230018</v>
          </cell>
          <cell r="I693">
            <v>81746.187512677308</v>
          </cell>
          <cell r="J693">
            <v>0</v>
          </cell>
          <cell r="K693">
            <v>25900</v>
          </cell>
          <cell r="L693">
            <v>1675081.2264802163</v>
          </cell>
          <cell r="M693">
            <v>7.3000000000000001E-3</v>
          </cell>
          <cell r="N693">
            <v>7.1999999999999998E-3</v>
          </cell>
          <cell r="O693">
            <v>-1.3698630136986356E-2</v>
          </cell>
          <cell r="P693">
            <v>2231681.0528751938</v>
          </cell>
          <cell r="Q693">
            <v>10904683.515656216</v>
          </cell>
          <cell r="R693" t="str">
            <v>OK</v>
          </cell>
          <cell r="S693">
            <v>650000</v>
          </cell>
          <cell r="T693">
            <v>45418</v>
          </cell>
          <cell r="U693" t="str">
            <v>PAGADO</v>
          </cell>
        </row>
        <row r="694">
          <cell r="A694" t="str">
            <v>20246</v>
          </cell>
          <cell r="B694" t="str">
            <v>SERFINANZAS</v>
          </cell>
          <cell r="C694" t="str">
            <v>GLADYS JEANNETH CORREA RUEDA</v>
          </cell>
          <cell r="D694" t="str">
            <v>5420603691529285</v>
          </cell>
          <cell r="E694">
            <v>45448</v>
          </cell>
          <cell r="F694">
            <v>18</v>
          </cell>
          <cell r="G694">
            <v>30</v>
          </cell>
          <cell r="H694">
            <v>452319.89326663967</v>
          </cell>
          <cell r="I694">
            <v>78513.721312724752</v>
          </cell>
          <cell r="J694">
            <v>0</v>
          </cell>
          <cell r="K694">
            <v>25900</v>
          </cell>
          <cell r="L694">
            <v>1581681.0528751938</v>
          </cell>
          <cell r="M694">
            <v>7.3000000000000001E-3</v>
          </cell>
          <cell r="N694">
            <v>7.1999999999999998E-3</v>
          </cell>
          <cell r="O694">
            <v>-1.3698630136986356E-2</v>
          </cell>
          <cell r="P694">
            <v>2138414.6674545584</v>
          </cell>
          <cell r="Q694">
            <v>10452363.622389577</v>
          </cell>
          <cell r="R694" t="str">
            <v>OK</v>
          </cell>
          <cell r="S694">
            <v>0</v>
          </cell>
          <cell r="T694">
            <v>45505</v>
          </cell>
          <cell r="U694" t="str">
            <v>PAGADO</v>
          </cell>
        </row>
        <row r="695">
          <cell r="A695" t="str">
            <v>20247</v>
          </cell>
          <cell r="B695" t="str">
            <v>SERFINANZAS</v>
          </cell>
          <cell r="C695" t="str">
            <v>GLADYS JEANNETH CORREA RUEDA</v>
          </cell>
          <cell r="D695" t="str">
            <v>5420603691529285</v>
          </cell>
          <cell r="E695">
            <v>45478</v>
          </cell>
          <cell r="F695">
            <v>19</v>
          </cell>
          <cell r="G695">
            <v>29</v>
          </cell>
          <cell r="H695">
            <v>455711.38782635296</v>
          </cell>
          <cell r="I695">
            <v>75257.018081204951</v>
          </cell>
          <cell r="J695">
            <v>0</v>
          </cell>
          <cell r="K695">
            <v>25900</v>
          </cell>
          <cell r="L695">
            <v>2138414.6674545584</v>
          </cell>
          <cell r="M695">
            <v>7.3000000000000001E-3</v>
          </cell>
          <cell r="N695">
            <v>7.1999999999999998E-3</v>
          </cell>
          <cell r="O695">
            <v>-1.3698630136986356E-2</v>
          </cell>
          <cell r="P695">
            <v>2695283.0733621162</v>
          </cell>
          <cell r="Q695">
            <v>9996652.234563224</v>
          </cell>
          <cell r="R695" t="str">
            <v>OK</v>
          </cell>
          <cell r="S695">
            <v>1179165</v>
          </cell>
          <cell r="T695">
            <v>45505</v>
          </cell>
          <cell r="U695" t="str">
            <v>PAGADO</v>
          </cell>
        </row>
        <row r="696">
          <cell r="A696" t="str">
            <v>20248</v>
          </cell>
          <cell r="B696" t="str">
            <v>SERFINANZAS</v>
          </cell>
          <cell r="C696" t="str">
            <v>GLADYS JEANNETH CORREA RUEDA</v>
          </cell>
          <cell r="D696" t="str">
            <v>5420603691529285</v>
          </cell>
          <cell r="E696">
            <v>45509</v>
          </cell>
          <cell r="F696">
            <v>20</v>
          </cell>
          <cell r="G696">
            <v>28</v>
          </cell>
          <cell r="H696">
            <v>459128.31181227497</v>
          </cell>
          <cell r="I696">
            <v>71975.89608885521</v>
          </cell>
          <cell r="J696">
            <v>0</v>
          </cell>
          <cell r="K696">
            <v>25900</v>
          </cell>
          <cell r="L696">
            <v>1516118.0733621162</v>
          </cell>
          <cell r="M696">
            <v>7.3000000000000001E-3</v>
          </cell>
          <cell r="N696">
            <v>7.1999999999999998E-3</v>
          </cell>
          <cell r="O696">
            <v>-1.3698630136986356E-2</v>
          </cell>
          <cell r="P696">
            <v>2073122.2812632464</v>
          </cell>
          <cell r="Q696">
            <v>9537523.9227509499</v>
          </cell>
          <cell r="R696" t="str">
            <v>OK</v>
          </cell>
          <cell r="S696">
            <v>0</v>
          </cell>
          <cell r="T696">
            <v>45532</v>
          </cell>
          <cell r="U696" t="str">
            <v>PAGADO</v>
          </cell>
        </row>
        <row r="697">
          <cell r="A697" t="str">
            <v>20249</v>
          </cell>
          <cell r="B697" t="str">
            <v>SERFINANZAS</v>
          </cell>
          <cell r="C697" t="str">
            <v>GLADYS JEANNETH CORREA RUEDA</v>
          </cell>
          <cell r="D697" t="str">
            <v>5420603691529285</v>
          </cell>
          <cell r="E697">
            <v>45540</v>
          </cell>
          <cell r="F697">
            <v>21</v>
          </cell>
          <cell r="G697">
            <v>27</v>
          </cell>
          <cell r="H697">
            <v>462570.8558942434</v>
          </cell>
          <cell r="I697">
            <v>68670.172243806839</v>
          </cell>
          <cell r="J697">
            <v>0</v>
          </cell>
          <cell r="K697">
            <v>25900</v>
          </cell>
          <cell r="L697">
            <v>2073122.2812632464</v>
          </cell>
          <cell r="M697">
            <v>7.3000000000000001E-3</v>
          </cell>
          <cell r="N697">
            <v>7.1999999999999998E-3</v>
          </cell>
          <cell r="O697">
            <v>-1.3698630136986356E-2</v>
          </cell>
          <cell r="P697">
            <v>2630263.3094012965</v>
          </cell>
          <cell r="Q697">
            <v>9074953.0668567065</v>
          </cell>
          <cell r="R697">
            <v>-3</v>
          </cell>
          <cell r="U697" t="str">
            <v>PENDIENTE</v>
          </cell>
        </row>
        <row r="698">
          <cell r="A698" t="str">
            <v>202410</v>
          </cell>
          <cell r="B698" t="str">
            <v>SERFINANZAS</v>
          </cell>
          <cell r="C698" t="str">
            <v>GLADYS JEANNETH CORREA RUEDA</v>
          </cell>
          <cell r="D698" t="str">
            <v>5420603691529285</v>
          </cell>
          <cell r="E698">
            <v>45570</v>
          </cell>
          <cell r="F698">
            <v>22</v>
          </cell>
          <cell r="G698">
            <v>26</v>
          </cell>
          <cell r="H698">
            <v>466039.21217173844</v>
          </cell>
          <cell r="I698">
            <v>65339.662081368282</v>
          </cell>
          <cell r="J698">
            <v>0</v>
          </cell>
          <cell r="K698">
            <v>25900</v>
          </cell>
          <cell r="L698">
            <v>0</v>
          </cell>
          <cell r="M698">
            <v>7.3000000000000001E-3</v>
          </cell>
          <cell r="N698">
            <v>7.1999999999999998E-3</v>
          </cell>
          <cell r="O698">
            <v>-1.3698630136986356E-2</v>
          </cell>
          <cell r="P698">
            <v>557278.87425310677</v>
          </cell>
          <cell r="Q698">
            <v>8608913.8546849675</v>
          </cell>
          <cell r="R698">
            <v>-3</v>
          </cell>
          <cell r="U698" t="str">
            <v>PENDIENTE</v>
          </cell>
        </row>
        <row r="699">
          <cell r="A699" t="str">
            <v>202411</v>
          </cell>
          <cell r="B699" t="str">
            <v>SERFINANZAS</v>
          </cell>
          <cell r="C699" t="str">
            <v>GLADYS JEANNETH CORREA RUEDA</v>
          </cell>
          <cell r="D699" t="str">
            <v>5420603691529285</v>
          </cell>
          <cell r="E699">
            <v>45601</v>
          </cell>
          <cell r="F699">
            <v>23</v>
          </cell>
          <cell r="G699">
            <v>25</v>
          </cell>
          <cell r="H699">
            <v>469533.57418460213</v>
          </cell>
          <cell r="I699">
            <v>61984.179753731762</v>
          </cell>
          <cell r="J699">
            <v>0</v>
          </cell>
          <cell r="K699">
            <v>25900</v>
          </cell>
          <cell r="L699">
            <v>0</v>
          </cell>
          <cell r="M699">
            <v>7.3000000000000001E-3</v>
          </cell>
          <cell r="N699">
            <v>7.1999999999999998E-3</v>
          </cell>
          <cell r="O699">
            <v>-1.3698630136986356E-2</v>
          </cell>
          <cell r="P699">
            <v>557417.75393833383</v>
          </cell>
          <cell r="Q699">
            <v>8139380.2805003654</v>
          </cell>
          <cell r="R699">
            <v>-33</v>
          </cell>
          <cell r="U699" t="str">
            <v>PENDIENTE</v>
          </cell>
        </row>
        <row r="700">
          <cell r="A700" t="str">
            <v>202412</v>
          </cell>
          <cell r="B700" t="str">
            <v>SERFINANZAS</v>
          </cell>
          <cell r="C700" t="str">
            <v>GLADYS JEANNETH CORREA RUEDA</v>
          </cell>
          <cell r="D700" t="str">
            <v>5420603691529285</v>
          </cell>
          <cell r="E700">
            <v>45631</v>
          </cell>
          <cell r="F700">
            <v>24</v>
          </cell>
          <cell r="G700">
            <v>24</v>
          </cell>
          <cell r="H700">
            <v>473054.13692383829</v>
          </cell>
          <cell r="I700">
            <v>58603.538019602631</v>
          </cell>
          <cell r="J700">
            <v>0</v>
          </cell>
          <cell r="K700">
            <v>25900</v>
          </cell>
          <cell r="L700">
            <v>0</v>
          </cell>
          <cell r="M700">
            <v>7.3000000000000001E-3</v>
          </cell>
          <cell r="N700">
            <v>7.1999999999999998E-3</v>
          </cell>
          <cell r="O700">
            <v>-1.3698630136986356E-2</v>
          </cell>
          <cell r="P700">
            <v>557557.67494344094</v>
          </cell>
          <cell r="Q700">
            <v>7666326.143576527</v>
          </cell>
          <cell r="R700">
            <v>-64</v>
          </cell>
          <cell r="U700" t="str">
            <v>PENDIENTE</v>
          </cell>
        </row>
        <row r="701">
          <cell r="A701" t="str">
            <v>20251</v>
          </cell>
          <cell r="B701" t="str">
            <v>SERFINANZAS</v>
          </cell>
          <cell r="C701" t="str">
            <v>GLADYS JEANNETH CORREA RUEDA</v>
          </cell>
          <cell r="D701" t="str">
            <v>5420603691529285</v>
          </cell>
          <cell r="E701">
            <v>45662</v>
          </cell>
          <cell r="F701">
            <v>25</v>
          </cell>
          <cell r="G701">
            <v>23</v>
          </cell>
          <cell r="H701">
            <v>476601.09684249322</v>
          </cell>
          <cell r="I701">
            <v>55197.548233750997</v>
          </cell>
          <cell r="J701">
            <v>0</v>
          </cell>
          <cell r="K701">
            <v>25900</v>
          </cell>
          <cell r="L701">
            <v>0</v>
          </cell>
          <cell r="M701">
            <v>7.3000000000000001E-3</v>
          </cell>
          <cell r="N701">
            <v>7.2000000000000007E-3</v>
          </cell>
          <cell r="O701">
            <v>-1.3698630136986245E-2</v>
          </cell>
          <cell r="P701">
            <v>557698.64507624425</v>
          </cell>
          <cell r="Q701">
            <v>7189725.0467340341</v>
          </cell>
          <cell r="R701">
            <v>-94</v>
          </cell>
          <cell r="U701" t="str">
            <v>PENDIENTE</v>
          </cell>
        </row>
        <row r="702">
          <cell r="A702" t="str">
            <v>20252</v>
          </cell>
          <cell r="B702" t="str">
            <v>SERFINANZAS</v>
          </cell>
          <cell r="C702" t="str">
            <v>GLADYS JEANNETH CORREA RUEDA</v>
          </cell>
          <cell r="D702" t="str">
            <v>5420603691529285</v>
          </cell>
          <cell r="E702">
            <v>45693</v>
          </cell>
          <cell r="F702">
            <v>26</v>
          </cell>
          <cell r="G702">
            <v>22</v>
          </cell>
          <cell r="H702">
            <v>480174.65186661825</v>
          </cell>
          <cell r="I702">
            <v>51766.020336485046</v>
          </cell>
          <cell r="J702">
            <v>0</v>
          </cell>
          <cell r="K702">
            <v>25900</v>
          </cell>
          <cell r="L702">
            <v>0</v>
          </cell>
          <cell r="M702">
            <v>7.3000000000000001E-3</v>
          </cell>
          <cell r="N702">
            <v>7.1999999999999998E-3</v>
          </cell>
          <cell r="O702">
            <v>-1.3698630136986356E-2</v>
          </cell>
          <cell r="P702">
            <v>557840.67220310331</v>
          </cell>
          <cell r="Q702">
            <v>6709550.3948674155</v>
          </cell>
          <cell r="R702">
            <v>-125</v>
          </cell>
          <cell r="U702" t="str">
            <v>PENDIENTE</v>
          </cell>
        </row>
        <row r="703">
          <cell r="A703" t="str">
            <v>20253</v>
          </cell>
          <cell r="B703" t="str">
            <v>SERFINANZAS</v>
          </cell>
          <cell r="C703" t="str">
            <v>GLADYS JEANNETH CORREA RUEDA</v>
          </cell>
          <cell r="D703" t="str">
            <v>5420603691529285</v>
          </cell>
          <cell r="E703">
            <v>45721</v>
          </cell>
          <cell r="F703">
            <v>27</v>
          </cell>
          <cell r="G703">
            <v>21</v>
          </cell>
          <cell r="H703">
            <v>483775.00140631414</v>
          </cell>
          <cell r="I703">
            <v>48308.762843045391</v>
          </cell>
          <cell r="J703">
            <v>0</v>
          </cell>
          <cell r="K703">
            <v>25900</v>
          </cell>
          <cell r="L703">
            <v>0</v>
          </cell>
          <cell r="M703">
            <v>7.3000000000000001E-3</v>
          </cell>
          <cell r="N703">
            <v>7.1999999999999998E-3</v>
          </cell>
          <cell r="O703">
            <v>-1.3698630136986356E-2</v>
          </cell>
          <cell r="P703">
            <v>557983.76424935949</v>
          </cell>
          <cell r="Q703">
            <v>6225775.3934611017</v>
          </cell>
          <cell r="R703">
            <v>-156</v>
          </cell>
          <cell r="U703" t="str">
            <v>PENDIENTE</v>
          </cell>
        </row>
        <row r="704">
          <cell r="A704" t="str">
            <v>20254</v>
          </cell>
          <cell r="B704" t="str">
            <v>SERFINANZAS</v>
          </cell>
          <cell r="C704" t="str">
            <v>GLADYS JEANNETH CORREA RUEDA</v>
          </cell>
          <cell r="D704" t="str">
            <v>5420603691529285</v>
          </cell>
          <cell r="E704">
            <v>45752</v>
          </cell>
          <cell r="F704">
            <v>28</v>
          </cell>
          <cell r="G704">
            <v>20</v>
          </cell>
          <cell r="H704">
            <v>487402.34636685869</v>
          </cell>
          <cell r="I704">
            <v>44825.582832919928</v>
          </cell>
          <cell r="J704">
            <v>0</v>
          </cell>
          <cell r="K704">
            <v>25900</v>
          </cell>
          <cell r="L704">
            <v>0</v>
          </cell>
          <cell r="M704">
            <v>7.3000000000000001E-3</v>
          </cell>
          <cell r="N704">
            <v>7.1999999999999998E-3</v>
          </cell>
          <cell r="O704">
            <v>-1.3698630136986356E-2</v>
          </cell>
          <cell r="P704">
            <v>558127.92919977859</v>
          </cell>
          <cell r="Q704">
            <v>5738373.0470942426</v>
          </cell>
          <cell r="R704">
            <v>-184</v>
          </cell>
          <cell r="U704" t="str">
            <v>PENDIENTE</v>
          </cell>
        </row>
        <row r="705">
          <cell r="A705" t="str">
            <v>20255</v>
          </cell>
          <cell r="B705" t="str">
            <v>SERFINANZAS</v>
          </cell>
          <cell r="C705" t="str">
            <v>GLADYS JEANNETH CORREA RUEDA</v>
          </cell>
          <cell r="D705" t="str">
            <v>5420603691529285</v>
          </cell>
          <cell r="E705">
            <v>45782</v>
          </cell>
          <cell r="F705">
            <v>29</v>
          </cell>
          <cell r="G705">
            <v>19</v>
          </cell>
          <cell r="H705">
            <v>491056.88915991742</v>
          </cell>
          <cell r="I705">
            <v>41316.285939078545</v>
          </cell>
          <cell r="J705">
            <v>0</v>
          </cell>
          <cell r="K705">
            <v>25900</v>
          </cell>
          <cell r="L705">
            <v>0</v>
          </cell>
          <cell r="M705">
            <v>7.3000000000000001E-3</v>
          </cell>
          <cell r="N705">
            <v>7.1999999999999998E-3</v>
          </cell>
          <cell r="O705">
            <v>-1.3698630136986356E-2</v>
          </cell>
          <cell r="P705">
            <v>558273.17509899591</v>
          </cell>
          <cell r="Q705">
            <v>5247316.1579343248</v>
          </cell>
          <cell r="R705">
            <v>-215</v>
          </cell>
          <cell r="U705" t="str">
            <v>PENDIENTE</v>
          </cell>
        </row>
        <row r="706">
          <cell r="A706" t="str">
            <v>20256</v>
          </cell>
          <cell r="B706" t="str">
            <v>SERFINANZAS</v>
          </cell>
          <cell r="C706" t="str">
            <v>GLADYS JEANNETH CORREA RUEDA</v>
          </cell>
          <cell r="D706" t="str">
            <v>5420603691529285</v>
          </cell>
          <cell r="E706">
            <v>45813</v>
          </cell>
          <cell r="F706">
            <v>30</v>
          </cell>
          <cell r="G706">
            <v>18</v>
          </cell>
          <cell r="H706">
            <v>494738.83371483849</v>
          </cell>
          <cell r="I706">
            <v>37780.676337127137</v>
          </cell>
          <cell r="J706">
            <v>0</v>
          </cell>
          <cell r="K706">
            <v>25900</v>
          </cell>
          <cell r="L706">
            <v>0</v>
          </cell>
          <cell r="M706">
            <v>7.3000000000000001E-3</v>
          </cell>
          <cell r="N706">
            <v>7.1999999999999998E-3</v>
          </cell>
          <cell r="O706">
            <v>-1.3698630136986356E-2</v>
          </cell>
          <cell r="P706">
            <v>558419.5100519656</v>
          </cell>
          <cell r="Q706">
            <v>4752577.3242194867</v>
          </cell>
          <cell r="R706">
            <v>-245</v>
          </cell>
          <cell r="U706" t="str">
            <v>PENDIENTE</v>
          </cell>
        </row>
        <row r="707">
          <cell r="A707" t="str">
            <v>20257</v>
          </cell>
          <cell r="B707" t="str">
            <v>SERFINANZAS</v>
          </cell>
          <cell r="C707" t="str">
            <v>GLADYS JEANNETH CORREA RUEDA</v>
          </cell>
          <cell r="D707" t="str">
            <v>5420603691529285</v>
          </cell>
          <cell r="E707">
            <v>45843</v>
          </cell>
          <cell r="F707">
            <v>31</v>
          </cell>
          <cell r="G707">
            <v>17</v>
          </cell>
          <cell r="H707">
            <v>498448.38549003238</v>
          </cell>
          <cell r="I707">
            <v>34218.556734380305</v>
          </cell>
          <cell r="J707">
            <v>0</v>
          </cell>
          <cell r="K707">
            <v>25900</v>
          </cell>
          <cell r="L707">
            <v>0</v>
          </cell>
          <cell r="M707">
            <v>7.3000000000000001E-3</v>
          </cell>
          <cell r="N707">
            <v>7.1999999999999998E-3</v>
          </cell>
          <cell r="O707">
            <v>-1.3698630136986356E-2</v>
          </cell>
          <cell r="P707">
            <v>558566.94222441269</v>
          </cell>
          <cell r="Q707">
            <v>4254128.9387294538</v>
          </cell>
          <cell r="R707">
            <v>-276</v>
          </cell>
          <cell r="U707" t="str">
            <v>PENDIENTE</v>
          </cell>
        </row>
        <row r="708">
          <cell r="A708" t="str">
            <v>20258</v>
          </cell>
          <cell r="B708" t="str">
            <v>SERFINANZAS</v>
          </cell>
          <cell r="C708" t="str">
            <v>GLADYS JEANNETH CORREA RUEDA</v>
          </cell>
          <cell r="D708" t="str">
            <v>5420603691529285</v>
          </cell>
          <cell r="E708">
            <v>45874</v>
          </cell>
          <cell r="F708">
            <v>32</v>
          </cell>
          <cell r="G708">
            <v>16</v>
          </cell>
          <cell r="H708">
            <v>502185.75148443662</v>
          </cell>
          <cell r="I708">
            <v>30629.728358852066</v>
          </cell>
          <cell r="J708">
            <v>0</v>
          </cell>
          <cell r="K708">
            <v>25900</v>
          </cell>
          <cell r="L708">
            <v>0</v>
          </cell>
          <cell r="M708">
            <v>7.3000000000000001E-3</v>
          </cell>
          <cell r="N708">
            <v>7.1999999999999998E-3</v>
          </cell>
          <cell r="O708">
            <v>-1.3698630136986356E-2</v>
          </cell>
          <cell r="P708">
            <v>558715.47984328866</v>
          </cell>
          <cell r="Q708">
            <v>3751943.1872450174</v>
          </cell>
          <cell r="R708">
            <v>-306</v>
          </cell>
          <cell r="U708" t="str">
            <v>PENDIENTE</v>
          </cell>
        </row>
        <row r="709">
          <cell r="A709" t="str">
            <v>20259</v>
          </cell>
          <cell r="B709" t="str">
            <v>SERFINANZAS</v>
          </cell>
          <cell r="C709" t="str">
            <v>GLADYS JEANNETH CORREA RUEDA</v>
          </cell>
          <cell r="D709" t="str">
            <v>5420603691529285</v>
          </cell>
          <cell r="E709">
            <v>45905</v>
          </cell>
          <cell r="F709">
            <v>33</v>
          </cell>
          <cell r="G709">
            <v>15</v>
          </cell>
          <cell r="H709">
            <v>505951.14024906693</v>
          </cell>
          <cell r="I709">
            <v>27013.990948164126</v>
          </cell>
          <cell r="J709">
            <v>0</v>
          </cell>
          <cell r="K709">
            <v>25900</v>
          </cell>
          <cell r="L709">
            <v>0</v>
          </cell>
          <cell r="M709">
            <v>7.3000000000000001E-3</v>
          </cell>
          <cell r="N709">
            <v>7.2000000000000007E-3</v>
          </cell>
          <cell r="O709">
            <v>-1.3698630136986245E-2</v>
          </cell>
          <cell r="P709">
            <v>558865.13119723101</v>
          </cell>
          <cell r="Q709">
            <v>3245992.0469959504</v>
          </cell>
          <cell r="R709">
            <v>-337</v>
          </cell>
          <cell r="U709" t="str">
            <v>PENDIENTE</v>
          </cell>
        </row>
        <row r="710">
          <cell r="A710" t="str">
            <v>202510</v>
          </cell>
          <cell r="B710" t="str">
            <v>SERFINANZAS</v>
          </cell>
          <cell r="C710" t="str">
            <v>GLADYS JEANNETH CORREA RUEDA</v>
          </cell>
          <cell r="D710" t="str">
            <v>5420603691529285</v>
          </cell>
          <cell r="E710">
            <v>45935</v>
          </cell>
          <cell r="F710">
            <v>34</v>
          </cell>
          <cell r="G710">
            <v>14</v>
          </cell>
          <cell r="H710">
            <v>509744.76189865445</v>
          </cell>
          <cell r="I710">
            <v>23371.142738370843</v>
          </cell>
          <cell r="J710">
            <v>0</v>
          </cell>
          <cell r="K710">
            <v>25900</v>
          </cell>
          <cell r="L710">
            <v>0</v>
          </cell>
          <cell r="M710">
            <v>7.3000000000000001E-3</v>
          </cell>
          <cell r="N710">
            <v>7.1999999999999998E-3</v>
          </cell>
          <cell r="O710">
            <v>-1.3698630136986356E-2</v>
          </cell>
          <cell r="P710">
            <v>559015.90463702532</v>
          </cell>
          <cell r="Q710">
            <v>2736247.2850972959</v>
          </cell>
          <cell r="R710">
            <v>-368</v>
          </cell>
          <cell r="U710" t="str">
            <v>PENDIENTE</v>
          </cell>
        </row>
        <row r="711">
          <cell r="A711" t="str">
            <v>202511</v>
          </cell>
          <cell r="B711" t="str">
            <v>SERFINANZAS</v>
          </cell>
          <cell r="C711" t="str">
            <v>GLADYS JEANNETH CORREA RUEDA</v>
          </cell>
          <cell r="D711" t="str">
            <v>5420603691529285</v>
          </cell>
          <cell r="E711">
            <v>45966</v>
          </cell>
          <cell r="F711">
            <v>35</v>
          </cell>
          <cell r="G711">
            <v>13</v>
          </cell>
          <cell r="H711">
            <v>513566.82812337059</v>
          </cell>
          <cell r="I711">
            <v>19700.980452700529</v>
          </cell>
          <cell r="J711">
            <v>0</v>
          </cell>
          <cell r="K711">
            <v>25900</v>
          </cell>
          <cell r="L711">
            <v>0</v>
          </cell>
          <cell r="M711">
            <v>7.3000000000000001E-3</v>
          </cell>
          <cell r="N711">
            <v>7.1999999999999998E-3</v>
          </cell>
          <cell r="O711">
            <v>-1.3698630136986356E-2</v>
          </cell>
          <cell r="P711">
            <v>559167.80857607117</v>
          </cell>
          <cell r="Q711">
            <v>2222680.4569739252</v>
          </cell>
          <cell r="R711">
            <v>-398</v>
          </cell>
          <cell r="U711" t="str">
            <v>PENDIENTE</v>
          </cell>
        </row>
        <row r="712">
          <cell r="A712" t="str">
            <v>202512</v>
          </cell>
          <cell r="B712" t="str">
            <v>SERFINANZAS</v>
          </cell>
          <cell r="C712" t="str">
            <v>GLADYS JEANNETH CORREA RUEDA</v>
          </cell>
          <cell r="D712" t="str">
            <v>5420603691529285</v>
          </cell>
          <cell r="E712">
            <v>45996</v>
          </cell>
          <cell r="F712">
            <v>36</v>
          </cell>
          <cell r="G712">
            <v>12</v>
          </cell>
          <cell r="H712">
            <v>517417.55220063962</v>
          </cell>
          <cell r="I712">
            <v>16003.299290212261</v>
          </cell>
          <cell r="J712">
            <v>0</v>
          </cell>
          <cell r="K712">
            <v>25900</v>
          </cell>
          <cell r="L712">
            <v>0</v>
          </cell>
          <cell r="M712">
            <v>7.3000000000000001E-3</v>
          </cell>
          <cell r="N712">
            <v>7.1999999999999998E-3</v>
          </cell>
          <cell r="O712">
            <v>-1.3698630136986356E-2</v>
          </cell>
          <cell r="P712">
            <v>559320.85149085184</v>
          </cell>
          <cell r="Q712">
            <v>1705262.9047732856</v>
          </cell>
          <cell r="R712">
            <v>-429</v>
          </cell>
          <cell r="U712" t="str">
            <v>PENDIENTE</v>
          </cell>
        </row>
        <row r="713">
          <cell r="A713" t="str">
            <v>20261</v>
          </cell>
          <cell r="B713" t="str">
            <v>SERFINANZAS</v>
          </cell>
          <cell r="C713" t="str">
            <v>GLADYS JEANNETH CORREA RUEDA</v>
          </cell>
          <cell r="D713" t="str">
            <v>5420603691529285</v>
          </cell>
          <cell r="E713">
            <v>46027</v>
          </cell>
          <cell r="F713">
            <v>37</v>
          </cell>
          <cell r="G713">
            <v>11</v>
          </cell>
          <cell r="H713">
            <v>521297.14900704002</v>
          </cell>
          <cell r="I713">
            <v>12277.892914367656</v>
          </cell>
          <cell r="J713">
            <v>0</v>
          </cell>
          <cell r="K713">
            <v>25900</v>
          </cell>
          <cell r="L713">
            <v>0</v>
          </cell>
          <cell r="M713">
            <v>7.3000000000000001E-3</v>
          </cell>
          <cell r="N713">
            <v>7.1999999999999998E-3</v>
          </cell>
          <cell r="O713">
            <v>-1.3698630136986356E-2</v>
          </cell>
          <cell r="P713">
            <v>559475.04192140768</v>
          </cell>
          <cell r="Q713">
            <v>1183965.7557662455</v>
          </cell>
          <cell r="R713">
            <v>-459</v>
          </cell>
          <cell r="U713" t="str">
            <v>PENDIENTE</v>
          </cell>
        </row>
        <row r="714">
          <cell r="A714" t="str">
            <v>20262</v>
          </cell>
          <cell r="B714" t="str">
            <v>SERFINANZAS</v>
          </cell>
          <cell r="C714" t="str">
            <v>GLADYS JEANNETH CORREA RUEDA</v>
          </cell>
          <cell r="D714" t="str">
            <v>5420603691529285</v>
          </cell>
          <cell r="E714">
            <v>46058</v>
          </cell>
          <cell r="F714">
            <v>38</v>
          </cell>
          <cell r="G714">
            <v>10</v>
          </cell>
          <cell r="H714">
            <v>525205.83503029484</v>
          </cell>
          <cell r="I714">
            <v>8524.5534415169677</v>
          </cell>
          <cell r="J714">
            <v>0</v>
          </cell>
          <cell r="K714">
            <v>25900</v>
          </cell>
          <cell r="L714">
            <v>0</v>
          </cell>
          <cell r="M714">
            <v>7.3000000000000001E-3</v>
          </cell>
          <cell r="N714">
            <v>7.1999999999999998E-3</v>
          </cell>
          <cell r="O714">
            <v>-1.3698630136986356E-2</v>
          </cell>
          <cell r="P714">
            <v>559630.38847181178</v>
          </cell>
          <cell r="Q714">
            <v>658759.9207359507</v>
          </cell>
          <cell r="R714">
            <v>-490</v>
          </cell>
          <cell r="U714" t="str">
            <v>PENDIENTE</v>
          </cell>
        </row>
        <row r="715">
          <cell r="A715" t="str">
            <v>20263</v>
          </cell>
          <cell r="B715" t="str">
            <v>SERFINANZAS</v>
          </cell>
          <cell r="C715" t="str">
            <v>GLADYS JEANNETH CORREA RUEDA</v>
          </cell>
          <cell r="D715" t="str">
            <v>5420603691529285</v>
          </cell>
          <cell r="E715">
            <v>46086</v>
          </cell>
          <cell r="F715">
            <v>39</v>
          </cell>
          <cell r="G715">
            <v>9</v>
          </cell>
          <cell r="H715">
            <v>529143.82838135201</v>
          </cell>
          <cell r="I715">
            <v>4743.071429298845</v>
          </cell>
          <cell r="J715">
            <v>0</v>
          </cell>
          <cell r="K715">
            <v>25900</v>
          </cell>
          <cell r="L715">
            <v>0</v>
          </cell>
          <cell r="M715">
            <v>7.3000000000000001E-3</v>
          </cell>
          <cell r="N715">
            <v>7.1999999999999998E-3</v>
          </cell>
          <cell r="O715">
            <v>-1.3698630136986356E-2</v>
          </cell>
          <cell r="P715">
            <v>559786.89981065085</v>
          </cell>
          <cell r="Q715">
            <v>129616.09235459869</v>
          </cell>
          <cell r="R715">
            <v>-521</v>
          </cell>
          <cell r="U715" t="str">
            <v>PENDIENTE</v>
          </cell>
        </row>
        <row r="716">
          <cell r="A716" t="str">
            <v>20264</v>
          </cell>
          <cell r="B716" t="str">
            <v>SERFINANZAS</v>
          </cell>
          <cell r="C716" t="str">
            <v>GLADYS JEANNETH CORREA RUEDA</v>
          </cell>
          <cell r="D716" t="str">
            <v>5420603691529285</v>
          </cell>
          <cell r="E716">
            <v>46117</v>
          </cell>
          <cell r="F716">
            <v>40</v>
          </cell>
          <cell r="G716">
            <v>8</v>
          </cell>
          <cell r="H716">
            <v>533111.34880655538</v>
          </cell>
          <cell r="I716">
            <v>933.23586495311054</v>
          </cell>
          <cell r="J716">
            <v>0</v>
          </cell>
          <cell r="K716">
            <v>25900</v>
          </cell>
          <cell r="L716">
            <v>0</v>
          </cell>
          <cell r="M716">
            <v>7.3000000000000001E-3</v>
          </cell>
          <cell r="N716">
            <v>7.1999999999999998E-3</v>
          </cell>
          <cell r="O716">
            <v>-1.3698630136986356E-2</v>
          </cell>
          <cell r="P716">
            <v>559944.58467150852</v>
          </cell>
          <cell r="Q716">
            <v>-403495.25645195669</v>
          </cell>
          <cell r="R716">
            <v>-549</v>
          </cell>
          <cell r="U716" t="str">
            <v>PENDIENTE</v>
          </cell>
        </row>
        <row r="717">
          <cell r="A717" t="str">
            <v>20265</v>
          </cell>
          <cell r="B717" t="str">
            <v>SERFINANZAS</v>
          </cell>
          <cell r="C717" t="str">
            <v>GLADYS JEANNETH CORREA RUEDA</v>
          </cell>
          <cell r="D717" t="str">
            <v>5420603691529285</v>
          </cell>
          <cell r="E717">
            <v>46147</v>
          </cell>
          <cell r="F717">
            <v>41</v>
          </cell>
          <cell r="G717">
            <v>7</v>
          </cell>
          <cell r="H717">
            <v>537108.61769990693</v>
          </cell>
          <cell r="I717">
            <v>-2905.1658464540883</v>
          </cell>
          <cell r="J717">
            <v>0</v>
          </cell>
          <cell r="K717">
            <v>25900</v>
          </cell>
          <cell r="L717">
            <v>0</v>
          </cell>
          <cell r="M717">
            <v>7.3000000000000001E-3</v>
          </cell>
          <cell r="N717">
            <v>7.1999999999999998E-3</v>
          </cell>
          <cell r="O717">
            <v>-1.3698630136986356E-2</v>
          </cell>
          <cell r="P717">
            <v>560103.45185345283</v>
          </cell>
          <cell r="Q717">
            <v>-940603.87415186362</v>
          </cell>
          <cell r="R717">
            <v>-580</v>
          </cell>
          <cell r="U717" t="str">
            <v>PENDIENTE</v>
          </cell>
        </row>
        <row r="718">
          <cell r="A718" t="str">
            <v>20266</v>
          </cell>
          <cell r="B718" t="str">
            <v>SERFINANZAS</v>
          </cell>
          <cell r="C718" t="str">
            <v>GLADYS JEANNETH CORREA RUEDA</v>
          </cell>
          <cell r="D718" t="str">
            <v>5420603691529285</v>
          </cell>
          <cell r="E718">
            <v>46178</v>
          </cell>
          <cell r="F718">
            <v>42</v>
          </cell>
          <cell r="G718">
            <v>6</v>
          </cell>
          <cell r="H718">
            <v>541135.85811542079</v>
          </cell>
          <cell r="I718">
            <v>-6772.3478938934177</v>
          </cell>
          <cell r="J718">
            <v>0</v>
          </cell>
          <cell r="K718">
            <v>25900</v>
          </cell>
          <cell r="L718">
            <v>0</v>
          </cell>
          <cell r="M718">
            <v>7.3000000000000001E-3</v>
          </cell>
          <cell r="N718">
            <v>7.1999999999999998E-3</v>
          </cell>
          <cell r="O718">
            <v>-1.3698630136986356E-2</v>
          </cell>
          <cell r="P718">
            <v>560263.51022152742</v>
          </cell>
          <cell r="Q718">
            <v>-1481739.7322672843</v>
          </cell>
          <cell r="R718">
            <v>-610</v>
          </cell>
          <cell r="U718" t="str">
            <v>PENDIENTE</v>
          </cell>
        </row>
        <row r="719">
          <cell r="A719" t="str">
            <v>20267</v>
          </cell>
          <cell r="B719" t="str">
            <v>SERFINANZAS</v>
          </cell>
          <cell r="C719" t="str">
            <v>GLADYS JEANNETH CORREA RUEDA</v>
          </cell>
          <cell r="D719" t="str">
            <v>5420603691529285</v>
          </cell>
          <cell r="E719">
            <v>46208</v>
          </cell>
          <cell r="F719">
            <v>43</v>
          </cell>
          <cell r="G719">
            <v>5</v>
          </cell>
          <cell r="H719">
            <v>545193.29477957019</v>
          </cell>
          <cell r="I719">
            <v>-10668.526072324446</v>
          </cell>
          <cell r="J719">
            <v>0</v>
          </cell>
          <cell r="K719">
            <v>25900</v>
          </cell>
          <cell r="L719">
            <v>0</v>
          </cell>
          <cell r="M719">
            <v>7.3000000000000001E-3</v>
          </cell>
          <cell r="N719">
            <v>7.1999999999999998E-3</v>
          </cell>
          <cell r="O719">
            <v>-1.3698630136986356E-2</v>
          </cell>
          <cell r="P719">
            <v>560424.7687072457</v>
          </cell>
          <cell r="Q719">
            <v>-2026933.0270468546</v>
          </cell>
          <cell r="R719">
            <v>-641</v>
          </cell>
          <cell r="U719" t="str">
            <v>PENDIENTE</v>
          </cell>
        </row>
        <row r="720">
          <cell r="A720" t="str">
            <v>20268</v>
          </cell>
          <cell r="B720" t="str">
            <v>SERFINANZAS</v>
          </cell>
          <cell r="C720" t="str">
            <v>GLADYS JEANNETH CORREA RUEDA</v>
          </cell>
          <cell r="D720" t="str">
            <v>5420603691529285</v>
          </cell>
          <cell r="E720">
            <v>46239</v>
          </cell>
          <cell r="F720">
            <v>44</v>
          </cell>
          <cell r="G720">
            <v>4</v>
          </cell>
          <cell r="H720">
            <v>549281.15410382743</v>
          </cell>
          <cell r="I720">
            <v>-14593.917794737352</v>
          </cell>
          <cell r="J720">
            <v>0</v>
          </cell>
          <cell r="K720">
            <v>25900</v>
          </cell>
          <cell r="L720">
            <v>0</v>
          </cell>
          <cell r="M720">
            <v>7.3000000000000001E-3</v>
          </cell>
          <cell r="N720">
            <v>7.1999999999999989E-3</v>
          </cell>
          <cell r="O720">
            <v>-1.3698630136986467E-2</v>
          </cell>
          <cell r="P720">
            <v>560587.23630909005</v>
          </cell>
          <cell r="Q720">
            <v>-2576214.1811506823</v>
          </cell>
          <cell r="R720">
            <v>-671</v>
          </cell>
          <cell r="U720" t="str">
            <v>PENDIENTE</v>
          </cell>
        </row>
        <row r="721">
          <cell r="A721" t="str">
            <v>20269</v>
          </cell>
          <cell r="B721" t="str">
            <v>SERFINANZAS</v>
          </cell>
          <cell r="C721" t="str">
            <v>GLADYS JEANNETH CORREA RUEDA</v>
          </cell>
          <cell r="D721" t="str">
            <v>5420603691529285</v>
          </cell>
          <cell r="E721">
            <v>46270</v>
          </cell>
          <cell r="F721">
            <v>45</v>
          </cell>
          <cell r="G721">
            <v>3</v>
          </cell>
          <cell r="H721">
            <v>553399.66419729788</v>
          </cell>
          <cell r="I721">
            <v>-18548.742104284913</v>
          </cell>
          <cell r="J721">
            <v>0</v>
          </cell>
          <cell r="K721">
            <v>25900</v>
          </cell>
          <cell r="L721">
            <v>0</v>
          </cell>
          <cell r="M721">
            <v>7.3000000000000001E-3</v>
          </cell>
          <cell r="N721">
            <v>7.1999999999999998E-3</v>
          </cell>
          <cell r="O721">
            <v>-1.3698630136986356E-2</v>
          </cell>
          <cell r="P721">
            <v>560750.92209301295</v>
          </cell>
          <cell r="Q721">
            <v>-3129613.84534798</v>
          </cell>
          <cell r="R721">
            <v>-702</v>
          </cell>
          <cell r="U721" t="str">
            <v>PENDIENTE</v>
          </cell>
        </row>
        <row r="722">
          <cell r="A722" t="str">
            <v>202610</v>
          </cell>
          <cell r="B722" t="str">
            <v>SERFINANZAS</v>
          </cell>
          <cell r="C722" t="str">
            <v>GLADYS JEANNETH CORREA RUEDA</v>
          </cell>
          <cell r="D722" t="str">
            <v>5420603691529285</v>
          </cell>
          <cell r="E722">
            <v>46300</v>
          </cell>
          <cell r="F722">
            <v>46</v>
          </cell>
          <cell r="G722">
            <v>2</v>
          </cell>
          <cell r="H722">
            <v>557549.05487944919</v>
          </cell>
          <cell r="I722">
            <v>-22533.219686505454</v>
          </cell>
          <cell r="J722">
            <v>0</v>
          </cell>
          <cell r="K722">
            <v>25900</v>
          </cell>
          <cell r="L722">
            <v>0</v>
          </cell>
          <cell r="M722">
            <v>7.3000000000000001E-3</v>
          </cell>
          <cell r="N722">
            <v>7.1999999999999989E-3</v>
          </cell>
          <cell r="O722">
            <v>-1.3698630136986467E-2</v>
          </cell>
          <cell r="P722">
            <v>560915.83519294369</v>
          </cell>
          <cell r="Q722">
            <v>-3687162.9002274293</v>
          </cell>
          <cell r="R722">
            <v>-733</v>
          </cell>
          <cell r="U722" t="str">
            <v>PENDIENTE</v>
          </cell>
        </row>
        <row r="723">
          <cell r="A723" t="str">
            <v>202611</v>
          </cell>
          <cell r="B723" t="str">
            <v>SERFINANZAS</v>
          </cell>
          <cell r="C723" t="str">
            <v>GLADYS JEANNETH CORREA RUEDA</v>
          </cell>
          <cell r="D723" t="str">
            <v>5420603691529285</v>
          </cell>
          <cell r="E723">
            <v>46331</v>
          </cell>
          <cell r="F723">
            <v>47</v>
          </cell>
          <cell r="G723">
            <v>1</v>
          </cell>
          <cell r="H723">
            <v>561729.55769293534</v>
          </cell>
          <cell r="I723">
            <v>-26547.57288163749</v>
          </cell>
          <cell r="J723">
            <v>0</v>
          </cell>
          <cell r="K723">
            <v>25900</v>
          </cell>
          <cell r="L723">
            <v>0</v>
          </cell>
          <cell r="M723">
            <v>7.3000000000000001E-3</v>
          </cell>
          <cell r="N723">
            <v>7.1999999999999998E-3</v>
          </cell>
          <cell r="O723">
            <v>-1.3698630136986356E-2</v>
          </cell>
          <cell r="P723">
            <v>561081.98481129785</v>
          </cell>
          <cell r="Q723">
            <v>-4248892.457920365</v>
          </cell>
          <cell r="R723">
            <v>-763</v>
          </cell>
          <cell r="U723" t="str">
            <v>PENDIENTE</v>
          </cell>
        </row>
        <row r="724">
          <cell r="A724" t="str">
            <v>202612</v>
          </cell>
          <cell r="B724" t="str">
            <v>SERFINANZAS</v>
          </cell>
          <cell r="C724" t="str">
            <v>GLADYS JEANNETH CORREA RUEDA</v>
          </cell>
          <cell r="D724" t="str">
            <v>5420603691529285</v>
          </cell>
          <cell r="E724">
            <v>46361</v>
          </cell>
          <cell r="F724">
            <v>48</v>
          </cell>
          <cell r="G724">
            <v>0</v>
          </cell>
          <cell r="H724">
            <v>565941.40591651702</v>
          </cell>
          <cell r="I724">
            <v>-30592.025697026627</v>
          </cell>
          <cell r="J724">
            <v>0</v>
          </cell>
          <cell r="K724">
            <v>25900</v>
          </cell>
          <cell r="L724">
            <v>0</v>
          </cell>
          <cell r="M724">
            <v>7.3000000000000001E-3</v>
          </cell>
          <cell r="N724">
            <v>7.1999999999999998E-3</v>
          </cell>
          <cell r="O724">
            <v>-1.3698630136986356E-2</v>
          </cell>
          <cell r="P724">
            <v>561249.38021949038</v>
          </cell>
          <cell r="Q724">
            <v>-4814833.8638368817</v>
          </cell>
          <cell r="R724">
            <v>-794</v>
          </cell>
          <cell r="U724" t="str">
            <v>PENDIENTE</v>
          </cell>
        </row>
        <row r="725">
          <cell r="A725" t="str">
            <v>20238</v>
          </cell>
          <cell r="B725" t="str">
            <v>BANCOLOMBIA</v>
          </cell>
          <cell r="C725" t="str">
            <v>LAMAR OPTICAL S.A.S</v>
          </cell>
          <cell r="D725" t="str">
            <v>8140098501</v>
          </cell>
          <cell r="E725">
            <v>45156</v>
          </cell>
          <cell r="F725">
            <v>0</v>
          </cell>
          <cell r="G725">
            <v>52</v>
          </cell>
          <cell r="H725">
            <v>0</v>
          </cell>
          <cell r="I725">
            <v>0</v>
          </cell>
          <cell r="J725">
            <v>0</v>
          </cell>
          <cell r="K725">
            <v>0</v>
          </cell>
          <cell r="L725">
            <v>0</v>
          </cell>
          <cell r="M725">
            <v>0</v>
          </cell>
          <cell r="N725">
            <v>0</v>
          </cell>
          <cell r="O725">
            <v>0</v>
          </cell>
          <cell r="P725">
            <v>0</v>
          </cell>
          <cell r="Q725">
            <v>169994383</v>
          </cell>
          <cell r="R725" t="str">
            <v>OK</v>
          </cell>
          <cell r="S725">
            <v>0</v>
          </cell>
          <cell r="T725">
            <v>45156</v>
          </cell>
          <cell r="U725" t="str">
            <v>PAGADO</v>
          </cell>
        </row>
        <row r="726">
          <cell r="A726" t="str">
            <v>20239</v>
          </cell>
          <cell r="B726" t="str">
            <v>BANCOLOMBIA</v>
          </cell>
          <cell r="C726" t="str">
            <v>LAMAR OPTICAL S.A.S</v>
          </cell>
          <cell r="D726" t="str">
            <v>8140098501</v>
          </cell>
          <cell r="E726">
            <v>45187</v>
          </cell>
          <cell r="F726">
            <v>1</v>
          </cell>
          <cell r="G726">
            <v>51</v>
          </cell>
          <cell r="H726">
            <v>0</v>
          </cell>
          <cell r="I726">
            <v>3123396</v>
          </cell>
          <cell r="J726">
            <v>0</v>
          </cell>
          <cell r="K726">
            <v>0</v>
          </cell>
          <cell r="L726">
            <v>0</v>
          </cell>
          <cell r="M726">
            <v>1.8373524729931812E-2</v>
          </cell>
          <cell r="N726">
            <v>1.8373524729931812E-2</v>
          </cell>
          <cell r="O726">
            <v>0</v>
          </cell>
          <cell r="P726">
            <v>3123396</v>
          </cell>
          <cell r="Q726">
            <v>169994383</v>
          </cell>
          <cell r="R726" t="str">
            <v>OK</v>
          </cell>
          <cell r="S726">
            <v>3123396</v>
          </cell>
          <cell r="T726">
            <v>45188</v>
          </cell>
          <cell r="U726" t="str">
            <v>PAGADO</v>
          </cell>
        </row>
        <row r="727">
          <cell r="A727" t="str">
            <v>202310</v>
          </cell>
          <cell r="B727" t="str">
            <v>BANCOLOMBIA</v>
          </cell>
          <cell r="C727" t="str">
            <v>LAMAR OPTICAL S.A.S</v>
          </cell>
          <cell r="D727" t="str">
            <v>8140098501</v>
          </cell>
          <cell r="E727">
            <v>45217</v>
          </cell>
          <cell r="F727">
            <v>2</v>
          </cell>
          <cell r="G727">
            <v>50</v>
          </cell>
          <cell r="H727">
            <v>0</v>
          </cell>
          <cell r="I727">
            <v>3020942</v>
          </cell>
          <cell r="J727">
            <v>0</v>
          </cell>
          <cell r="K727">
            <v>0</v>
          </cell>
          <cell r="L727">
            <v>0</v>
          </cell>
          <cell r="M727">
            <v>1.8373524729931812E-2</v>
          </cell>
          <cell r="N727">
            <v>1.777083422809329E-2</v>
          </cell>
          <cell r="O727">
            <v>-3.2802116670444526E-2</v>
          </cell>
          <cell r="P727">
            <v>3020942</v>
          </cell>
          <cell r="Q727">
            <v>169994383</v>
          </cell>
          <cell r="R727" t="str">
            <v>OK</v>
          </cell>
          <cell r="S727">
            <v>3020942</v>
          </cell>
          <cell r="T727">
            <v>45218</v>
          </cell>
          <cell r="U727" t="str">
            <v>PAGADO</v>
          </cell>
        </row>
        <row r="728">
          <cell r="A728" t="str">
            <v>202311</v>
          </cell>
          <cell r="B728" t="str">
            <v>BANCOLOMBIA</v>
          </cell>
          <cell r="C728" t="str">
            <v>LAMAR OPTICAL S.A.S</v>
          </cell>
          <cell r="D728" t="str">
            <v>8140098501</v>
          </cell>
          <cell r="E728">
            <v>45248</v>
          </cell>
          <cell r="F728">
            <v>3</v>
          </cell>
          <cell r="G728">
            <v>49</v>
          </cell>
          <cell r="H728">
            <v>0</v>
          </cell>
          <cell r="I728">
            <v>3122811</v>
          </cell>
          <cell r="J728">
            <v>0</v>
          </cell>
          <cell r="K728">
            <v>0</v>
          </cell>
          <cell r="L728">
            <v>0</v>
          </cell>
          <cell r="M728">
            <v>1.8373524729931812E-2</v>
          </cell>
          <cell r="N728">
            <v>1.8370083439756948E-2</v>
          </cell>
          <cell r="O728">
            <v>-1.87296135360282E-4</v>
          </cell>
          <cell r="P728">
            <v>3122811</v>
          </cell>
          <cell r="Q728">
            <v>169994383</v>
          </cell>
          <cell r="R728" t="str">
            <v>OK</v>
          </cell>
          <cell r="S728">
            <v>3122811</v>
          </cell>
          <cell r="T728">
            <v>45250</v>
          </cell>
          <cell r="U728" t="str">
            <v>PAGADO</v>
          </cell>
        </row>
        <row r="729">
          <cell r="A729" t="str">
            <v>202312</v>
          </cell>
          <cell r="B729" t="str">
            <v>BANCOLOMBIA</v>
          </cell>
          <cell r="C729" t="str">
            <v>LAMAR OPTICAL S.A.S</v>
          </cell>
          <cell r="D729" t="str">
            <v>8140098501</v>
          </cell>
          <cell r="E729">
            <v>45278</v>
          </cell>
          <cell r="F729">
            <v>4</v>
          </cell>
          <cell r="G729">
            <v>48</v>
          </cell>
          <cell r="H729">
            <v>0</v>
          </cell>
          <cell r="I729">
            <v>3021650</v>
          </cell>
          <cell r="J729">
            <v>0</v>
          </cell>
          <cell r="K729">
            <v>0</v>
          </cell>
          <cell r="L729">
            <v>0</v>
          </cell>
          <cell r="M729">
            <v>1.8373524729931812E-2</v>
          </cell>
          <cell r="N729">
            <v>1.7774999071586972E-2</v>
          </cell>
          <cell r="O729">
            <v>-3.2575440322008431E-2</v>
          </cell>
          <cell r="P729">
            <v>3021650</v>
          </cell>
          <cell r="Q729">
            <v>169994383</v>
          </cell>
          <cell r="R729" t="str">
            <v>OK</v>
          </cell>
          <cell r="S729">
            <v>3021650</v>
          </cell>
          <cell r="T729">
            <v>45281</v>
          </cell>
          <cell r="U729" t="str">
            <v>PAGADO</v>
          </cell>
        </row>
        <row r="730">
          <cell r="A730" t="str">
            <v>20241</v>
          </cell>
          <cell r="B730" t="str">
            <v>BANCOLOMBIA</v>
          </cell>
          <cell r="C730" t="str">
            <v>LAMAR OPTICAL S.A.S</v>
          </cell>
          <cell r="D730" t="str">
            <v>8140098501</v>
          </cell>
          <cell r="E730">
            <v>45309</v>
          </cell>
          <cell r="F730">
            <v>5</v>
          </cell>
          <cell r="G730">
            <v>47</v>
          </cell>
          <cell r="H730">
            <v>0</v>
          </cell>
          <cell r="I730">
            <v>3123396</v>
          </cell>
          <cell r="J730">
            <v>0</v>
          </cell>
          <cell r="K730">
            <v>0</v>
          </cell>
          <cell r="L730">
            <v>0</v>
          </cell>
          <cell r="M730">
            <v>1.8373524729931812E-2</v>
          </cell>
          <cell r="N730">
            <v>1.8373524729931812E-2</v>
          </cell>
          <cell r="O730">
            <v>0</v>
          </cell>
          <cell r="P730">
            <v>3123396</v>
          </cell>
          <cell r="Q730">
            <v>169994383</v>
          </cell>
          <cell r="R730" t="str">
            <v>OK</v>
          </cell>
          <cell r="S730">
            <v>3101293</v>
          </cell>
          <cell r="T730">
            <v>45309</v>
          </cell>
          <cell r="U730" t="str">
            <v>PAGADO</v>
          </cell>
        </row>
        <row r="731">
          <cell r="A731" t="str">
            <v>20242</v>
          </cell>
          <cell r="B731" t="str">
            <v>BANCOLOMBIA</v>
          </cell>
          <cell r="C731" t="str">
            <v>LAMAR OPTICAL S.A.S</v>
          </cell>
          <cell r="D731" t="str">
            <v>8140098501</v>
          </cell>
          <cell r="E731">
            <v>45340</v>
          </cell>
          <cell r="F731">
            <v>6</v>
          </cell>
          <cell r="G731">
            <v>46</v>
          </cell>
          <cell r="H731">
            <v>0</v>
          </cell>
          <cell r="I731">
            <v>3068209</v>
          </cell>
          <cell r="J731">
            <v>0</v>
          </cell>
          <cell r="K731">
            <v>0</v>
          </cell>
          <cell r="L731">
            <v>0</v>
          </cell>
          <cell r="M731">
            <v>1.8373524729931812E-2</v>
          </cell>
          <cell r="N731">
            <v>1.8048884591675009E-2</v>
          </cell>
          <cell r="O731">
            <v>-1.7668909097661611E-2</v>
          </cell>
          <cell r="P731">
            <v>3068209</v>
          </cell>
          <cell r="Q731">
            <v>169994383</v>
          </cell>
          <cell r="R731" t="str">
            <v>OK</v>
          </cell>
          <cell r="S731">
            <v>3068209</v>
          </cell>
          <cell r="T731">
            <v>45341</v>
          </cell>
          <cell r="U731" t="str">
            <v>PAGADO</v>
          </cell>
        </row>
        <row r="732">
          <cell r="A732" t="str">
            <v>20243</v>
          </cell>
          <cell r="B732" t="str">
            <v>BANCOLOMBIA</v>
          </cell>
          <cell r="C732" t="str">
            <v>LAMAR OPTICAL S.A.S</v>
          </cell>
          <cell r="D732" t="str">
            <v>8140098501</v>
          </cell>
          <cell r="E732">
            <v>45369</v>
          </cell>
          <cell r="F732">
            <v>7</v>
          </cell>
          <cell r="G732">
            <v>45</v>
          </cell>
          <cell r="H732">
            <v>3695530.0652173911</v>
          </cell>
          <cell r="I732">
            <v>3123396</v>
          </cell>
          <cell r="J732">
            <v>0</v>
          </cell>
          <cell r="K732">
            <v>0</v>
          </cell>
          <cell r="L732">
            <v>0</v>
          </cell>
          <cell r="M732">
            <v>1.8373524729931812E-2</v>
          </cell>
          <cell r="N732">
            <v>1.8373524729931812E-2</v>
          </cell>
          <cell r="O732">
            <v>0</v>
          </cell>
          <cell r="P732">
            <v>6818926.0652173907</v>
          </cell>
          <cell r="Q732">
            <v>166298852.93478259</v>
          </cell>
          <cell r="R732" t="str">
            <v>OK</v>
          </cell>
          <cell r="S732">
            <v>6554014</v>
          </cell>
          <cell r="T732">
            <v>45369</v>
          </cell>
          <cell r="U732" t="str">
            <v>PAGADO</v>
          </cell>
        </row>
        <row r="733">
          <cell r="A733" t="str">
            <v>20244</v>
          </cell>
          <cell r="B733" t="str">
            <v>BANCOLOMBIA</v>
          </cell>
          <cell r="C733" t="str">
            <v>LAMAR OPTICAL S.A.S</v>
          </cell>
          <cell r="D733" t="str">
            <v>8140098501</v>
          </cell>
          <cell r="E733">
            <v>45400</v>
          </cell>
          <cell r="F733">
            <v>8</v>
          </cell>
          <cell r="G733">
            <v>44</v>
          </cell>
          <cell r="H733">
            <v>3695530.0652173911</v>
          </cell>
          <cell r="I733">
            <v>3055496.0869565215</v>
          </cell>
          <cell r="J733">
            <v>0</v>
          </cell>
          <cell r="K733">
            <v>0</v>
          </cell>
          <cell r="L733">
            <v>264912.06521739066</v>
          </cell>
          <cell r="M733">
            <v>1.8373524729931812E-2</v>
          </cell>
          <cell r="N733">
            <v>1.8373524729931812E-2</v>
          </cell>
          <cell r="O733">
            <v>0</v>
          </cell>
          <cell r="P733">
            <v>7015938.2173913028</v>
          </cell>
          <cell r="Q733">
            <v>162603322.86956519</v>
          </cell>
          <cell r="R733" t="str">
            <v>OK</v>
          </cell>
          <cell r="S733">
            <v>6647349</v>
          </cell>
          <cell r="T733">
            <v>45400</v>
          </cell>
          <cell r="U733" t="str">
            <v>PAGADO</v>
          </cell>
        </row>
        <row r="734">
          <cell r="A734" t="str">
            <v>20245</v>
          </cell>
          <cell r="B734" t="str">
            <v>BANCOLOMBIA</v>
          </cell>
          <cell r="C734" t="str">
            <v>LAMAR OPTICAL S.A.S</v>
          </cell>
          <cell r="D734" t="str">
            <v>8140098501</v>
          </cell>
          <cell r="E734">
            <v>45430</v>
          </cell>
          <cell r="F734">
            <v>9</v>
          </cell>
          <cell r="G734">
            <v>43</v>
          </cell>
          <cell r="H734">
            <v>3695530.0652173911</v>
          </cell>
          <cell r="I734">
            <v>2987596.173913043</v>
          </cell>
          <cell r="J734">
            <v>0</v>
          </cell>
          <cell r="K734">
            <v>0</v>
          </cell>
          <cell r="L734">
            <v>368589.21739130281</v>
          </cell>
          <cell r="M734">
            <v>1.8373524729931812E-2</v>
          </cell>
          <cell r="N734">
            <v>1.8373524729931812E-2</v>
          </cell>
          <cell r="O734">
            <v>0</v>
          </cell>
          <cell r="P734">
            <v>7051715.4565217365</v>
          </cell>
          <cell r="Q734">
            <v>158907792.80434778</v>
          </cell>
          <cell r="R734" t="str">
            <v>OK</v>
          </cell>
          <cell r="S734">
            <v>6442927</v>
          </cell>
          <cell r="T734">
            <v>45433</v>
          </cell>
          <cell r="U734" t="str">
            <v>PAGADO</v>
          </cell>
        </row>
        <row r="735">
          <cell r="A735" t="str">
            <v>20246</v>
          </cell>
          <cell r="B735" t="str">
            <v>BANCOLOMBIA</v>
          </cell>
          <cell r="C735" t="str">
            <v>LAMAR OPTICAL S.A.S</v>
          </cell>
          <cell r="D735" t="str">
            <v>8140098501</v>
          </cell>
          <cell r="E735">
            <v>45461</v>
          </cell>
          <cell r="F735">
            <v>10</v>
          </cell>
          <cell r="G735">
            <v>42</v>
          </cell>
          <cell r="H735">
            <v>3695530.0652173911</v>
          </cell>
          <cell r="I735">
            <v>2919696.2608695645</v>
          </cell>
          <cell r="J735">
            <v>0</v>
          </cell>
          <cell r="K735">
            <v>0</v>
          </cell>
          <cell r="L735">
            <v>608788.45652173646</v>
          </cell>
          <cell r="M735">
            <v>1.8373524729931812E-2</v>
          </cell>
          <cell r="N735">
            <v>1.8373524729931812E-2</v>
          </cell>
          <cell r="O735">
            <v>0</v>
          </cell>
          <cell r="P735">
            <v>7224014.7826086916</v>
          </cell>
          <cell r="Q735">
            <v>155212262.73913038</v>
          </cell>
          <cell r="R735" t="str">
            <v>OK</v>
          </cell>
          <cell r="S735">
            <v>6432275</v>
          </cell>
          <cell r="T735">
            <v>45461</v>
          </cell>
          <cell r="U735" t="str">
            <v>PAGADO</v>
          </cell>
        </row>
        <row r="736">
          <cell r="A736" t="str">
            <v>20247</v>
          </cell>
          <cell r="B736" t="str">
            <v>BANCOLOMBIA</v>
          </cell>
          <cell r="C736" t="str">
            <v>LAMAR OPTICAL S.A.S</v>
          </cell>
          <cell r="D736" t="str">
            <v>8140098501</v>
          </cell>
          <cell r="E736">
            <v>45491</v>
          </cell>
          <cell r="F736">
            <v>11</v>
          </cell>
          <cell r="G736">
            <v>41</v>
          </cell>
          <cell r="H736">
            <v>3695530.0652173911</v>
          </cell>
          <cell r="I736">
            <v>2851796.347826086</v>
          </cell>
          <cell r="J736">
            <v>0</v>
          </cell>
          <cell r="K736">
            <v>0</v>
          </cell>
          <cell r="L736">
            <v>791739.7826086916</v>
          </cell>
          <cell r="M736">
            <v>1.8373524729931812E-2</v>
          </cell>
          <cell r="N736">
            <v>1.8373524729931812E-2</v>
          </cell>
          <cell r="O736">
            <v>0</v>
          </cell>
          <cell r="P736">
            <v>7339066.1956521682</v>
          </cell>
          <cell r="Q736">
            <v>151516732.67391297</v>
          </cell>
          <cell r="R736" t="str">
            <v>OK</v>
          </cell>
          <cell r="S736">
            <v>6253299</v>
          </cell>
          <cell r="T736">
            <v>45491</v>
          </cell>
          <cell r="U736" t="str">
            <v>PAGADO</v>
          </cell>
        </row>
        <row r="737">
          <cell r="A737" t="str">
            <v>20248</v>
          </cell>
          <cell r="B737" t="str">
            <v>BANCOLOMBIA</v>
          </cell>
          <cell r="C737" t="str">
            <v>LAMAR OPTICAL S.A.S</v>
          </cell>
          <cell r="D737" t="str">
            <v>8140098501</v>
          </cell>
          <cell r="E737">
            <v>45522</v>
          </cell>
          <cell r="F737">
            <v>12</v>
          </cell>
          <cell r="G737">
            <v>40</v>
          </cell>
          <cell r="H737">
            <v>3695530.0652173911</v>
          </cell>
          <cell r="I737">
            <v>2783896.4347826075</v>
          </cell>
          <cell r="J737">
            <v>0</v>
          </cell>
          <cell r="K737">
            <v>0</v>
          </cell>
          <cell r="L737">
            <v>1085767.1956521682</v>
          </cell>
          <cell r="M737">
            <v>1.8373524729931812E-2</v>
          </cell>
          <cell r="N737">
            <v>1.8373524729931812E-2</v>
          </cell>
          <cell r="O737">
            <v>0</v>
          </cell>
          <cell r="P737">
            <v>7565193.6956521664</v>
          </cell>
          <cell r="Q737">
            <v>147821202.60869557</v>
          </cell>
          <cell r="R737" t="str">
            <v>OK</v>
          </cell>
          <cell r="S737">
            <v>6214306</v>
          </cell>
          <cell r="T737">
            <v>45524</v>
          </cell>
          <cell r="U737" t="str">
            <v>PAGADO</v>
          </cell>
        </row>
        <row r="738">
          <cell r="A738" t="str">
            <v>20249</v>
          </cell>
          <cell r="B738" t="str">
            <v>BANCOLOMBIA</v>
          </cell>
          <cell r="C738" t="str">
            <v>LAMAR OPTICAL S.A.S</v>
          </cell>
          <cell r="D738" t="str">
            <v>8140098501</v>
          </cell>
          <cell r="E738">
            <v>45553</v>
          </cell>
          <cell r="F738">
            <v>13</v>
          </cell>
          <cell r="G738">
            <v>39</v>
          </cell>
          <cell r="H738">
            <v>3695530.0652173911</v>
          </cell>
          <cell r="I738">
            <v>2715996.521739129</v>
          </cell>
          <cell r="J738">
            <v>0</v>
          </cell>
          <cell r="K738">
            <v>0</v>
          </cell>
          <cell r="L738">
            <v>1350887.6956521664</v>
          </cell>
          <cell r="M738">
            <v>1.8373524729931812E-2</v>
          </cell>
          <cell r="N738">
            <v>1.8373524729931812E-2</v>
          </cell>
          <cell r="O738">
            <v>0</v>
          </cell>
          <cell r="P738">
            <v>7762414.282608686</v>
          </cell>
          <cell r="Q738">
            <v>144125672.54347816</v>
          </cell>
          <cell r="R738">
            <v>-16</v>
          </cell>
          <cell r="U738" t="str">
            <v>PENDIENTE</v>
          </cell>
        </row>
        <row r="739">
          <cell r="A739" t="str">
            <v>202410</v>
          </cell>
          <cell r="B739" t="str">
            <v>BANCOLOMBIA</v>
          </cell>
          <cell r="C739" t="str">
            <v>LAMAR OPTICAL S.A.S</v>
          </cell>
          <cell r="D739" t="str">
            <v>8140098501</v>
          </cell>
          <cell r="E739">
            <v>45583</v>
          </cell>
          <cell r="F739">
            <v>14</v>
          </cell>
          <cell r="G739">
            <v>38</v>
          </cell>
          <cell r="H739">
            <v>3695530.0652173911</v>
          </cell>
          <cell r="I739">
            <v>2648096.6086956505</v>
          </cell>
          <cell r="J739">
            <v>0</v>
          </cell>
          <cell r="K739">
            <v>0</v>
          </cell>
          <cell r="L739">
            <v>0</v>
          </cell>
          <cell r="M739">
            <v>1.8373524729931812E-2</v>
          </cell>
          <cell r="N739">
            <v>1.8373524729931812E-2</v>
          </cell>
          <cell r="O739">
            <v>0</v>
          </cell>
          <cell r="P739">
            <v>6343626.6739130411</v>
          </cell>
          <cell r="Q739">
            <v>140430142.47826076</v>
          </cell>
          <cell r="R739">
            <v>-16</v>
          </cell>
          <cell r="U739" t="str">
            <v>PENDIENTE</v>
          </cell>
        </row>
        <row r="740">
          <cell r="A740" t="str">
            <v>202411</v>
          </cell>
          <cell r="B740" t="str">
            <v>BANCOLOMBIA</v>
          </cell>
          <cell r="C740" t="str">
            <v>LAMAR OPTICAL S.A.S</v>
          </cell>
          <cell r="D740" t="str">
            <v>8140098501</v>
          </cell>
          <cell r="E740">
            <v>45614</v>
          </cell>
          <cell r="F740">
            <v>15</v>
          </cell>
          <cell r="G740">
            <v>37</v>
          </cell>
          <cell r="H740">
            <v>3695530.0652173911</v>
          </cell>
          <cell r="I740">
            <v>2580196.695652172</v>
          </cell>
          <cell r="J740">
            <v>0</v>
          </cell>
          <cell r="K740">
            <v>0</v>
          </cell>
          <cell r="L740">
            <v>0</v>
          </cell>
          <cell r="M740">
            <v>1.8373524729931812E-2</v>
          </cell>
          <cell r="N740">
            <v>1.8373524729931812E-2</v>
          </cell>
          <cell r="O740">
            <v>0</v>
          </cell>
          <cell r="P740">
            <v>6275726.7608695626</v>
          </cell>
          <cell r="Q740">
            <v>136734612.41304335</v>
          </cell>
          <cell r="R740">
            <v>-46</v>
          </cell>
          <cell r="U740" t="str">
            <v>PENDIENTE</v>
          </cell>
        </row>
        <row r="741">
          <cell r="A741" t="str">
            <v>202412</v>
          </cell>
          <cell r="B741" t="str">
            <v>BANCOLOMBIA</v>
          </cell>
          <cell r="C741" t="str">
            <v>LAMAR OPTICAL S.A.S</v>
          </cell>
          <cell r="D741" t="str">
            <v>8140098501</v>
          </cell>
          <cell r="E741">
            <v>45644</v>
          </cell>
          <cell r="F741">
            <v>16</v>
          </cell>
          <cell r="G741">
            <v>36</v>
          </cell>
          <cell r="H741">
            <v>3695530.0652173911</v>
          </cell>
          <cell r="I741">
            <v>2512296.7826086935</v>
          </cell>
          <cell r="J741">
            <v>0</v>
          </cell>
          <cell r="K741">
            <v>0</v>
          </cell>
          <cell r="L741">
            <v>0</v>
          </cell>
          <cell r="M741">
            <v>1.8373524729931812E-2</v>
          </cell>
          <cell r="N741">
            <v>1.8373524729931812E-2</v>
          </cell>
          <cell r="O741">
            <v>0</v>
          </cell>
          <cell r="P741">
            <v>6207826.8478260841</v>
          </cell>
          <cell r="Q741">
            <v>133039082.34782596</v>
          </cell>
          <cell r="R741">
            <v>-77</v>
          </cell>
          <cell r="U741" t="str">
            <v>PENDIENTE</v>
          </cell>
        </row>
        <row r="742">
          <cell r="A742" t="str">
            <v>20251</v>
          </cell>
          <cell r="B742" t="str">
            <v>BANCOLOMBIA</v>
          </cell>
          <cell r="C742" t="str">
            <v>LAMAR OPTICAL S.A.S</v>
          </cell>
          <cell r="D742" t="str">
            <v>8140098501</v>
          </cell>
          <cell r="E742">
            <v>45675</v>
          </cell>
          <cell r="F742">
            <v>17</v>
          </cell>
          <cell r="G742">
            <v>35</v>
          </cell>
          <cell r="H742">
            <v>3695530.0652173911</v>
          </cell>
          <cell r="I742">
            <v>2444396.869565215</v>
          </cell>
          <cell r="J742">
            <v>0</v>
          </cell>
          <cell r="K742">
            <v>0</v>
          </cell>
          <cell r="L742">
            <v>0</v>
          </cell>
          <cell r="M742">
            <v>1.8373524729931812E-2</v>
          </cell>
          <cell r="N742">
            <v>1.8373524729931812E-2</v>
          </cell>
          <cell r="O742">
            <v>0</v>
          </cell>
          <cell r="P742">
            <v>6139926.9347826056</v>
          </cell>
          <cell r="Q742">
            <v>129343552.28260857</v>
          </cell>
          <cell r="R742">
            <v>-107</v>
          </cell>
          <cell r="U742" t="str">
            <v>PENDIENTE</v>
          </cell>
        </row>
        <row r="743">
          <cell r="A743" t="str">
            <v>20252</v>
          </cell>
          <cell r="B743" t="str">
            <v>BANCOLOMBIA</v>
          </cell>
          <cell r="C743" t="str">
            <v>LAMAR OPTICAL S.A.S</v>
          </cell>
          <cell r="D743" t="str">
            <v>8140098501</v>
          </cell>
          <cell r="E743">
            <v>45706</v>
          </cell>
          <cell r="F743">
            <v>18</v>
          </cell>
          <cell r="G743">
            <v>34</v>
          </cell>
          <cell r="H743">
            <v>3695530.0652173911</v>
          </cell>
          <cell r="I743">
            <v>2376496.9565217369</v>
          </cell>
          <cell r="J743">
            <v>0</v>
          </cell>
          <cell r="K743">
            <v>0</v>
          </cell>
          <cell r="L743">
            <v>0</v>
          </cell>
          <cell r="M743">
            <v>1.8373524729931812E-2</v>
          </cell>
          <cell r="N743">
            <v>1.8373524729931812E-2</v>
          </cell>
          <cell r="O743">
            <v>0</v>
          </cell>
          <cell r="P743">
            <v>6072027.021739128</v>
          </cell>
          <cell r="Q743">
            <v>125648022.21739118</v>
          </cell>
          <cell r="R743">
            <v>-138</v>
          </cell>
          <cell r="U743" t="str">
            <v>PENDIENTE</v>
          </cell>
        </row>
        <row r="744">
          <cell r="A744" t="str">
            <v>20253</v>
          </cell>
          <cell r="B744" t="str">
            <v>BANCOLOMBIA</v>
          </cell>
          <cell r="C744" t="str">
            <v>LAMAR OPTICAL S.A.S</v>
          </cell>
          <cell r="D744" t="str">
            <v>8140098501</v>
          </cell>
          <cell r="E744">
            <v>45734</v>
          </cell>
          <cell r="F744">
            <v>19</v>
          </cell>
          <cell r="G744">
            <v>33</v>
          </cell>
          <cell r="H744">
            <v>3695530.0652173911</v>
          </cell>
          <cell r="I744">
            <v>2308597.0434782584</v>
          </cell>
          <cell r="J744">
            <v>0</v>
          </cell>
          <cell r="K744">
            <v>0</v>
          </cell>
          <cell r="L744">
            <v>0</v>
          </cell>
          <cell r="M744">
            <v>1.8373524729931812E-2</v>
          </cell>
          <cell r="N744">
            <v>1.8373524729931812E-2</v>
          </cell>
          <cell r="O744">
            <v>0</v>
          </cell>
          <cell r="P744">
            <v>6004127.1086956495</v>
          </cell>
          <cell r="Q744">
            <v>121952492.15217379</v>
          </cell>
          <cell r="R744">
            <v>-169</v>
          </cell>
          <cell r="U744" t="str">
            <v>PENDIENTE</v>
          </cell>
        </row>
        <row r="745">
          <cell r="A745" t="str">
            <v>20254</v>
          </cell>
          <cell r="B745" t="str">
            <v>BANCOLOMBIA</v>
          </cell>
          <cell r="C745" t="str">
            <v>LAMAR OPTICAL S.A.S</v>
          </cell>
          <cell r="D745" t="str">
            <v>8140098501</v>
          </cell>
          <cell r="E745">
            <v>45765</v>
          </cell>
          <cell r="F745">
            <v>20</v>
          </cell>
          <cell r="G745">
            <v>32</v>
          </cell>
          <cell r="H745">
            <v>3695530.0652173911</v>
          </cell>
          <cell r="I745">
            <v>2240697.1304347804</v>
          </cell>
          <cell r="J745">
            <v>0</v>
          </cell>
          <cell r="K745">
            <v>0</v>
          </cell>
          <cell r="L745">
            <v>0</v>
          </cell>
          <cell r="M745">
            <v>1.8373524729931812E-2</v>
          </cell>
          <cell r="N745">
            <v>1.8373524729931812E-2</v>
          </cell>
          <cell r="O745">
            <v>0</v>
          </cell>
          <cell r="P745">
            <v>5936227.195652172</v>
          </cell>
          <cell r="Q745">
            <v>118256962.0869564</v>
          </cell>
          <cell r="R745">
            <v>-197</v>
          </cell>
          <cell r="U745" t="str">
            <v>PENDIENTE</v>
          </cell>
        </row>
        <row r="746">
          <cell r="A746" t="str">
            <v>20255</v>
          </cell>
          <cell r="B746" t="str">
            <v>BANCOLOMBIA</v>
          </cell>
          <cell r="C746" t="str">
            <v>LAMAR OPTICAL S.A.S</v>
          </cell>
          <cell r="D746" t="str">
            <v>8140098501</v>
          </cell>
          <cell r="E746">
            <v>45795</v>
          </cell>
          <cell r="F746">
            <v>21</v>
          </cell>
          <cell r="G746">
            <v>31</v>
          </cell>
          <cell r="H746">
            <v>3695530.0652173911</v>
          </cell>
          <cell r="I746">
            <v>2172797.2173913019</v>
          </cell>
          <cell r="J746">
            <v>0</v>
          </cell>
          <cell r="K746">
            <v>0</v>
          </cell>
          <cell r="L746">
            <v>0</v>
          </cell>
          <cell r="M746">
            <v>1.8373524729931812E-2</v>
          </cell>
          <cell r="N746">
            <v>1.8373524729931812E-2</v>
          </cell>
          <cell r="O746">
            <v>0</v>
          </cell>
          <cell r="P746">
            <v>5868327.2826086935</v>
          </cell>
          <cell r="Q746">
            <v>114561432.02173901</v>
          </cell>
          <cell r="R746">
            <v>-228</v>
          </cell>
          <cell r="U746" t="str">
            <v>PENDIENTE</v>
          </cell>
        </row>
        <row r="747">
          <cell r="A747" t="str">
            <v>20256</v>
          </cell>
          <cell r="B747" t="str">
            <v>BANCOLOMBIA</v>
          </cell>
          <cell r="C747" t="str">
            <v>LAMAR OPTICAL S.A.S</v>
          </cell>
          <cell r="D747" t="str">
            <v>8140098501</v>
          </cell>
          <cell r="E747">
            <v>45826</v>
          </cell>
          <cell r="F747">
            <v>22</v>
          </cell>
          <cell r="G747">
            <v>30</v>
          </cell>
          <cell r="H747">
            <v>3695530.0652173911</v>
          </cell>
          <cell r="I747">
            <v>2104897.3043478238</v>
          </cell>
          <cell r="J747">
            <v>0</v>
          </cell>
          <cell r="K747">
            <v>0</v>
          </cell>
          <cell r="L747">
            <v>0</v>
          </cell>
          <cell r="M747">
            <v>1.8373524729931812E-2</v>
          </cell>
          <cell r="N747">
            <v>1.8373524729931812E-2</v>
          </cell>
          <cell r="O747">
            <v>0</v>
          </cell>
          <cell r="P747">
            <v>5800427.369565215</v>
          </cell>
          <cell r="Q747">
            <v>110865901.95652162</v>
          </cell>
          <cell r="R747">
            <v>-258</v>
          </cell>
          <cell r="U747" t="str">
            <v>PENDIENTE</v>
          </cell>
        </row>
        <row r="748">
          <cell r="A748" t="str">
            <v>20257</v>
          </cell>
          <cell r="B748" t="str">
            <v>BANCOLOMBIA</v>
          </cell>
          <cell r="C748" t="str">
            <v>LAMAR OPTICAL S.A.S</v>
          </cell>
          <cell r="D748" t="str">
            <v>8140098501</v>
          </cell>
          <cell r="E748">
            <v>45856</v>
          </cell>
          <cell r="F748">
            <v>23</v>
          </cell>
          <cell r="G748">
            <v>29</v>
          </cell>
          <cell r="H748">
            <v>3695530.0652173911</v>
          </cell>
          <cell r="I748">
            <v>2036997.3913043456</v>
          </cell>
          <cell r="J748">
            <v>0</v>
          </cell>
          <cell r="K748">
            <v>0</v>
          </cell>
          <cell r="L748">
            <v>0</v>
          </cell>
          <cell r="M748">
            <v>1.8373524729931812E-2</v>
          </cell>
          <cell r="N748">
            <v>1.8373524729931812E-2</v>
          </cell>
          <cell r="O748">
            <v>0</v>
          </cell>
          <cell r="P748">
            <v>5732527.4565217365</v>
          </cell>
          <cell r="Q748">
            <v>107170371.89130422</v>
          </cell>
          <cell r="R748">
            <v>-289</v>
          </cell>
          <cell r="U748" t="str">
            <v>PENDIENTE</v>
          </cell>
        </row>
        <row r="749">
          <cell r="A749" t="str">
            <v>20258</v>
          </cell>
          <cell r="B749" t="str">
            <v>BANCOLOMBIA</v>
          </cell>
          <cell r="C749" t="str">
            <v>LAMAR OPTICAL S.A.S</v>
          </cell>
          <cell r="D749" t="str">
            <v>8140098501</v>
          </cell>
          <cell r="E749">
            <v>45887</v>
          </cell>
          <cell r="F749">
            <v>24</v>
          </cell>
          <cell r="G749">
            <v>28</v>
          </cell>
          <cell r="H749">
            <v>3695530.0652173911</v>
          </cell>
          <cell r="I749">
            <v>1969097.4782608673</v>
          </cell>
          <cell r="J749">
            <v>0</v>
          </cell>
          <cell r="K749">
            <v>0</v>
          </cell>
          <cell r="L749">
            <v>0</v>
          </cell>
          <cell r="M749">
            <v>1.8373524729931812E-2</v>
          </cell>
          <cell r="N749">
            <v>1.8373524729931812E-2</v>
          </cell>
          <cell r="O749">
            <v>0</v>
          </cell>
          <cell r="P749">
            <v>5664627.543478258</v>
          </cell>
          <cell r="Q749">
            <v>103474841.82608683</v>
          </cell>
          <cell r="R749">
            <v>-319</v>
          </cell>
          <cell r="U749" t="str">
            <v>PENDIENTE</v>
          </cell>
        </row>
        <row r="750">
          <cell r="A750" t="str">
            <v>20259</v>
          </cell>
          <cell r="B750" t="str">
            <v>BANCOLOMBIA</v>
          </cell>
          <cell r="C750" t="str">
            <v>LAMAR OPTICAL S.A.S</v>
          </cell>
          <cell r="D750" t="str">
            <v>8140098501</v>
          </cell>
          <cell r="E750">
            <v>45918</v>
          </cell>
          <cell r="F750">
            <v>25</v>
          </cell>
          <cell r="G750">
            <v>27</v>
          </cell>
          <cell r="H750">
            <v>3695530.0652173911</v>
          </cell>
          <cell r="I750">
            <v>1901197.565217389</v>
          </cell>
          <cell r="J750">
            <v>0</v>
          </cell>
          <cell r="K750">
            <v>0</v>
          </cell>
          <cell r="L750">
            <v>0</v>
          </cell>
          <cell r="M750">
            <v>1.8373524729931812E-2</v>
          </cell>
          <cell r="N750">
            <v>1.8373524729931812E-2</v>
          </cell>
          <cell r="O750">
            <v>0</v>
          </cell>
          <cell r="P750">
            <v>5596727.6304347804</v>
          </cell>
          <cell r="Q750">
            <v>99779311.760869443</v>
          </cell>
          <cell r="R750">
            <v>-350</v>
          </cell>
          <cell r="U750" t="str">
            <v>PENDIENTE</v>
          </cell>
        </row>
        <row r="751">
          <cell r="A751" t="str">
            <v>202510</v>
          </cell>
          <cell r="B751" t="str">
            <v>BANCOLOMBIA</v>
          </cell>
          <cell r="C751" t="str">
            <v>LAMAR OPTICAL S.A.S</v>
          </cell>
          <cell r="D751" t="str">
            <v>8140098501</v>
          </cell>
          <cell r="E751">
            <v>45948</v>
          </cell>
          <cell r="F751">
            <v>26</v>
          </cell>
          <cell r="G751">
            <v>26</v>
          </cell>
          <cell r="H751">
            <v>3695530.0652173911</v>
          </cell>
          <cell r="I751">
            <v>1833297.6521739108</v>
          </cell>
          <cell r="J751">
            <v>0</v>
          </cell>
          <cell r="K751">
            <v>0</v>
          </cell>
          <cell r="L751">
            <v>0</v>
          </cell>
          <cell r="M751">
            <v>1.8373524729931812E-2</v>
          </cell>
          <cell r="N751">
            <v>1.8373524729931812E-2</v>
          </cell>
          <cell r="O751">
            <v>0</v>
          </cell>
          <cell r="P751">
            <v>5528827.7173913019</v>
          </cell>
          <cell r="Q751">
            <v>96083781.695652053</v>
          </cell>
          <cell r="R751">
            <v>-381</v>
          </cell>
          <cell r="U751" t="str">
            <v>PENDIENTE</v>
          </cell>
        </row>
        <row r="752">
          <cell r="A752" t="str">
            <v>202511</v>
          </cell>
          <cell r="B752" t="str">
            <v>BANCOLOMBIA</v>
          </cell>
          <cell r="C752" t="str">
            <v>LAMAR OPTICAL S.A.S</v>
          </cell>
          <cell r="D752" t="str">
            <v>8140098501</v>
          </cell>
          <cell r="E752">
            <v>45979</v>
          </cell>
          <cell r="F752">
            <v>27</v>
          </cell>
          <cell r="G752">
            <v>25</v>
          </cell>
          <cell r="H752">
            <v>3695530.0652173911</v>
          </cell>
          <cell r="I752">
            <v>1765397.7391304325</v>
          </cell>
          <cell r="J752">
            <v>0</v>
          </cell>
          <cell r="K752">
            <v>0</v>
          </cell>
          <cell r="L752">
            <v>0</v>
          </cell>
          <cell r="M752">
            <v>1.8373524729931812E-2</v>
          </cell>
          <cell r="N752">
            <v>1.8373524729931812E-2</v>
          </cell>
          <cell r="O752">
            <v>0</v>
          </cell>
          <cell r="P752">
            <v>5460927.8043478234</v>
          </cell>
          <cell r="Q752">
            <v>92388251.630434662</v>
          </cell>
          <cell r="R752">
            <v>-411</v>
          </cell>
          <cell r="U752" t="str">
            <v>PENDIENTE</v>
          </cell>
        </row>
        <row r="753">
          <cell r="A753" t="str">
            <v>202512</v>
          </cell>
          <cell r="B753" t="str">
            <v>BANCOLOMBIA</v>
          </cell>
          <cell r="C753" t="str">
            <v>LAMAR OPTICAL S.A.S</v>
          </cell>
          <cell r="D753" t="str">
            <v>8140098501</v>
          </cell>
          <cell r="E753">
            <v>46009</v>
          </cell>
          <cell r="F753">
            <v>28</v>
          </cell>
          <cell r="G753">
            <v>24</v>
          </cell>
          <cell r="H753">
            <v>3695530.0652173911</v>
          </cell>
          <cell r="I753">
            <v>1697497.8260869542</v>
          </cell>
          <cell r="J753">
            <v>0</v>
          </cell>
          <cell r="K753">
            <v>0</v>
          </cell>
          <cell r="L753">
            <v>0</v>
          </cell>
          <cell r="M753">
            <v>1.8373524729931812E-2</v>
          </cell>
          <cell r="N753">
            <v>1.8373524729931812E-2</v>
          </cell>
          <cell r="O753">
            <v>0</v>
          </cell>
          <cell r="P753">
            <v>5393027.8913043458</v>
          </cell>
          <cell r="Q753">
            <v>88692721.565217271</v>
          </cell>
          <cell r="R753">
            <v>-442</v>
          </cell>
          <cell r="U753" t="str">
            <v>PENDIENTE</v>
          </cell>
        </row>
        <row r="754">
          <cell r="A754" t="str">
            <v>20261</v>
          </cell>
          <cell r="B754" t="str">
            <v>BANCOLOMBIA</v>
          </cell>
          <cell r="C754" t="str">
            <v>LAMAR OPTICAL S.A.S</v>
          </cell>
          <cell r="D754" t="str">
            <v>8140098501</v>
          </cell>
          <cell r="E754">
            <v>46040</v>
          </cell>
          <cell r="F754">
            <v>29</v>
          </cell>
          <cell r="G754">
            <v>23</v>
          </cell>
          <cell r="H754">
            <v>3695530.0652173911</v>
          </cell>
          <cell r="I754">
            <v>1629597.9130434759</v>
          </cell>
          <cell r="J754">
            <v>0</v>
          </cell>
          <cell r="K754">
            <v>0</v>
          </cell>
          <cell r="L754">
            <v>0</v>
          </cell>
          <cell r="M754">
            <v>1.8373524729931812E-2</v>
          </cell>
          <cell r="N754">
            <v>1.8373524729931812E-2</v>
          </cell>
          <cell r="O754">
            <v>0</v>
          </cell>
          <cell r="P754">
            <v>5325127.9782608673</v>
          </cell>
          <cell r="Q754">
            <v>84997191.499999881</v>
          </cell>
          <cell r="R754">
            <v>-472</v>
          </cell>
          <cell r="U754" t="str">
            <v>PENDIENTE</v>
          </cell>
        </row>
        <row r="755">
          <cell r="A755" t="str">
            <v>20262</v>
          </cell>
          <cell r="B755" t="str">
            <v>BANCOLOMBIA</v>
          </cell>
          <cell r="C755" t="str">
            <v>LAMAR OPTICAL S.A.S</v>
          </cell>
          <cell r="D755" t="str">
            <v>8140098501</v>
          </cell>
          <cell r="E755">
            <v>46071</v>
          </cell>
          <cell r="F755">
            <v>30</v>
          </cell>
          <cell r="G755">
            <v>22</v>
          </cell>
          <cell r="H755">
            <v>3695530.0652173911</v>
          </cell>
          <cell r="I755">
            <v>1561697.9999999977</v>
          </cell>
          <cell r="J755">
            <v>0</v>
          </cell>
          <cell r="K755">
            <v>0</v>
          </cell>
          <cell r="L755">
            <v>0</v>
          </cell>
          <cell r="M755">
            <v>1.8373524729931812E-2</v>
          </cell>
          <cell r="N755">
            <v>1.8373524729931812E-2</v>
          </cell>
          <cell r="O755">
            <v>0</v>
          </cell>
          <cell r="P755">
            <v>5257228.0652173888</v>
          </cell>
          <cell r="Q755">
            <v>81301661.43478249</v>
          </cell>
          <cell r="R755">
            <v>-503</v>
          </cell>
          <cell r="U755" t="str">
            <v>PENDIENTE</v>
          </cell>
        </row>
        <row r="756">
          <cell r="A756" t="str">
            <v>20263</v>
          </cell>
          <cell r="B756" t="str">
            <v>BANCOLOMBIA</v>
          </cell>
          <cell r="C756" t="str">
            <v>LAMAR OPTICAL S.A.S</v>
          </cell>
          <cell r="D756" t="str">
            <v>8140098501</v>
          </cell>
          <cell r="E756">
            <v>46099</v>
          </cell>
          <cell r="F756">
            <v>31</v>
          </cell>
          <cell r="G756">
            <v>21</v>
          </cell>
          <cell r="H756">
            <v>3695530.0652173911</v>
          </cell>
          <cell r="I756">
            <v>1493798.0869565196</v>
          </cell>
          <cell r="J756">
            <v>0</v>
          </cell>
          <cell r="K756">
            <v>0</v>
          </cell>
          <cell r="L756">
            <v>0</v>
          </cell>
          <cell r="M756">
            <v>1.8373524729931812E-2</v>
          </cell>
          <cell r="N756">
            <v>1.8373524729931812E-2</v>
          </cell>
          <cell r="O756">
            <v>0</v>
          </cell>
          <cell r="P756">
            <v>5189328.1521739103</v>
          </cell>
          <cell r="Q756">
            <v>77606131.369565099</v>
          </cell>
          <cell r="R756">
            <v>-534</v>
          </cell>
          <cell r="U756" t="str">
            <v>PENDIENTE</v>
          </cell>
        </row>
        <row r="757">
          <cell r="A757" t="str">
            <v>20264</v>
          </cell>
          <cell r="B757" t="str">
            <v>BANCOLOMBIA</v>
          </cell>
          <cell r="C757" t="str">
            <v>LAMAR OPTICAL S.A.S</v>
          </cell>
          <cell r="D757" t="str">
            <v>8140098501</v>
          </cell>
          <cell r="E757">
            <v>46130</v>
          </cell>
          <cell r="F757">
            <v>32</v>
          </cell>
          <cell r="G757">
            <v>20</v>
          </cell>
          <cell r="H757">
            <v>3695530.0652173911</v>
          </cell>
          <cell r="I757">
            <v>1425898.1739130414</v>
          </cell>
          <cell r="J757">
            <v>0</v>
          </cell>
          <cell r="K757">
            <v>0</v>
          </cell>
          <cell r="L757">
            <v>0</v>
          </cell>
          <cell r="M757">
            <v>1.8373524729931812E-2</v>
          </cell>
          <cell r="N757">
            <v>1.8373524729931812E-2</v>
          </cell>
          <cell r="O757">
            <v>0</v>
          </cell>
          <cell r="P757">
            <v>5121428.2391304327</v>
          </cell>
          <cell r="Q757">
            <v>73910601.304347709</v>
          </cell>
          <cell r="R757">
            <v>-562</v>
          </cell>
          <cell r="U757" t="str">
            <v>PENDIENTE</v>
          </cell>
        </row>
        <row r="758">
          <cell r="A758" t="str">
            <v>20265</v>
          </cell>
          <cell r="B758" t="str">
            <v>BANCOLOMBIA</v>
          </cell>
          <cell r="C758" t="str">
            <v>LAMAR OPTICAL S.A.S</v>
          </cell>
          <cell r="D758" t="str">
            <v>8140098501</v>
          </cell>
          <cell r="E758">
            <v>46160</v>
          </cell>
          <cell r="F758">
            <v>33</v>
          </cell>
          <cell r="G758">
            <v>19</v>
          </cell>
          <cell r="H758">
            <v>3695530.0652173911</v>
          </cell>
          <cell r="I758">
            <v>1357998.2608695631</v>
          </cell>
          <cell r="J758">
            <v>0</v>
          </cell>
          <cell r="K758">
            <v>0</v>
          </cell>
          <cell r="L758">
            <v>0</v>
          </cell>
          <cell r="M758">
            <v>1.8373524729931812E-2</v>
          </cell>
          <cell r="N758">
            <v>1.8373524729931812E-2</v>
          </cell>
          <cell r="O758">
            <v>0</v>
          </cell>
          <cell r="P758">
            <v>5053528.3260869542</v>
          </cell>
          <cell r="Q758">
            <v>70215071.239130318</v>
          </cell>
          <cell r="R758">
            <v>-593</v>
          </cell>
          <cell r="U758" t="str">
            <v>PENDIENTE</v>
          </cell>
        </row>
        <row r="759">
          <cell r="A759" t="str">
            <v>20266</v>
          </cell>
          <cell r="B759" t="str">
            <v>BANCOLOMBIA</v>
          </cell>
          <cell r="C759" t="str">
            <v>LAMAR OPTICAL S.A.S</v>
          </cell>
          <cell r="D759" t="str">
            <v>8140098501</v>
          </cell>
          <cell r="E759">
            <v>46191</v>
          </cell>
          <cell r="F759">
            <v>34</v>
          </cell>
          <cell r="G759">
            <v>18</v>
          </cell>
          <cell r="H759">
            <v>3695530.0652173911</v>
          </cell>
          <cell r="I759">
            <v>1290098.3478260848</v>
          </cell>
          <cell r="J759">
            <v>0</v>
          </cell>
          <cell r="K759">
            <v>0</v>
          </cell>
          <cell r="L759">
            <v>0</v>
          </cell>
          <cell r="M759">
            <v>1.8373524729931812E-2</v>
          </cell>
          <cell r="N759">
            <v>1.8373524729931812E-2</v>
          </cell>
          <cell r="O759">
            <v>0</v>
          </cell>
          <cell r="P759">
            <v>4985628.4130434757</v>
          </cell>
          <cell r="Q759">
            <v>66519541.173912928</v>
          </cell>
          <cell r="R759">
            <v>-623</v>
          </cell>
          <cell r="U759" t="str">
            <v>PENDIENTE</v>
          </cell>
        </row>
        <row r="760">
          <cell r="A760" t="str">
            <v>20267</v>
          </cell>
          <cell r="B760" t="str">
            <v>BANCOLOMBIA</v>
          </cell>
          <cell r="C760" t="str">
            <v>LAMAR OPTICAL S.A.S</v>
          </cell>
          <cell r="D760" t="str">
            <v>8140098501</v>
          </cell>
          <cell r="E760">
            <v>46221</v>
          </cell>
          <cell r="F760">
            <v>35</v>
          </cell>
          <cell r="G760">
            <v>17</v>
          </cell>
          <cell r="H760">
            <v>3695530.0652173911</v>
          </cell>
          <cell r="I760">
            <v>1222198.4347826065</v>
          </cell>
          <cell r="J760">
            <v>0</v>
          </cell>
          <cell r="K760">
            <v>0</v>
          </cell>
          <cell r="L760">
            <v>0</v>
          </cell>
          <cell r="M760">
            <v>1.8373524729931812E-2</v>
          </cell>
          <cell r="N760">
            <v>1.8373524729931812E-2</v>
          </cell>
          <cell r="O760">
            <v>0</v>
          </cell>
          <cell r="P760">
            <v>4917728.4999999981</v>
          </cell>
          <cell r="Q760">
            <v>62824011.108695537</v>
          </cell>
          <cell r="R760">
            <v>-654</v>
          </cell>
          <cell r="U760" t="str">
            <v>PENDIENTE</v>
          </cell>
        </row>
        <row r="761">
          <cell r="A761" t="str">
            <v>20268</v>
          </cell>
          <cell r="B761" t="str">
            <v>BANCOLOMBIA</v>
          </cell>
          <cell r="C761" t="str">
            <v>LAMAR OPTICAL S.A.S</v>
          </cell>
          <cell r="D761" t="str">
            <v>8140098501</v>
          </cell>
          <cell r="E761">
            <v>46252</v>
          </cell>
          <cell r="F761">
            <v>36</v>
          </cell>
          <cell r="G761">
            <v>16</v>
          </cell>
          <cell r="H761">
            <v>3695530.0652173911</v>
          </cell>
          <cell r="I761">
            <v>1154298.5217391283</v>
          </cell>
          <cell r="J761">
            <v>0</v>
          </cell>
          <cell r="K761">
            <v>0</v>
          </cell>
          <cell r="L761">
            <v>0</v>
          </cell>
          <cell r="M761">
            <v>1.8373524729931812E-2</v>
          </cell>
          <cell r="N761">
            <v>1.8373524729931812E-2</v>
          </cell>
          <cell r="O761">
            <v>0</v>
          </cell>
          <cell r="P761">
            <v>4849828.5869565196</v>
          </cell>
          <cell r="Q761">
            <v>59128481.043478146</v>
          </cell>
          <cell r="R761">
            <v>-684</v>
          </cell>
          <cell r="U761" t="str">
            <v>PENDIENTE</v>
          </cell>
        </row>
        <row r="762">
          <cell r="A762" t="str">
            <v>20269</v>
          </cell>
          <cell r="B762" t="str">
            <v>BANCOLOMBIA</v>
          </cell>
          <cell r="C762" t="str">
            <v>LAMAR OPTICAL S.A.S</v>
          </cell>
          <cell r="D762" t="str">
            <v>8140098501</v>
          </cell>
          <cell r="E762">
            <v>46283</v>
          </cell>
          <cell r="F762">
            <v>37</v>
          </cell>
          <cell r="G762">
            <v>15</v>
          </cell>
          <cell r="H762">
            <v>3695530.0652173911</v>
          </cell>
          <cell r="I762">
            <v>1086398.60869565</v>
          </cell>
          <cell r="J762">
            <v>0</v>
          </cell>
          <cell r="K762">
            <v>0</v>
          </cell>
          <cell r="L762">
            <v>0</v>
          </cell>
          <cell r="M762">
            <v>1.8373524729931812E-2</v>
          </cell>
          <cell r="N762">
            <v>1.8373524729931812E-2</v>
          </cell>
          <cell r="O762">
            <v>0</v>
          </cell>
          <cell r="P762">
            <v>4781928.6739130411</v>
          </cell>
          <cell r="Q762">
            <v>55432950.978260756</v>
          </cell>
          <cell r="R762">
            <v>-715</v>
          </cell>
          <cell r="U762" t="str">
            <v>PENDIENTE</v>
          </cell>
        </row>
        <row r="763">
          <cell r="A763" t="str">
            <v>202610</v>
          </cell>
          <cell r="B763" t="str">
            <v>BANCOLOMBIA</v>
          </cell>
          <cell r="C763" t="str">
            <v>LAMAR OPTICAL S.A.S</v>
          </cell>
          <cell r="D763" t="str">
            <v>8140098501</v>
          </cell>
          <cell r="E763">
            <v>46313</v>
          </cell>
          <cell r="F763">
            <v>38</v>
          </cell>
          <cell r="G763">
            <v>14</v>
          </cell>
          <cell r="H763">
            <v>3695530.0652173911</v>
          </cell>
          <cell r="I763">
            <v>1018498.6956521719</v>
          </cell>
          <cell r="J763">
            <v>0</v>
          </cell>
          <cell r="K763">
            <v>0</v>
          </cell>
          <cell r="L763">
            <v>0</v>
          </cell>
          <cell r="M763">
            <v>1.8373524729931812E-2</v>
          </cell>
          <cell r="N763">
            <v>1.8373524729931812E-2</v>
          </cell>
          <cell r="O763">
            <v>0</v>
          </cell>
          <cell r="P763">
            <v>4714028.7608695626</v>
          </cell>
          <cell r="Q763">
            <v>51737420.913043365</v>
          </cell>
          <cell r="R763">
            <v>-746</v>
          </cell>
          <cell r="U763" t="str">
            <v>PENDIENTE</v>
          </cell>
        </row>
        <row r="764">
          <cell r="A764" t="str">
            <v>202611</v>
          </cell>
          <cell r="B764" t="str">
            <v>BANCOLOMBIA</v>
          </cell>
          <cell r="C764" t="str">
            <v>LAMAR OPTICAL S.A.S</v>
          </cell>
          <cell r="D764" t="str">
            <v>8140098501</v>
          </cell>
          <cell r="E764">
            <v>46344</v>
          </cell>
          <cell r="F764">
            <v>39</v>
          </cell>
          <cell r="G764">
            <v>13</v>
          </cell>
          <cell r="H764">
            <v>3695530.0652173911</v>
          </cell>
          <cell r="I764">
            <v>950598.78260869358</v>
          </cell>
          <cell r="J764">
            <v>0</v>
          </cell>
          <cell r="K764">
            <v>0</v>
          </cell>
          <cell r="L764">
            <v>0</v>
          </cell>
          <cell r="M764">
            <v>1.8373524729931812E-2</v>
          </cell>
          <cell r="N764">
            <v>1.8373524729931812E-2</v>
          </cell>
          <cell r="O764">
            <v>0</v>
          </cell>
          <cell r="P764">
            <v>4646128.8478260851</v>
          </cell>
          <cell r="Q764">
            <v>48041890.847825974</v>
          </cell>
          <cell r="R764">
            <v>-776</v>
          </cell>
          <cell r="U764" t="str">
            <v>PENDIENTE</v>
          </cell>
        </row>
        <row r="765">
          <cell r="A765" t="str">
            <v>202612</v>
          </cell>
          <cell r="B765" t="str">
            <v>BANCOLOMBIA</v>
          </cell>
          <cell r="C765" t="str">
            <v>LAMAR OPTICAL S.A.S</v>
          </cell>
          <cell r="D765" t="str">
            <v>8140098501</v>
          </cell>
          <cell r="E765">
            <v>46374</v>
          </cell>
          <cell r="F765">
            <v>40</v>
          </cell>
          <cell r="G765">
            <v>12</v>
          </cell>
          <cell r="H765">
            <v>3695530.0652173911</v>
          </cell>
          <cell r="I765">
            <v>882698.86956521531</v>
          </cell>
          <cell r="J765">
            <v>0</v>
          </cell>
          <cell r="K765">
            <v>0</v>
          </cell>
          <cell r="L765">
            <v>0</v>
          </cell>
          <cell r="M765">
            <v>1.8373524729931812E-2</v>
          </cell>
          <cell r="N765">
            <v>1.8373524729931812E-2</v>
          </cell>
          <cell r="O765">
            <v>0</v>
          </cell>
          <cell r="P765">
            <v>4578228.9347826065</v>
          </cell>
          <cell r="Q765">
            <v>44346360.782608584</v>
          </cell>
          <cell r="R765">
            <v>-807</v>
          </cell>
          <cell r="U765" t="str">
            <v>PENDIENTE</v>
          </cell>
        </row>
        <row r="766">
          <cell r="A766" t="str">
            <v>20271</v>
          </cell>
          <cell r="B766" t="str">
            <v>BANCOLOMBIA</v>
          </cell>
          <cell r="C766" t="str">
            <v>LAMAR OPTICAL S.A.S</v>
          </cell>
          <cell r="D766" t="str">
            <v>8140098501</v>
          </cell>
          <cell r="E766">
            <v>46405</v>
          </cell>
          <cell r="F766">
            <v>41</v>
          </cell>
          <cell r="G766">
            <v>11</v>
          </cell>
          <cell r="H766">
            <v>3695530.0652173911</v>
          </cell>
          <cell r="I766">
            <v>814798.95652173704</v>
          </cell>
          <cell r="J766">
            <v>0</v>
          </cell>
          <cell r="K766">
            <v>0</v>
          </cell>
          <cell r="L766">
            <v>0</v>
          </cell>
          <cell r="M766">
            <v>1.8373524729931812E-2</v>
          </cell>
          <cell r="N766">
            <v>1.8373524729931812E-2</v>
          </cell>
          <cell r="O766">
            <v>0</v>
          </cell>
          <cell r="P766">
            <v>4510329.021739128</v>
          </cell>
          <cell r="Q766">
            <v>40650830.717391193</v>
          </cell>
          <cell r="R766">
            <v>-837</v>
          </cell>
          <cell r="U766" t="str">
            <v>PENDIENTE</v>
          </cell>
        </row>
        <row r="767">
          <cell r="A767" t="str">
            <v>20272</v>
          </cell>
          <cell r="B767" t="str">
            <v>BANCOLOMBIA</v>
          </cell>
          <cell r="C767" t="str">
            <v>LAMAR OPTICAL S.A.S</v>
          </cell>
          <cell r="D767" t="str">
            <v>8140098501</v>
          </cell>
          <cell r="E767">
            <v>46436</v>
          </cell>
          <cell r="F767">
            <v>42</v>
          </cell>
          <cell r="G767">
            <v>10</v>
          </cell>
          <cell r="H767">
            <v>3695530.0652173911</v>
          </cell>
          <cell r="I767">
            <v>746899.04347825877</v>
          </cell>
          <cell r="J767">
            <v>0</v>
          </cell>
          <cell r="K767">
            <v>0</v>
          </cell>
          <cell r="L767">
            <v>0</v>
          </cell>
          <cell r="M767">
            <v>1.8373524729931812E-2</v>
          </cell>
          <cell r="N767">
            <v>1.8373524729931812E-2</v>
          </cell>
          <cell r="O767">
            <v>0</v>
          </cell>
          <cell r="P767">
            <v>4442429.1086956495</v>
          </cell>
          <cell r="Q767">
            <v>36955300.652173802</v>
          </cell>
          <cell r="R767">
            <v>-868</v>
          </cell>
          <cell r="U767" t="str">
            <v>PENDIENTE</v>
          </cell>
        </row>
        <row r="768">
          <cell r="A768" t="str">
            <v>20273</v>
          </cell>
          <cell r="B768" t="str">
            <v>BANCOLOMBIA</v>
          </cell>
          <cell r="C768" t="str">
            <v>LAMAR OPTICAL S.A.S</v>
          </cell>
          <cell r="D768" t="str">
            <v>8140098501</v>
          </cell>
          <cell r="E768">
            <v>46464</v>
          </cell>
          <cell r="F768">
            <v>43</v>
          </cell>
          <cell r="G768">
            <v>9</v>
          </cell>
          <cell r="H768">
            <v>3695530.0652173911</v>
          </cell>
          <cell r="I768">
            <v>678999.13043478061</v>
          </cell>
          <cell r="J768">
            <v>0</v>
          </cell>
          <cell r="K768">
            <v>0</v>
          </cell>
          <cell r="L768">
            <v>0</v>
          </cell>
          <cell r="M768">
            <v>1.8373524729931812E-2</v>
          </cell>
          <cell r="N768">
            <v>1.8373524729931812E-2</v>
          </cell>
          <cell r="O768">
            <v>0</v>
          </cell>
          <cell r="P768">
            <v>4374529.195652172</v>
          </cell>
          <cell r="Q768">
            <v>33259770.586956412</v>
          </cell>
          <cell r="R768">
            <v>-899</v>
          </cell>
          <cell r="U768" t="str">
            <v>PENDIENTE</v>
          </cell>
        </row>
        <row r="769">
          <cell r="A769" t="str">
            <v>20274</v>
          </cell>
          <cell r="B769" t="str">
            <v>BANCOLOMBIA</v>
          </cell>
          <cell r="C769" t="str">
            <v>LAMAR OPTICAL S.A.S</v>
          </cell>
          <cell r="D769" t="str">
            <v>8140098501</v>
          </cell>
          <cell r="E769">
            <v>46495</v>
          </cell>
          <cell r="F769">
            <v>44</v>
          </cell>
          <cell r="G769">
            <v>8</v>
          </cell>
          <cell r="H769">
            <v>3695530.0652173911</v>
          </cell>
          <cell r="I769">
            <v>611099.21739130234</v>
          </cell>
          <cell r="J769">
            <v>0</v>
          </cell>
          <cell r="K769">
            <v>0</v>
          </cell>
          <cell r="L769">
            <v>0</v>
          </cell>
          <cell r="M769">
            <v>1.8373524729931812E-2</v>
          </cell>
          <cell r="N769">
            <v>1.8373524729931812E-2</v>
          </cell>
          <cell r="O769">
            <v>0</v>
          </cell>
          <cell r="P769">
            <v>4306629.2826086935</v>
          </cell>
          <cell r="Q769">
            <v>29564240.521739021</v>
          </cell>
          <cell r="R769">
            <v>-927</v>
          </cell>
          <cell r="U769" t="str">
            <v>PENDIENTE</v>
          </cell>
        </row>
        <row r="770">
          <cell r="A770" t="str">
            <v>20275</v>
          </cell>
          <cell r="B770" t="str">
            <v>BANCOLOMBIA</v>
          </cell>
          <cell r="C770" t="str">
            <v>LAMAR OPTICAL S.A.S</v>
          </cell>
          <cell r="D770" t="str">
            <v>8140098501</v>
          </cell>
          <cell r="E770">
            <v>46525</v>
          </cell>
          <cell r="F770">
            <v>45</v>
          </cell>
          <cell r="G770">
            <v>7</v>
          </cell>
          <cell r="H770">
            <v>3695530.0652173911</v>
          </cell>
          <cell r="I770">
            <v>543199.30434782407</v>
          </cell>
          <cell r="J770">
            <v>0</v>
          </cell>
          <cell r="K770">
            <v>0</v>
          </cell>
          <cell r="L770">
            <v>0</v>
          </cell>
          <cell r="M770">
            <v>1.8373524729931812E-2</v>
          </cell>
          <cell r="N770">
            <v>1.8373524729931812E-2</v>
          </cell>
          <cell r="O770">
            <v>0</v>
          </cell>
          <cell r="P770">
            <v>4238729.369565215</v>
          </cell>
          <cell r="Q770">
            <v>25868710.45652163</v>
          </cell>
          <cell r="R770">
            <v>-958</v>
          </cell>
          <cell r="U770" t="str">
            <v>PENDIENTE</v>
          </cell>
        </row>
        <row r="771">
          <cell r="A771" t="str">
            <v>20276</v>
          </cell>
          <cell r="B771" t="str">
            <v>BANCOLOMBIA</v>
          </cell>
          <cell r="C771" t="str">
            <v>LAMAR OPTICAL S.A.S</v>
          </cell>
          <cell r="D771" t="str">
            <v>8140098501</v>
          </cell>
          <cell r="E771">
            <v>46556</v>
          </cell>
          <cell r="F771">
            <v>46</v>
          </cell>
          <cell r="G771">
            <v>6</v>
          </cell>
          <cell r="H771">
            <v>3695530.0652173911</v>
          </cell>
          <cell r="I771">
            <v>475299.3913043458</v>
          </cell>
          <cell r="J771">
            <v>0</v>
          </cell>
          <cell r="K771">
            <v>0</v>
          </cell>
          <cell r="L771">
            <v>0</v>
          </cell>
          <cell r="M771">
            <v>1.8373524729931812E-2</v>
          </cell>
          <cell r="N771">
            <v>1.8373524729931812E-2</v>
          </cell>
          <cell r="O771">
            <v>0</v>
          </cell>
          <cell r="P771">
            <v>4170829.4565217369</v>
          </cell>
          <cell r="Q771">
            <v>22173180.39130424</v>
          </cell>
          <cell r="R771">
            <v>-988</v>
          </cell>
          <cell r="U771" t="str">
            <v>PENDIENTE</v>
          </cell>
        </row>
        <row r="772">
          <cell r="A772" t="str">
            <v>20277</v>
          </cell>
          <cell r="B772" t="str">
            <v>BANCOLOMBIA</v>
          </cell>
          <cell r="C772" t="str">
            <v>LAMAR OPTICAL S.A.S</v>
          </cell>
          <cell r="D772" t="str">
            <v>8140098501</v>
          </cell>
          <cell r="E772">
            <v>46586</v>
          </cell>
          <cell r="F772">
            <v>47</v>
          </cell>
          <cell r="G772">
            <v>5</v>
          </cell>
          <cell r="H772">
            <v>3695530.0652173911</v>
          </cell>
          <cell r="I772">
            <v>407399.47826086759</v>
          </cell>
          <cell r="J772">
            <v>0</v>
          </cell>
          <cell r="K772">
            <v>0</v>
          </cell>
          <cell r="L772">
            <v>0</v>
          </cell>
          <cell r="M772">
            <v>1.8373524729931812E-2</v>
          </cell>
          <cell r="N772">
            <v>1.8373524729931812E-2</v>
          </cell>
          <cell r="O772">
            <v>0</v>
          </cell>
          <cell r="P772">
            <v>4102929.5434782589</v>
          </cell>
          <cell r="Q772">
            <v>18477650.326086849</v>
          </cell>
          <cell r="R772">
            <v>-1019</v>
          </cell>
          <cell r="U772" t="str">
            <v>PENDIENTE</v>
          </cell>
        </row>
        <row r="773">
          <cell r="A773" t="str">
            <v>20278</v>
          </cell>
          <cell r="B773" t="str">
            <v>BANCOLOMBIA</v>
          </cell>
          <cell r="C773" t="str">
            <v>LAMAR OPTICAL S.A.S</v>
          </cell>
          <cell r="D773" t="str">
            <v>8140098501</v>
          </cell>
          <cell r="E773">
            <v>46617</v>
          </cell>
          <cell r="F773">
            <v>48</v>
          </cell>
          <cell r="G773">
            <v>4</v>
          </cell>
          <cell r="H773">
            <v>3695530.0652173911</v>
          </cell>
          <cell r="I773">
            <v>339499.56521738932</v>
          </cell>
          <cell r="J773">
            <v>0</v>
          </cell>
          <cell r="K773">
            <v>0</v>
          </cell>
          <cell r="L773">
            <v>0</v>
          </cell>
          <cell r="M773">
            <v>1.8373524729931812E-2</v>
          </cell>
          <cell r="N773">
            <v>1.8373524729931812E-2</v>
          </cell>
          <cell r="O773">
            <v>0</v>
          </cell>
          <cell r="P773">
            <v>4035029.6304347804</v>
          </cell>
          <cell r="Q773">
            <v>14782120.260869458</v>
          </cell>
          <cell r="R773">
            <v>-1049</v>
          </cell>
          <cell r="U773" t="str">
            <v>PENDIENTE</v>
          </cell>
        </row>
        <row r="774">
          <cell r="A774" t="str">
            <v>20279</v>
          </cell>
          <cell r="B774" t="str">
            <v>BANCOLOMBIA</v>
          </cell>
          <cell r="C774" t="str">
            <v>LAMAR OPTICAL S.A.S</v>
          </cell>
          <cell r="D774" t="str">
            <v>8140098501</v>
          </cell>
          <cell r="E774">
            <v>46648</v>
          </cell>
          <cell r="F774">
            <v>49</v>
          </cell>
          <cell r="G774">
            <v>3</v>
          </cell>
          <cell r="H774">
            <v>3695530.0652173911</v>
          </cell>
          <cell r="I774">
            <v>271599.65217391105</v>
          </cell>
          <cell r="J774">
            <v>0</v>
          </cell>
          <cell r="K774">
            <v>0</v>
          </cell>
          <cell r="L774">
            <v>0</v>
          </cell>
          <cell r="M774">
            <v>1.8373524729931812E-2</v>
          </cell>
          <cell r="N774">
            <v>1.8373524729931808E-2</v>
          </cell>
          <cell r="O774">
            <v>-2.2204460492503131E-16</v>
          </cell>
          <cell r="P774">
            <v>3967129.7173913023</v>
          </cell>
          <cell r="Q774">
            <v>11086590.195652068</v>
          </cell>
          <cell r="R774">
            <v>-1080</v>
          </cell>
          <cell r="U774" t="str">
            <v>PENDIENTE</v>
          </cell>
        </row>
        <row r="775">
          <cell r="A775" t="str">
            <v>202710</v>
          </cell>
          <cell r="B775" t="str">
            <v>BANCOLOMBIA</v>
          </cell>
          <cell r="C775" t="str">
            <v>LAMAR OPTICAL S.A.S</v>
          </cell>
          <cell r="D775" t="str">
            <v>8140098501</v>
          </cell>
          <cell r="E775">
            <v>46678</v>
          </cell>
          <cell r="F775">
            <v>50</v>
          </cell>
          <cell r="G775">
            <v>2</v>
          </cell>
          <cell r="H775">
            <v>3695530.0652173911</v>
          </cell>
          <cell r="I775">
            <v>203699.73913043283</v>
          </cell>
          <cell r="J775">
            <v>0</v>
          </cell>
          <cell r="K775">
            <v>0</v>
          </cell>
          <cell r="L775">
            <v>0</v>
          </cell>
          <cell r="M775">
            <v>1.8373524729931812E-2</v>
          </cell>
          <cell r="N775">
            <v>1.8373524729931812E-2</v>
          </cell>
          <cell r="O775">
            <v>0</v>
          </cell>
          <cell r="P775">
            <v>3899229.8043478238</v>
          </cell>
          <cell r="Q775">
            <v>7391060.130434677</v>
          </cell>
          <cell r="R775">
            <v>-1111</v>
          </cell>
          <cell r="U775" t="str">
            <v>PENDIENTE</v>
          </cell>
        </row>
        <row r="776">
          <cell r="A776" t="str">
            <v>202711</v>
          </cell>
          <cell r="B776" t="str">
            <v>BANCOLOMBIA</v>
          </cell>
          <cell r="C776" t="str">
            <v>LAMAR OPTICAL S.A.S</v>
          </cell>
          <cell r="D776" t="str">
            <v>8140098501</v>
          </cell>
          <cell r="E776">
            <v>46709</v>
          </cell>
          <cell r="F776">
            <v>51</v>
          </cell>
          <cell r="G776">
            <v>1</v>
          </cell>
          <cell r="H776">
            <v>3695530.0652173911</v>
          </cell>
          <cell r="I776">
            <v>135799.82608695459</v>
          </cell>
          <cell r="J776">
            <v>0</v>
          </cell>
          <cell r="K776">
            <v>0</v>
          </cell>
          <cell r="L776">
            <v>0</v>
          </cell>
          <cell r="M776">
            <v>1.8373524729931812E-2</v>
          </cell>
          <cell r="N776">
            <v>1.8373524729931812E-2</v>
          </cell>
          <cell r="O776">
            <v>0</v>
          </cell>
          <cell r="P776">
            <v>3831329.8913043458</v>
          </cell>
          <cell r="Q776">
            <v>3695530.0652172859</v>
          </cell>
          <cell r="R776">
            <v>-1141</v>
          </cell>
          <cell r="U776" t="str">
            <v>PENDIENTE</v>
          </cell>
        </row>
        <row r="777">
          <cell r="A777" t="str">
            <v>202712</v>
          </cell>
          <cell r="B777" t="str">
            <v>BANCOLOMBIA</v>
          </cell>
          <cell r="C777" t="str">
            <v>LAMAR OPTICAL S.A.S</v>
          </cell>
          <cell r="D777" t="str">
            <v>8140098501</v>
          </cell>
          <cell r="E777">
            <v>46739</v>
          </cell>
          <cell r="F777">
            <v>52</v>
          </cell>
          <cell r="G777">
            <v>0</v>
          </cell>
          <cell r="H777">
            <v>3695530.0652173911</v>
          </cell>
          <cell r="I777">
            <v>67899.913043476321</v>
          </cell>
          <cell r="J777">
            <v>0</v>
          </cell>
          <cell r="K777">
            <v>0</v>
          </cell>
          <cell r="L777">
            <v>0</v>
          </cell>
          <cell r="M777">
            <v>1.8373524729931812E-2</v>
          </cell>
          <cell r="N777">
            <v>1.8373524729931812E-2</v>
          </cell>
          <cell r="O777">
            <v>0</v>
          </cell>
          <cell r="P777">
            <v>3763429.9782608673</v>
          </cell>
          <cell r="Q777">
            <v>-1.0523945093154907E-7</v>
          </cell>
          <cell r="R777">
            <v>-1172</v>
          </cell>
          <cell r="U777" t="str">
            <v>PENDIENTE</v>
          </cell>
        </row>
        <row r="778">
          <cell r="A778" t="str">
            <v>20238</v>
          </cell>
          <cell r="B778" t="str">
            <v>BANCOLOMBIA</v>
          </cell>
          <cell r="C778" t="str">
            <v>LAMAR OPTICAL S.A.S</v>
          </cell>
          <cell r="D778" t="str">
            <v>8140098503</v>
          </cell>
          <cell r="E778">
            <v>45156</v>
          </cell>
          <cell r="F778">
            <v>0</v>
          </cell>
          <cell r="G778">
            <v>59</v>
          </cell>
          <cell r="H778">
            <v>0</v>
          </cell>
          <cell r="I778">
            <v>0</v>
          </cell>
          <cell r="J778">
            <v>0</v>
          </cell>
          <cell r="K778">
            <v>0</v>
          </cell>
          <cell r="L778">
            <v>0</v>
          </cell>
          <cell r="M778">
            <v>0</v>
          </cell>
          <cell r="N778">
            <v>0</v>
          </cell>
          <cell r="O778">
            <v>0</v>
          </cell>
          <cell r="P778">
            <v>0</v>
          </cell>
          <cell r="Q778">
            <v>200291207</v>
          </cell>
          <cell r="R778" t="str">
            <v>OK</v>
          </cell>
          <cell r="S778">
            <v>0</v>
          </cell>
          <cell r="T778">
            <v>45156</v>
          </cell>
          <cell r="U778" t="str">
            <v>PAGADO</v>
          </cell>
        </row>
        <row r="779">
          <cell r="A779" t="str">
            <v>20239</v>
          </cell>
          <cell r="B779" t="str">
            <v>BANCOLOMBIA</v>
          </cell>
          <cell r="C779" t="str">
            <v>LAMAR OPTICAL S.A.S</v>
          </cell>
          <cell r="D779" t="str">
            <v>8140098503</v>
          </cell>
          <cell r="E779">
            <v>45187</v>
          </cell>
          <cell r="F779">
            <v>1</v>
          </cell>
          <cell r="G779">
            <v>58</v>
          </cell>
          <cell r="H779">
            <v>0</v>
          </cell>
          <cell r="I779">
            <v>3335110</v>
          </cell>
          <cell r="J779">
            <v>0</v>
          </cell>
          <cell r="K779">
            <v>0</v>
          </cell>
          <cell r="L779">
            <v>0</v>
          </cell>
          <cell r="M779">
            <v>1.6651305116954035E-2</v>
          </cell>
          <cell r="N779">
            <v>1.6651305116954035E-2</v>
          </cell>
          <cell r="O779">
            <v>0</v>
          </cell>
          <cell r="P779">
            <v>3335110</v>
          </cell>
          <cell r="Q779">
            <v>200291207</v>
          </cell>
          <cell r="R779" t="str">
            <v>OK</v>
          </cell>
          <cell r="S779">
            <v>3335110</v>
          </cell>
          <cell r="T779">
            <v>45188</v>
          </cell>
          <cell r="U779" t="str">
            <v>PAGADO</v>
          </cell>
        </row>
        <row r="780">
          <cell r="A780" t="str">
            <v>202310</v>
          </cell>
          <cell r="B780" t="str">
            <v>BANCOLOMBIA</v>
          </cell>
          <cell r="C780" t="str">
            <v>LAMAR OPTICAL S.A.S</v>
          </cell>
          <cell r="D780" t="str">
            <v>8140098503</v>
          </cell>
          <cell r="E780">
            <v>45217</v>
          </cell>
          <cell r="F780">
            <v>2</v>
          </cell>
          <cell r="G780">
            <v>57</v>
          </cell>
          <cell r="H780">
            <v>0</v>
          </cell>
          <cell r="I780">
            <v>3225523</v>
          </cell>
          <cell r="J780">
            <v>0</v>
          </cell>
          <cell r="K780">
            <v>0</v>
          </cell>
          <cell r="L780">
            <v>0</v>
          </cell>
          <cell r="M780">
            <v>1.6104166769537714E-2</v>
          </cell>
          <cell r="N780">
            <v>1.6104166769537714E-2</v>
          </cell>
          <cell r="O780">
            <v>0</v>
          </cell>
          <cell r="P780">
            <v>3225523</v>
          </cell>
          <cell r="Q780">
            <v>200291207</v>
          </cell>
          <cell r="R780" t="str">
            <v>OK</v>
          </cell>
          <cell r="S780">
            <v>3225523</v>
          </cell>
          <cell r="T780">
            <v>45218</v>
          </cell>
          <cell r="U780" t="str">
            <v>PAGADO</v>
          </cell>
        </row>
        <row r="781">
          <cell r="A781" t="str">
            <v>202311</v>
          </cell>
          <cell r="B781" t="str">
            <v>BANCOLOMBIA</v>
          </cell>
          <cell r="C781" t="str">
            <v>LAMAR OPTICAL S.A.S</v>
          </cell>
          <cell r="D781" t="str">
            <v>8140098503</v>
          </cell>
          <cell r="E781">
            <v>45248</v>
          </cell>
          <cell r="F781">
            <v>3</v>
          </cell>
          <cell r="G781">
            <v>56</v>
          </cell>
          <cell r="H781">
            <v>0</v>
          </cell>
          <cell r="I781">
            <v>3334420</v>
          </cell>
          <cell r="J781">
            <v>0</v>
          </cell>
          <cell r="K781">
            <v>0</v>
          </cell>
          <cell r="L781">
            <v>0</v>
          </cell>
          <cell r="M781">
            <v>1.6647860132971291E-2</v>
          </cell>
          <cell r="N781">
            <v>1.6647860132971291E-2</v>
          </cell>
          <cell r="O781">
            <v>0</v>
          </cell>
          <cell r="P781">
            <v>3334420</v>
          </cell>
          <cell r="Q781">
            <v>200291207</v>
          </cell>
          <cell r="R781" t="str">
            <v>OK</v>
          </cell>
          <cell r="S781">
            <v>3334420</v>
          </cell>
          <cell r="T781">
            <v>45250</v>
          </cell>
          <cell r="U781" t="str">
            <v>PAGADO</v>
          </cell>
        </row>
        <row r="782">
          <cell r="A782" t="str">
            <v>202312</v>
          </cell>
          <cell r="B782" t="str">
            <v>BANCOLOMBIA</v>
          </cell>
          <cell r="C782" t="str">
            <v>LAMAR OPTICAL S.A.S</v>
          </cell>
          <cell r="D782" t="str">
            <v>8140098503</v>
          </cell>
          <cell r="E782">
            <v>45278</v>
          </cell>
          <cell r="F782">
            <v>4</v>
          </cell>
          <cell r="G782">
            <v>55</v>
          </cell>
          <cell r="H782">
            <v>0</v>
          </cell>
          <cell r="I782">
            <v>3226357</v>
          </cell>
          <cell r="J782">
            <v>0</v>
          </cell>
          <cell r="K782">
            <v>0</v>
          </cell>
          <cell r="L782">
            <v>0</v>
          </cell>
          <cell r="M782">
            <v>1.610833070669947E-2</v>
          </cell>
          <cell r="N782">
            <v>1.610833070669947E-2</v>
          </cell>
          <cell r="O782">
            <v>0</v>
          </cell>
          <cell r="P782">
            <v>3226357</v>
          </cell>
          <cell r="Q782">
            <v>200291207</v>
          </cell>
          <cell r="R782" t="str">
            <v>OK</v>
          </cell>
          <cell r="S782">
            <v>3185035.62</v>
          </cell>
          <cell r="T782">
            <v>45281</v>
          </cell>
          <cell r="U782" t="str">
            <v>PAGADO</v>
          </cell>
        </row>
        <row r="783">
          <cell r="A783" t="str">
            <v>20241</v>
          </cell>
          <cell r="B783" t="str">
            <v>BANCOLOMBIA</v>
          </cell>
          <cell r="C783" t="str">
            <v>LAMAR OPTICAL S.A.S</v>
          </cell>
          <cell r="D783" t="str">
            <v>8140098503</v>
          </cell>
          <cell r="E783">
            <v>45309</v>
          </cell>
          <cell r="F783">
            <v>5</v>
          </cell>
          <cell r="G783">
            <v>54</v>
          </cell>
          <cell r="H783">
            <v>0</v>
          </cell>
          <cell r="I783">
            <v>3335110</v>
          </cell>
          <cell r="J783">
            <v>0</v>
          </cell>
          <cell r="K783">
            <v>0</v>
          </cell>
          <cell r="L783">
            <v>41321.379999999888</v>
          </cell>
          <cell r="M783">
            <v>1.6651305116954035E-2</v>
          </cell>
          <cell r="N783">
            <v>1.6651305116954035E-2</v>
          </cell>
          <cell r="O783">
            <v>0</v>
          </cell>
          <cell r="P783">
            <v>3376431.38</v>
          </cell>
          <cell r="Q783">
            <v>200291207</v>
          </cell>
          <cell r="R783" t="str">
            <v>OK</v>
          </cell>
          <cell r="S783">
            <v>3309067</v>
          </cell>
          <cell r="T783">
            <v>45309</v>
          </cell>
          <cell r="U783" t="str">
            <v>PAGADO</v>
          </cell>
        </row>
        <row r="784">
          <cell r="A784" t="str">
            <v>20242</v>
          </cell>
          <cell r="B784" t="str">
            <v>BANCOLOMBIA</v>
          </cell>
          <cell r="C784" t="str">
            <v>LAMAR OPTICAL S.A.S</v>
          </cell>
          <cell r="D784" t="str">
            <v>8140098503</v>
          </cell>
          <cell r="E784">
            <v>45340</v>
          </cell>
          <cell r="F784">
            <v>6</v>
          </cell>
          <cell r="G784">
            <v>53</v>
          </cell>
          <cell r="H784">
            <v>0</v>
          </cell>
          <cell r="I784">
            <v>3270088.2</v>
          </cell>
          <cell r="J784">
            <v>0</v>
          </cell>
          <cell r="K784">
            <v>0</v>
          </cell>
          <cell r="L784">
            <v>0</v>
          </cell>
          <cell r="M784">
            <v>1.6326668798795546E-2</v>
          </cell>
          <cell r="N784">
            <v>1.6326668798795546E-2</v>
          </cell>
          <cell r="O784">
            <v>0</v>
          </cell>
          <cell r="P784">
            <v>3270088.2</v>
          </cell>
          <cell r="Q784">
            <v>200291207</v>
          </cell>
          <cell r="R784" t="str">
            <v>OK</v>
          </cell>
          <cell r="S784">
            <v>3270088.2</v>
          </cell>
          <cell r="T784">
            <v>45341</v>
          </cell>
          <cell r="U784" t="str">
            <v>PAGADO</v>
          </cell>
        </row>
        <row r="785">
          <cell r="A785" t="str">
            <v>20243</v>
          </cell>
          <cell r="B785" t="str">
            <v>BANCOLOMBIA</v>
          </cell>
          <cell r="C785" t="str">
            <v>LAMAR OPTICAL S.A.S</v>
          </cell>
          <cell r="D785" t="str">
            <v>8140098503</v>
          </cell>
          <cell r="E785">
            <v>45369</v>
          </cell>
          <cell r="F785">
            <v>7</v>
          </cell>
          <cell r="G785">
            <v>52</v>
          </cell>
          <cell r="H785">
            <v>3779079.3773584906</v>
          </cell>
          <cell r="I785">
            <v>3335110</v>
          </cell>
          <cell r="J785">
            <v>0</v>
          </cell>
          <cell r="K785">
            <v>0</v>
          </cell>
          <cell r="L785">
            <v>0</v>
          </cell>
          <cell r="M785">
            <v>1.6651305116954035E-2</v>
          </cell>
          <cell r="N785">
            <v>1.6651305116954035E-2</v>
          </cell>
          <cell r="O785">
            <v>0</v>
          </cell>
          <cell r="P785">
            <v>7114189.3773584906</v>
          </cell>
          <cell r="Q785">
            <v>196512127.6226415</v>
          </cell>
          <cell r="R785" t="str">
            <v>OK</v>
          </cell>
          <cell r="S785">
            <v>5137849</v>
          </cell>
          <cell r="T785">
            <v>45383</v>
          </cell>
          <cell r="U785" t="str">
            <v>PAGADO</v>
          </cell>
        </row>
        <row r="786">
          <cell r="A786" t="str">
            <v>20244</v>
          </cell>
          <cell r="B786" t="str">
            <v>BANCOLOMBIA</v>
          </cell>
          <cell r="C786" t="str">
            <v>LAMAR OPTICAL S.A.S</v>
          </cell>
          <cell r="D786" t="str">
            <v>8140098503</v>
          </cell>
          <cell r="E786">
            <v>45400</v>
          </cell>
          <cell r="F786">
            <v>8</v>
          </cell>
          <cell r="G786">
            <v>51</v>
          </cell>
          <cell r="H786">
            <v>3779079.3773584906</v>
          </cell>
          <cell r="I786">
            <v>3272183.3962264149</v>
          </cell>
          <cell r="J786">
            <v>0</v>
          </cell>
          <cell r="K786">
            <v>0</v>
          </cell>
          <cell r="L786">
            <v>1976340.3773584906</v>
          </cell>
          <cell r="M786">
            <v>1.6651305116954035E-2</v>
          </cell>
          <cell r="N786">
            <v>1.6651305116954035E-2</v>
          </cell>
          <cell r="O786">
            <v>0</v>
          </cell>
          <cell r="P786">
            <v>9027603.1509433966</v>
          </cell>
          <cell r="Q786">
            <v>192733048.24528301</v>
          </cell>
          <cell r="R786" t="str">
            <v>OK</v>
          </cell>
          <cell r="S786">
            <v>6946264</v>
          </cell>
          <cell r="T786">
            <v>45400</v>
          </cell>
          <cell r="U786" t="str">
            <v>PAGADO</v>
          </cell>
        </row>
        <row r="787">
          <cell r="A787" t="str">
            <v>20245</v>
          </cell>
          <cell r="B787" t="str">
            <v>BANCOLOMBIA</v>
          </cell>
          <cell r="C787" t="str">
            <v>LAMAR OPTICAL S.A.S</v>
          </cell>
          <cell r="D787" t="str">
            <v>8140098503</v>
          </cell>
          <cell r="E787">
            <v>45430</v>
          </cell>
          <cell r="F787">
            <v>9</v>
          </cell>
          <cell r="G787">
            <v>50</v>
          </cell>
          <cell r="H787">
            <v>3779079.3773584906</v>
          </cell>
          <cell r="I787">
            <v>3209256.7924528299</v>
          </cell>
          <cell r="J787">
            <v>0</v>
          </cell>
          <cell r="K787">
            <v>0</v>
          </cell>
          <cell r="L787">
            <v>2081339.1509433966</v>
          </cell>
          <cell r="M787">
            <v>1.6651305116954035E-2</v>
          </cell>
          <cell r="N787">
            <v>1.6651305116954035E-2</v>
          </cell>
          <cell r="O787">
            <v>0</v>
          </cell>
          <cell r="P787">
            <v>9069675.320754718</v>
          </cell>
          <cell r="Q787">
            <v>188953968.86792451</v>
          </cell>
          <cell r="R787" t="str">
            <v>OK</v>
          </cell>
          <cell r="S787">
            <v>6704607</v>
          </cell>
          <cell r="T787">
            <v>45432</v>
          </cell>
          <cell r="U787" t="str">
            <v>PAGADO</v>
          </cell>
        </row>
        <row r="788">
          <cell r="A788" t="str">
            <v>20246</v>
          </cell>
          <cell r="B788" t="str">
            <v>BANCOLOMBIA</v>
          </cell>
          <cell r="C788" t="str">
            <v>LAMAR OPTICAL S.A.S</v>
          </cell>
          <cell r="D788" t="str">
            <v>8140098503</v>
          </cell>
          <cell r="E788">
            <v>45461</v>
          </cell>
          <cell r="F788">
            <v>10</v>
          </cell>
          <cell r="G788">
            <v>49</v>
          </cell>
          <cell r="H788">
            <v>3779079.3773584906</v>
          </cell>
          <cell r="I788">
            <v>3146330.1886792448</v>
          </cell>
          <cell r="J788">
            <v>0</v>
          </cell>
          <cell r="K788">
            <v>0</v>
          </cell>
          <cell r="L788">
            <v>2365068.320754718</v>
          </cell>
          <cell r="M788">
            <v>1.6651305116954035E-2</v>
          </cell>
          <cell r="N788">
            <v>1.6651305116954035E-2</v>
          </cell>
          <cell r="O788">
            <v>0</v>
          </cell>
          <cell r="P788">
            <v>9290477.886792453</v>
          </cell>
          <cell r="Q788">
            <v>185174889.49056602</v>
          </cell>
          <cell r="R788" t="str">
            <v>OK</v>
          </cell>
          <cell r="S788">
            <v>6707865</v>
          </cell>
          <cell r="T788">
            <v>45461</v>
          </cell>
          <cell r="U788" t="str">
            <v>PAGADO</v>
          </cell>
        </row>
        <row r="789">
          <cell r="A789" t="str">
            <v>20247</v>
          </cell>
          <cell r="B789" t="str">
            <v>BANCOLOMBIA</v>
          </cell>
          <cell r="C789" t="str">
            <v>LAMAR OPTICAL S.A.S</v>
          </cell>
          <cell r="D789" t="str">
            <v>8140098503</v>
          </cell>
          <cell r="E789">
            <v>45491</v>
          </cell>
          <cell r="F789">
            <v>11</v>
          </cell>
          <cell r="G789">
            <v>48</v>
          </cell>
          <cell r="H789">
            <v>3779079.3773584906</v>
          </cell>
          <cell r="I789">
            <v>3083403.5849056598</v>
          </cell>
          <cell r="J789">
            <v>0</v>
          </cell>
          <cell r="K789">
            <v>0</v>
          </cell>
          <cell r="L789">
            <v>2582612.886792453</v>
          </cell>
          <cell r="M789">
            <v>1.6651305116954035E-2</v>
          </cell>
          <cell r="N789">
            <v>1.6651305116954035E-2</v>
          </cell>
          <cell r="O789">
            <v>0</v>
          </cell>
          <cell r="P789">
            <v>9445095.8490566034</v>
          </cell>
          <cell r="Q789">
            <v>181395810.11320752</v>
          </cell>
          <cell r="R789" t="str">
            <v>OK</v>
          </cell>
          <cell r="S789">
            <v>6251982</v>
          </cell>
          <cell r="T789">
            <v>45491</v>
          </cell>
          <cell r="U789" t="str">
            <v>PAGADO</v>
          </cell>
        </row>
        <row r="790">
          <cell r="A790" t="str">
            <v>20248</v>
          </cell>
          <cell r="B790" t="str">
            <v>BANCOLOMBIA</v>
          </cell>
          <cell r="C790" t="str">
            <v>LAMAR OPTICAL S.A.S</v>
          </cell>
          <cell r="D790" t="str">
            <v>8140098503</v>
          </cell>
          <cell r="E790">
            <v>45522</v>
          </cell>
          <cell r="F790">
            <v>12</v>
          </cell>
          <cell r="G790">
            <v>47</v>
          </cell>
          <cell r="H790">
            <v>3779079.3773584906</v>
          </cell>
          <cell r="I790">
            <v>3020476.9811320747</v>
          </cell>
          <cell r="J790">
            <v>0</v>
          </cell>
          <cell r="K790">
            <v>0</v>
          </cell>
          <cell r="L790">
            <v>3193113.8490566034</v>
          </cell>
          <cell r="M790">
            <v>1.6651305116954035E-2</v>
          </cell>
          <cell r="N790">
            <v>1.6651305116954035E-2</v>
          </cell>
          <cell r="O790">
            <v>0</v>
          </cell>
          <cell r="P790">
            <v>9992670.2075471692</v>
          </cell>
          <cell r="Q790">
            <v>177616730.73584902</v>
          </cell>
          <cell r="R790" t="str">
            <v>OK</v>
          </cell>
          <cell r="S790">
            <v>6499864.9900000002</v>
          </cell>
          <cell r="T790">
            <v>45531</v>
          </cell>
          <cell r="U790" t="str">
            <v>PAGADO</v>
          </cell>
        </row>
        <row r="791">
          <cell r="A791" t="str">
            <v>20249</v>
          </cell>
          <cell r="B791" t="str">
            <v>BANCOLOMBIA</v>
          </cell>
          <cell r="C791" t="str">
            <v>LAMAR OPTICAL S.A.S</v>
          </cell>
          <cell r="D791" t="str">
            <v>8140098503</v>
          </cell>
          <cell r="E791">
            <v>45553</v>
          </cell>
          <cell r="F791">
            <v>13</v>
          </cell>
          <cell r="G791">
            <v>46</v>
          </cell>
          <cell r="H791">
            <v>3779079.3773584906</v>
          </cell>
          <cell r="I791">
            <v>2957550.3773584897</v>
          </cell>
          <cell r="J791">
            <v>0</v>
          </cell>
          <cell r="K791">
            <v>0</v>
          </cell>
          <cell r="L791">
            <v>3492805.217547169</v>
          </cell>
          <cell r="M791">
            <v>1.6651305116954035E-2</v>
          </cell>
          <cell r="N791">
            <v>1.6651305116954035E-2</v>
          </cell>
          <cell r="O791">
            <v>0</v>
          </cell>
          <cell r="P791">
            <v>10229434.972264148</v>
          </cell>
          <cell r="Q791">
            <v>173837651.35849053</v>
          </cell>
          <cell r="R791">
            <v>-16</v>
          </cell>
          <cell r="U791" t="str">
            <v>PENDIENTE</v>
          </cell>
        </row>
        <row r="792">
          <cell r="A792" t="str">
            <v>202410</v>
          </cell>
          <cell r="B792" t="str">
            <v>BANCOLOMBIA</v>
          </cell>
          <cell r="C792" t="str">
            <v>LAMAR OPTICAL S.A.S</v>
          </cell>
          <cell r="D792" t="str">
            <v>8140098503</v>
          </cell>
          <cell r="E792">
            <v>45583</v>
          </cell>
          <cell r="F792">
            <v>14</v>
          </cell>
          <cell r="G792">
            <v>45</v>
          </cell>
          <cell r="H792">
            <v>3779079.3773584906</v>
          </cell>
          <cell r="I792">
            <v>2894623.7735849046</v>
          </cell>
          <cell r="J792">
            <v>0</v>
          </cell>
          <cell r="K792">
            <v>0</v>
          </cell>
          <cell r="L792">
            <v>0</v>
          </cell>
          <cell r="M792">
            <v>1.6651305116954035E-2</v>
          </cell>
          <cell r="N792">
            <v>1.6651305116954035E-2</v>
          </cell>
          <cell r="O792">
            <v>0</v>
          </cell>
          <cell r="P792">
            <v>6673703.1509433948</v>
          </cell>
          <cell r="Q792">
            <v>170058571.98113203</v>
          </cell>
          <cell r="R792">
            <v>-16</v>
          </cell>
          <cell r="U792" t="str">
            <v>PENDIENTE</v>
          </cell>
        </row>
        <row r="793">
          <cell r="A793" t="str">
            <v>202411</v>
          </cell>
          <cell r="B793" t="str">
            <v>BANCOLOMBIA</v>
          </cell>
          <cell r="C793" t="str">
            <v>LAMAR OPTICAL S.A.S</v>
          </cell>
          <cell r="D793" t="str">
            <v>8140098503</v>
          </cell>
          <cell r="E793">
            <v>45614</v>
          </cell>
          <cell r="F793">
            <v>15</v>
          </cell>
          <cell r="G793">
            <v>44</v>
          </cell>
          <cell r="H793">
            <v>3779079.3773584906</v>
          </cell>
          <cell r="I793">
            <v>2831697.16981132</v>
          </cell>
          <cell r="J793">
            <v>0</v>
          </cell>
          <cell r="K793">
            <v>0</v>
          </cell>
          <cell r="L793">
            <v>0</v>
          </cell>
          <cell r="M793">
            <v>1.6651305116954035E-2</v>
          </cell>
          <cell r="N793">
            <v>1.6651305116954035E-2</v>
          </cell>
          <cell r="O793">
            <v>0</v>
          </cell>
          <cell r="P793">
            <v>6610776.5471698102</v>
          </cell>
          <cell r="Q793">
            <v>166279492.60377353</v>
          </cell>
          <cell r="R793">
            <v>-46</v>
          </cell>
          <cell r="U793" t="str">
            <v>PENDIENTE</v>
          </cell>
        </row>
        <row r="794">
          <cell r="A794" t="str">
            <v>202412</v>
          </cell>
          <cell r="B794" t="str">
            <v>BANCOLOMBIA</v>
          </cell>
          <cell r="C794" t="str">
            <v>LAMAR OPTICAL S.A.S</v>
          </cell>
          <cell r="D794" t="str">
            <v>8140098503</v>
          </cell>
          <cell r="E794">
            <v>45644</v>
          </cell>
          <cell r="F794">
            <v>16</v>
          </cell>
          <cell r="G794">
            <v>43</v>
          </cell>
          <cell r="H794">
            <v>3779079.3773584906</v>
          </cell>
          <cell r="I794">
            <v>2768770.566037735</v>
          </cell>
          <cell r="J794">
            <v>0</v>
          </cell>
          <cell r="K794">
            <v>0</v>
          </cell>
          <cell r="L794">
            <v>0</v>
          </cell>
          <cell r="M794">
            <v>1.6651305116954035E-2</v>
          </cell>
          <cell r="N794">
            <v>1.6651305116954035E-2</v>
          </cell>
          <cell r="O794">
            <v>0</v>
          </cell>
          <cell r="P794">
            <v>6547849.9433962256</v>
          </cell>
          <cell r="Q794">
            <v>162500413.22641504</v>
          </cell>
          <cell r="R794">
            <v>-77</v>
          </cell>
          <cell r="U794" t="str">
            <v>PENDIENTE</v>
          </cell>
        </row>
        <row r="795">
          <cell r="A795" t="str">
            <v>20251</v>
          </cell>
          <cell r="B795" t="str">
            <v>BANCOLOMBIA</v>
          </cell>
          <cell r="C795" t="str">
            <v>LAMAR OPTICAL S.A.S</v>
          </cell>
          <cell r="D795" t="str">
            <v>8140098503</v>
          </cell>
          <cell r="E795">
            <v>45675</v>
          </cell>
          <cell r="F795">
            <v>17</v>
          </cell>
          <cell r="G795">
            <v>42</v>
          </cell>
          <cell r="H795">
            <v>3779079.3773584906</v>
          </cell>
          <cell r="I795">
            <v>2705843.9622641499</v>
          </cell>
          <cell r="J795">
            <v>0</v>
          </cell>
          <cell r="K795">
            <v>0</v>
          </cell>
          <cell r="L795">
            <v>0</v>
          </cell>
          <cell r="M795">
            <v>1.6651305116954035E-2</v>
          </cell>
          <cell r="N795">
            <v>1.6651305116954035E-2</v>
          </cell>
          <cell r="O795">
            <v>0</v>
          </cell>
          <cell r="P795">
            <v>6484923.339622641</v>
          </cell>
          <cell r="Q795">
            <v>158721333.84905654</v>
          </cell>
          <cell r="R795">
            <v>-107</v>
          </cell>
          <cell r="U795" t="str">
            <v>PENDIENTE</v>
          </cell>
        </row>
        <row r="796">
          <cell r="A796" t="str">
            <v>20252</v>
          </cell>
          <cell r="B796" t="str">
            <v>BANCOLOMBIA</v>
          </cell>
          <cell r="C796" t="str">
            <v>LAMAR OPTICAL S.A.S</v>
          </cell>
          <cell r="D796" t="str">
            <v>8140098503</v>
          </cell>
          <cell r="E796">
            <v>45706</v>
          </cell>
          <cell r="F796">
            <v>18</v>
          </cell>
          <cell r="G796">
            <v>41</v>
          </cell>
          <cell r="H796">
            <v>3779079.3773584906</v>
          </cell>
          <cell r="I796">
            <v>2642917.3584905649</v>
          </cell>
          <cell r="J796">
            <v>0</v>
          </cell>
          <cell r="K796">
            <v>0</v>
          </cell>
          <cell r="L796">
            <v>0</v>
          </cell>
          <cell r="M796">
            <v>1.6651305116954035E-2</v>
          </cell>
          <cell r="N796">
            <v>1.6651305116954035E-2</v>
          </cell>
          <cell r="O796">
            <v>0</v>
          </cell>
          <cell r="P796">
            <v>6421996.7358490555</v>
          </cell>
          <cell r="Q796">
            <v>154942254.47169805</v>
          </cell>
          <cell r="R796">
            <v>-138</v>
          </cell>
          <cell r="U796" t="str">
            <v>PENDIENTE</v>
          </cell>
        </row>
        <row r="797">
          <cell r="A797" t="str">
            <v>20253</v>
          </cell>
          <cell r="B797" t="str">
            <v>BANCOLOMBIA</v>
          </cell>
          <cell r="C797" t="str">
            <v>LAMAR OPTICAL S.A.S</v>
          </cell>
          <cell r="D797" t="str">
            <v>8140098503</v>
          </cell>
          <cell r="E797">
            <v>45734</v>
          </cell>
          <cell r="F797">
            <v>19</v>
          </cell>
          <cell r="G797">
            <v>40</v>
          </cell>
          <cell r="H797">
            <v>3779079.3773584906</v>
          </cell>
          <cell r="I797">
            <v>2579990.7547169798</v>
          </cell>
          <cell r="J797">
            <v>0</v>
          </cell>
          <cell r="K797">
            <v>0</v>
          </cell>
          <cell r="L797">
            <v>0</v>
          </cell>
          <cell r="M797">
            <v>1.6651305116954035E-2</v>
          </cell>
          <cell r="N797">
            <v>1.6651305116954035E-2</v>
          </cell>
          <cell r="O797">
            <v>0</v>
          </cell>
          <cell r="P797">
            <v>6359070.1320754699</v>
          </cell>
          <cell r="Q797">
            <v>151163175.09433955</v>
          </cell>
          <cell r="R797">
            <v>-169</v>
          </cell>
          <cell r="U797" t="str">
            <v>PENDIENTE</v>
          </cell>
        </row>
        <row r="798">
          <cell r="A798" t="str">
            <v>20254</v>
          </cell>
          <cell r="B798" t="str">
            <v>BANCOLOMBIA</v>
          </cell>
          <cell r="C798" t="str">
            <v>LAMAR OPTICAL S.A.S</v>
          </cell>
          <cell r="D798" t="str">
            <v>8140098503</v>
          </cell>
          <cell r="E798">
            <v>45765</v>
          </cell>
          <cell r="F798">
            <v>20</v>
          </cell>
          <cell r="G798">
            <v>39</v>
          </cell>
          <cell r="H798">
            <v>3779079.3773584906</v>
          </cell>
          <cell r="I798">
            <v>2517064.1509433948</v>
          </cell>
          <cell r="J798">
            <v>0</v>
          </cell>
          <cell r="K798">
            <v>0</v>
          </cell>
          <cell r="L798">
            <v>0</v>
          </cell>
          <cell r="M798">
            <v>1.6651305116954035E-2</v>
          </cell>
          <cell r="N798">
            <v>1.6651305116954035E-2</v>
          </cell>
          <cell r="O798">
            <v>0</v>
          </cell>
          <cell r="P798">
            <v>6296143.5283018854</v>
          </cell>
          <cell r="Q798">
            <v>147384095.71698105</v>
          </cell>
          <cell r="R798">
            <v>-197</v>
          </cell>
          <cell r="U798" t="str">
            <v>PENDIENTE</v>
          </cell>
        </row>
        <row r="799">
          <cell r="A799" t="str">
            <v>20255</v>
          </cell>
          <cell r="B799" t="str">
            <v>BANCOLOMBIA</v>
          </cell>
          <cell r="C799" t="str">
            <v>LAMAR OPTICAL S.A.S</v>
          </cell>
          <cell r="D799" t="str">
            <v>8140098503</v>
          </cell>
          <cell r="E799">
            <v>45795</v>
          </cell>
          <cell r="F799">
            <v>21</v>
          </cell>
          <cell r="G799">
            <v>38</v>
          </cell>
          <cell r="H799">
            <v>3779079.3773584906</v>
          </cell>
          <cell r="I799">
            <v>2454137.5471698097</v>
          </cell>
          <cell r="J799">
            <v>0</v>
          </cell>
          <cell r="K799">
            <v>0</v>
          </cell>
          <cell r="L799">
            <v>0</v>
          </cell>
          <cell r="M799">
            <v>1.6651305116954035E-2</v>
          </cell>
          <cell r="N799">
            <v>1.6651305116954035E-2</v>
          </cell>
          <cell r="O799">
            <v>0</v>
          </cell>
          <cell r="P799">
            <v>6233216.9245283008</v>
          </cell>
          <cell r="Q799">
            <v>143605016.33962256</v>
          </cell>
          <cell r="R799">
            <v>-228</v>
          </cell>
          <cell r="U799" t="str">
            <v>PENDIENTE</v>
          </cell>
        </row>
        <row r="800">
          <cell r="A800" t="str">
            <v>20256</v>
          </cell>
          <cell r="B800" t="str">
            <v>BANCOLOMBIA</v>
          </cell>
          <cell r="C800" t="str">
            <v>LAMAR OPTICAL S.A.S</v>
          </cell>
          <cell r="D800" t="str">
            <v>8140098503</v>
          </cell>
          <cell r="E800">
            <v>45826</v>
          </cell>
          <cell r="F800">
            <v>22</v>
          </cell>
          <cell r="G800">
            <v>37</v>
          </cell>
          <cell r="H800">
            <v>3779079.3773584906</v>
          </cell>
          <cell r="I800">
            <v>2391210.9433962251</v>
          </cell>
          <cell r="J800">
            <v>0</v>
          </cell>
          <cell r="K800">
            <v>0</v>
          </cell>
          <cell r="L800">
            <v>0</v>
          </cell>
          <cell r="M800">
            <v>1.6651305116954035E-2</v>
          </cell>
          <cell r="N800">
            <v>1.6651305116954035E-2</v>
          </cell>
          <cell r="O800">
            <v>0</v>
          </cell>
          <cell r="P800">
            <v>6170290.3207547162</v>
          </cell>
          <cell r="Q800">
            <v>139825936.96226406</v>
          </cell>
          <cell r="R800">
            <v>-258</v>
          </cell>
          <cell r="U800" t="str">
            <v>PENDIENTE</v>
          </cell>
        </row>
        <row r="801">
          <cell r="A801" t="str">
            <v>20257</v>
          </cell>
          <cell r="B801" t="str">
            <v>BANCOLOMBIA</v>
          </cell>
          <cell r="C801" t="str">
            <v>LAMAR OPTICAL S.A.S</v>
          </cell>
          <cell r="D801" t="str">
            <v>8140098503</v>
          </cell>
          <cell r="E801">
            <v>45856</v>
          </cell>
          <cell r="F801">
            <v>23</v>
          </cell>
          <cell r="G801">
            <v>36</v>
          </cell>
          <cell r="H801">
            <v>3779079.3773584906</v>
          </cell>
          <cell r="I801">
            <v>2328284.3396226401</v>
          </cell>
          <cell r="J801">
            <v>0</v>
          </cell>
          <cell r="K801">
            <v>0</v>
          </cell>
          <cell r="L801">
            <v>0</v>
          </cell>
          <cell r="M801">
            <v>1.6651305116954035E-2</v>
          </cell>
          <cell r="N801">
            <v>1.6651305116954035E-2</v>
          </cell>
          <cell r="O801">
            <v>0</v>
          </cell>
          <cell r="P801">
            <v>6107363.7169811307</v>
          </cell>
          <cell r="Q801">
            <v>136046857.58490556</v>
          </cell>
          <cell r="R801">
            <v>-289</v>
          </cell>
          <cell r="U801" t="str">
            <v>PENDIENTE</v>
          </cell>
        </row>
        <row r="802">
          <cell r="A802" t="str">
            <v>20258</v>
          </cell>
          <cell r="B802" t="str">
            <v>BANCOLOMBIA</v>
          </cell>
          <cell r="C802" t="str">
            <v>LAMAR OPTICAL S.A.S</v>
          </cell>
          <cell r="D802" t="str">
            <v>8140098503</v>
          </cell>
          <cell r="E802">
            <v>45887</v>
          </cell>
          <cell r="F802">
            <v>24</v>
          </cell>
          <cell r="G802">
            <v>35</v>
          </cell>
          <cell r="H802">
            <v>3779079.3773584906</v>
          </cell>
          <cell r="I802">
            <v>2265357.735849055</v>
          </cell>
          <cell r="J802">
            <v>0</v>
          </cell>
          <cell r="K802">
            <v>0</v>
          </cell>
          <cell r="L802">
            <v>0</v>
          </cell>
          <cell r="M802">
            <v>1.6651305116954035E-2</v>
          </cell>
          <cell r="N802">
            <v>1.6651305116954035E-2</v>
          </cell>
          <cell r="O802">
            <v>0</v>
          </cell>
          <cell r="P802">
            <v>6044437.1132075451</v>
          </cell>
          <cell r="Q802">
            <v>132267778.20754707</v>
          </cell>
          <cell r="R802">
            <v>-319</v>
          </cell>
          <cell r="U802" t="str">
            <v>PENDIENTE</v>
          </cell>
        </row>
        <row r="803">
          <cell r="A803" t="str">
            <v>20259</v>
          </cell>
          <cell r="B803" t="str">
            <v>BANCOLOMBIA</v>
          </cell>
          <cell r="C803" t="str">
            <v>LAMAR OPTICAL S.A.S</v>
          </cell>
          <cell r="D803" t="str">
            <v>8140098503</v>
          </cell>
          <cell r="E803">
            <v>45918</v>
          </cell>
          <cell r="F803">
            <v>25</v>
          </cell>
          <cell r="G803">
            <v>34</v>
          </cell>
          <cell r="H803">
            <v>3779079.3773584906</v>
          </cell>
          <cell r="I803">
            <v>2202431.1320754699</v>
          </cell>
          <cell r="J803">
            <v>0</v>
          </cell>
          <cell r="K803">
            <v>0</v>
          </cell>
          <cell r="L803">
            <v>0</v>
          </cell>
          <cell r="M803">
            <v>1.6651305116954035E-2</v>
          </cell>
          <cell r="N803">
            <v>1.6651305116954035E-2</v>
          </cell>
          <cell r="O803">
            <v>0</v>
          </cell>
          <cell r="P803">
            <v>5981510.5094339605</v>
          </cell>
          <cell r="Q803">
            <v>128488698.83018857</v>
          </cell>
          <cell r="R803">
            <v>-350</v>
          </cell>
          <cell r="U803" t="str">
            <v>PENDIENTE</v>
          </cell>
        </row>
        <row r="804">
          <cell r="A804" t="str">
            <v>202510</v>
          </cell>
          <cell r="B804" t="str">
            <v>BANCOLOMBIA</v>
          </cell>
          <cell r="C804" t="str">
            <v>LAMAR OPTICAL S.A.S</v>
          </cell>
          <cell r="D804" t="str">
            <v>8140098503</v>
          </cell>
          <cell r="E804">
            <v>45948</v>
          </cell>
          <cell r="F804">
            <v>26</v>
          </cell>
          <cell r="G804">
            <v>33</v>
          </cell>
          <cell r="H804">
            <v>3779079.3773584906</v>
          </cell>
          <cell r="I804">
            <v>2139504.5283018849</v>
          </cell>
          <cell r="J804">
            <v>0</v>
          </cell>
          <cell r="K804">
            <v>0</v>
          </cell>
          <cell r="L804">
            <v>0</v>
          </cell>
          <cell r="M804">
            <v>1.6651305116954035E-2</v>
          </cell>
          <cell r="N804">
            <v>1.6651305116954035E-2</v>
          </cell>
          <cell r="O804">
            <v>0</v>
          </cell>
          <cell r="P804">
            <v>5918583.905660376</v>
          </cell>
          <cell r="Q804">
            <v>124709619.45283008</v>
          </cell>
          <cell r="R804">
            <v>-381</v>
          </cell>
          <cell r="U804" t="str">
            <v>PENDIENTE</v>
          </cell>
        </row>
        <row r="805">
          <cell r="A805" t="str">
            <v>202511</v>
          </cell>
          <cell r="B805" t="str">
            <v>BANCOLOMBIA</v>
          </cell>
          <cell r="C805" t="str">
            <v>LAMAR OPTICAL S.A.S</v>
          </cell>
          <cell r="D805" t="str">
            <v>8140098503</v>
          </cell>
          <cell r="E805">
            <v>45979</v>
          </cell>
          <cell r="F805">
            <v>27</v>
          </cell>
          <cell r="G805">
            <v>32</v>
          </cell>
          <cell r="H805">
            <v>3779079.3773584906</v>
          </cell>
          <cell r="I805">
            <v>2076577.9245282998</v>
          </cell>
          <cell r="J805">
            <v>0</v>
          </cell>
          <cell r="K805">
            <v>0</v>
          </cell>
          <cell r="L805">
            <v>0</v>
          </cell>
          <cell r="M805">
            <v>1.6651305116954035E-2</v>
          </cell>
          <cell r="N805">
            <v>1.6651305116954035E-2</v>
          </cell>
          <cell r="O805">
            <v>0</v>
          </cell>
          <cell r="P805">
            <v>5855657.3018867904</v>
          </cell>
          <cell r="Q805">
            <v>120930540.07547158</v>
          </cell>
          <cell r="R805">
            <v>-411</v>
          </cell>
          <cell r="U805" t="str">
            <v>PENDIENTE</v>
          </cell>
        </row>
        <row r="806">
          <cell r="A806" t="str">
            <v>202512</v>
          </cell>
          <cell r="B806" t="str">
            <v>BANCOLOMBIA</v>
          </cell>
          <cell r="C806" t="str">
            <v>LAMAR OPTICAL S.A.S</v>
          </cell>
          <cell r="D806" t="str">
            <v>8140098503</v>
          </cell>
          <cell r="E806">
            <v>46009</v>
          </cell>
          <cell r="F806">
            <v>28</v>
          </cell>
          <cell r="G806">
            <v>31</v>
          </cell>
          <cell r="H806">
            <v>3779079.3773584906</v>
          </cell>
          <cell r="I806">
            <v>2013651.320754715</v>
          </cell>
          <cell r="J806">
            <v>0</v>
          </cell>
          <cell r="K806">
            <v>0</v>
          </cell>
          <cell r="L806">
            <v>0</v>
          </cell>
          <cell r="M806">
            <v>1.6651305116954035E-2</v>
          </cell>
          <cell r="N806">
            <v>1.6651305116954035E-2</v>
          </cell>
          <cell r="O806">
            <v>0</v>
          </cell>
          <cell r="P806">
            <v>5792730.6981132058</v>
          </cell>
          <cell r="Q806">
            <v>117151460.69811308</v>
          </cell>
          <cell r="R806">
            <v>-442</v>
          </cell>
          <cell r="U806" t="str">
            <v>PENDIENTE</v>
          </cell>
        </row>
        <row r="807">
          <cell r="A807" t="str">
            <v>20261</v>
          </cell>
          <cell r="B807" t="str">
            <v>BANCOLOMBIA</v>
          </cell>
          <cell r="C807" t="str">
            <v>LAMAR OPTICAL S.A.S</v>
          </cell>
          <cell r="D807" t="str">
            <v>8140098503</v>
          </cell>
          <cell r="E807">
            <v>46040</v>
          </cell>
          <cell r="F807">
            <v>29</v>
          </cell>
          <cell r="G807">
            <v>30</v>
          </cell>
          <cell r="H807">
            <v>3779079.3773584906</v>
          </cell>
          <cell r="I807">
            <v>1950724.71698113</v>
          </cell>
          <cell r="J807">
            <v>0</v>
          </cell>
          <cell r="K807">
            <v>0</v>
          </cell>
          <cell r="L807">
            <v>0</v>
          </cell>
          <cell r="M807">
            <v>1.6651305116954035E-2</v>
          </cell>
          <cell r="N807">
            <v>1.6651305116954035E-2</v>
          </cell>
          <cell r="O807">
            <v>0</v>
          </cell>
          <cell r="P807">
            <v>5729804.0943396203</v>
          </cell>
          <cell r="Q807">
            <v>113372381.32075459</v>
          </cell>
          <cell r="R807">
            <v>-472</v>
          </cell>
          <cell r="U807" t="str">
            <v>PENDIENTE</v>
          </cell>
        </row>
        <row r="808">
          <cell r="A808" t="str">
            <v>20262</v>
          </cell>
          <cell r="B808" t="str">
            <v>BANCOLOMBIA</v>
          </cell>
          <cell r="C808" t="str">
            <v>LAMAR OPTICAL S.A.S</v>
          </cell>
          <cell r="D808" t="str">
            <v>8140098503</v>
          </cell>
          <cell r="E808">
            <v>46071</v>
          </cell>
          <cell r="F808">
            <v>30</v>
          </cell>
          <cell r="G808">
            <v>29</v>
          </cell>
          <cell r="H808">
            <v>3779079.3773584906</v>
          </cell>
          <cell r="I808">
            <v>1887798.1132075449</v>
          </cell>
          <cell r="J808">
            <v>0</v>
          </cell>
          <cell r="K808">
            <v>0</v>
          </cell>
          <cell r="L808">
            <v>0</v>
          </cell>
          <cell r="M808">
            <v>1.6651305116954035E-2</v>
          </cell>
          <cell r="N808">
            <v>1.6651305116954035E-2</v>
          </cell>
          <cell r="O808">
            <v>0</v>
          </cell>
          <cell r="P808">
            <v>5666877.4905660357</v>
          </cell>
          <cell r="Q808">
            <v>109593301.94339609</v>
          </cell>
          <cell r="R808">
            <v>-503</v>
          </cell>
          <cell r="U808" t="str">
            <v>PENDIENTE</v>
          </cell>
        </row>
        <row r="809">
          <cell r="A809" t="str">
            <v>20263</v>
          </cell>
          <cell r="B809" t="str">
            <v>BANCOLOMBIA</v>
          </cell>
          <cell r="C809" t="str">
            <v>LAMAR OPTICAL S.A.S</v>
          </cell>
          <cell r="D809" t="str">
            <v>8140098503</v>
          </cell>
          <cell r="E809">
            <v>46099</v>
          </cell>
          <cell r="F809">
            <v>31</v>
          </cell>
          <cell r="G809">
            <v>28</v>
          </cell>
          <cell r="H809">
            <v>3779079.3773584906</v>
          </cell>
          <cell r="I809">
            <v>1824871.5094339598</v>
          </cell>
          <cell r="J809">
            <v>0</v>
          </cell>
          <cell r="K809">
            <v>0</v>
          </cell>
          <cell r="L809">
            <v>0</v>
          </cell>
          <cell r="M809">
            <v>1.6651305116954035E-2</v>
          </cell>
          <cell r="N809">
            <v>1.6651305116954035E-2</v>
          </cell>
          <cell r="O809">
            <v>0</v>
          </cell>
          <cell r="P809">
            <v>5603950.8867924502</v>
          </cell>
          <cell r="Q809">
            <v>105814222.5660376</v>
          </cell>
          <cell r="R809">
            <v>-534</v>
          </cell>
          <cell r="U809" t="str">
            <v>PENDIENTE</v>
          </cell>
        </row>
        <row r="810">
          <cell r="A810" t="str">
            <v>20264</v>
          </cell>
          <cell r="B810" t="str">
            <v>BANCOLOMBIA</v>
          </cell>
          <cell r="C810" t="str">
            <v>LAMAR OPTICAL S.A.S</v>
          </cell>
          <cell r="D810" t="str">
            <v>8140098503</v>
          </cell>
          <cell r="E810">
            <v>46130</v>
          </cell>
          <cell r="F810">
            <v>32</v>
          </cell>
          <cell r="G810">
            <v>27</v>
          </cell>
          <cell r="H810">
            <v>3779079.3773584906</v>
          </cell>
          <cell r="I810">
            <v>1761944.905660375</v>
          </cell>
          <cell r="J810">
            <v>0</v>
          </cell>
          <cell r="K810">
            <v>0</v>
          </cell>
          <cell r="L810">
            <v>0</v>
          </cell>
          <cell r="M810">
            <v>1.6651305116954035E-2</v>
          </cell>
          <cell r="N810">
            <v>1.6651305116954035E-2</v>
          </cell>
          <cell r="O810">
            <v>0</v>
          </cell>
          <cell r="P810">
            <v>5541024.2830188656</v>
          </cell>
          <cell r="Q810">
            <v>102035143.1886791</v>
          </cell>
          <cell r="R810">
            <v>-562</v>
          </cell>
          <cell r="U810" t="str">
            <v>PENDIENTE</v>
          </cell>
        </row>
        <row r="811">
          <cell r="A811" t="str">
            <v>20265</v>
          </cell>
          <cell r="B811" t="str">
            <v>BANCOLOMBIA</v>
          </cell>
          <cell r="C811" t="str">
            <v>LAMAR OPTICAL S.A.S</v>
          </cell>
          <cell r="D811" t="str">
            <v>8140098503</v>
          </cell>
          <cell r="E811">
            <v>46160</v>
          </cell>
          <cell r="F811">
            <v>33</v>
          </cell>
          <cell r="G811">
            <v>26</v>
          </cell>
          <cell r="H811">
            <v>3779079.3773584906</v>
          </cell>
          <cell r="I811">
            <v>1699018.30188679</v>
          </cell>
          <cell r="J811">
            <v>0</v>
          </cell>
          <cell r="K811">
            <v>0</v>
          </cell>
          <cell r="L811">
            <v>0</v>
          </cell>
          <cell r="M811">
            <v>1.6651305116954035E-2</v>
          </cell>
          <cell r="N811">
            <v>1.6651305116954035E-2</v>
          </cell>
          <cell r="O811">
            <v>0</v>
          </cell>
          <cell r="P811">
            <v>5478097.6792452801</v>
          </cell>
          <cell r="Q811">
            <v>98256063.811320603</v>
          </cell>
          <cell r="R811">
            <v>-593</v>
          </cell>
          <cell r="U811" t="str">
            <v>PENDIENTE</v>
          </cell>
        </row>
        <row r="812">
          <cell r="A812" t="str">
            <v>20266</v>
          </cell>
          <cell r="B812" t="str">
            <v>BANCOLOMBIA</v>
          </cell>
          <cell r="C812" t="str">
            <v>LAMAR OPTICAL S.A.S</v>
          </cell>
          <cell r="D812" t="str">
            <v>8140098503</v>
          </cell>
          <cell r="E812">
            <v>46191</v>
          </cell>
          <cell r="F812">
            <v>34</v>
          </cell>
          <cell r="G812">
            <v>25</v>
          </cell>
          <cell r="H812">
            <v>3779079.3773584906</v>
          </cell>
          <cell r="I812">
            <v>1636091.6981132049</v>
          </cell>
          <cell r="J812">
            <v>0</v>
          </cell>
          <cell r="K812">
            <v>0</v>
          </cell>
          <cell r="L812">
            <v>0</v>
          </cell>
          <cell r="M812">
            <v>1.6651305116954035E-2</v>
          </cell>
          <cell r="N812">
            <v>1.6651305116954035E-2</v>
          </cell>
          <cell r="O812">
            <v>0</v>
          </cell>
          <cell r="P812">
            <v>5415171.0754716955</v>
          </cell>
          <cell r="Q812">
            <v>94476984.433962107</v>
          </cell>
          <cell r="R812">
            <v>-623</v>
          </cell>
          <cell r="U812" t="str">
            <v>PENDIENTE</v>
          </cell>
        </row>
        <row r="813">
          <cell r="A813" t="str">
            <v>20267</v>
          </cell>
          <cell r="B813" t="str">
            <v>BANCOLOMBIA</v>
          </cell>
          <cell r="C813" t="str">
            <v>LAMAR OPTICAL S.A.S</v>
          </cell>
          <cell r="D813" t="str">
            <v>8140098503</v>
          </cell>
          <cell r="E813">
            <v>46221</v>
          </cell>
          <cell r="F813">
            <v>35</v>
          </cell>
          <cell r="G813">
            <v>24</v>
          </cell>
          <cell r="H813">
            <v>3779079.3773584906</v>
          </cell>
          <cell r="I813">
            <v>1573165.0943396199</v>
          </cell>
          <cell r="J813">
            <v>0</v>
          </cell>
          <cell r="K813">
            <v>0</v>
          </cell>
          <cell r="L813">
            <v>0</v>
          </cell>
          <cell r="M813">
            <v>1.6651305116954035E-2</v>
          </cell>
          <cell r="N813">
            <v>1.6651305116954035E-2</v>
          </cell>
          <cell r="O813">
            <v>0</v>
          </cell>
          <cell r="P813">
            <v>5352244.4716981109</v>
          </cell>
          <cell r="Q813">
            <v>90697905.056603611</v>
          </cell>
          <cell r="R813">
            <v>-654</v>
          </cell>
          <cell r="U813" t="str">
            <v>PENDIENTE</v>
          </cell>
        </row>
        <row r="814">
          <cell r="A814" t="str">
            <v>20268</v>
          </cell>
          <cell r="B814" t="str">
            <v>BANCOLOMBIA</v>
          </cell>
          <cell r="C814" t="str">
            <v>LAMAR OPTICAL S.A.S</v>
          </cell>
          <cell r="D814" t="str">
            <v>8140098503</v>
          </cell>
          <cell r="E814">
            <v>46252</v>
          </cell>
          <cell r="F814">
            <v>36</v>
          </cell>
          <cell r="G814">
            <v>23</v>
          </cell>
          <cell r="H814">
            <v>3779079.3773584906</v>
          </cell>
          <cell r="I814">
            <v>1510238.490566035</v>
          </cell>
          <cell r="J814">
            <v>0</v>
          </cell>
          <cell r="K814">
            <v>0</v>
          </cell>
          <cell r="L814">
            <v>0</v>
          </cell>
          <cell r="M814">
            <v>1.6651305116954035E-2</v>
          </cell>
          <cell r="N814">
            <v>1.6651305116954035E-2</v>
          </cell>
          <cell r="O814">
            <v>0</v>
          </cell>
          <cell r="P814">
            <v>5289317.8679245254</v>
          </cell>
          <cell r="Q814">
            <v>86918825.679245114</v>
          </cell>
          <cell r="R814">
            <v>-684</v>
          </cell>
          <cell r="U814" t="str">
            <v>PENDIENTE</v>
          </cell>
        </row>
        <row r="815">
          <cell r="A815" t="str">
            <v>20269</v>
          </cell>
          <cell r="B815" t="str">
            <v>BANCOLOMBIA</v>
          </cell>
          <cell r="C815" t="str">
            <v>LAMAR OPTICAL S.A.S</v>
          </cell>
          <cell r="D815" t="str">
            <v>8140098503</v>
          </cell>
          <cell r="E815">
            <v>46283</v>
          </cell>
          <cell r="F815">
            <v>37</v>
          </cell>
          <cell r="G815">
            <v>22</v>
          </cell>
          <cell r="H815">
            <v>3779079.3773584906</v>
          </cell>
          <cell r="I815">
            <v>1447311.88679245</v>
          </cell>
          <cell r="J815">
            <v>0</v>
          </cell>
          <cell r="K815">
            <v>0</v>
          </cell>
          <cell r="L815">
            <v>0</v>
          </cell>
          <cell r="M815">
            <v>1.6651305116954035E-2</v>
          </cell>
          <cell r="N815">
            <v>1.6651305116954035E-2</v>
          </cell>
          <cell r="O815">
            <v>0</v>
          </cell>
          <cell r="P815">
            <v>5226391.2641509408</v>
          </cell>
          <cell r="Q815">
            <v>83139746.301886618</v>
          </cell>
          <cell r="R815">
            <v>-715</v>
          </cell>
          <cell r="U815" t="str">
            <v>PENDIENTE</v>
          </cell>
        </row>
        <row r="816">
          <cell r="A816" t="str">
            <v>202610</v>
          </cell>
          <cell r="B816" t="str">
            <v>BANCOLOMBIA</v>
          </cell>
          <cell r="C816" t="str">
            <v>LAMAR OPTICAL S.A.S</v>
          </cell>
          <cell r="D816" t="str">
            <v>8140098503</v>
          </cell>
          <cell r="E816">
            <v>46313</v>
          </cell>
          <cell r="F816">
            <v>38</v>
          </cell>
          <cell r="G816">
            <v>21</v>
          </cell>
          <cell r="H816">
            <v>3779079.3773584906</v>
          </cell>
          <cell r="I816">
            <v>1384385.2830188649</v>
          </cell>
          <cell r="J816">
            <v>0</v>
          </cell>
          <cell r="K816">
            <v>0</v>
          </cell>
          <cell r="L816">
            <v>0</v>
          </cell>
          <cell r="M816">
            <v>1.6651305116954035E-2</v>
          </cell>
          <cell r="N816">
            <v>1.6651305116954035E-2</v>
          </cell>
          <cell r="O816">
            <v>0</v>
          </cell>
          <cell r="P816">
            <v>5163464.6603773553</v>
          </cell>
          <cell r="Q816">
            <v>79360666.924528122</v>
          </cell>
          <cell r="R816">
            <v>-746</v>
          </cell>
          <cell r="U816" t="str">
            <v>PENDIENTE</v>
          </cell>
        </row>
        <row r="817">
          <cell r="A817" t="str">
            <v>202611</v>
          </cell>
          <cell r="B817" t="str">
            <v>BANCOLOMBIA</v>
          </cell>
          <cell r="C817" t="str">
            <v>LAMAR OPTICAL S.A.S</v>
          </cell>
          <cell r="D817" t="str">
            <v>8140098503</v>
          </cell>
          <cell r="E817">
            <v>46344</v>
          </cell>
          <cell r="F817">
            <v>39</v>
          </cell>
          <cell r="G817">
            <v>20</v>
          </cell>
          <cell r="H817">
            <v>3779079.3773584906</v>
          </cell>
          <cell r="I817">
            <v>1321458.6792452799</v>
          </cell>
          <cell r="J817">
            <v>0</v>
          </cell>
          <cell r="K817">
            <v>0</v>
          </cell>
          <cell r="L817">
            <v>0</v>
          </cell>
          <cell r="M817">
            <v>1.6651305116954035E-2</v>
          </cell>
          <cell r="N817">
            <v>1.6651305116954035E-2</v>
          </cell>
          <cell r="O817">
            <v>0</v>
          </cell>
          <cell r="P817">
            <v>5100538.0566037707</v>
          </cell>
          <cell r="Q817">
            <v>75581587.547169626</v>
          </cell>
          <cell r="R817">
            <v>-776</v>
          </cell>
          <cell r="U817" t="str">
            <v>PENDIENTE</v>
          </cell>
        </row>
        <row r="818">
          <cell r="A818" t="str">
            <v>202612</v>
          </cell>
          <cell r="B818" t="str">
            <v>BANCOLOMBIA</v>
          </cell>
          <cell r="C818" t="str">
            <v>LAMAR OPTICAL S.A.S</v>
          </cell>
          <cell r="D818" t="str">
            <v>8140098503</v>
          </cell>
          <cell r="E818">
            <v>46374</v>
          </cell>
          <cell r="F818">
            <v>40</v>
          </cell>
          <cell r="G818">
            <v>19</v>
          </cell>
          <cell r="H818">
            <v>3779079.3773584906</v>
          </cell>
          <cell r="I818">
            <v>1258532.075471695</v>
          </cell>
          <cell r="J818">
            <v>0</v>
          </cell>
          <cell r="K818">
            <v>0</v>
          </cell>
          <cell r="L818">
            <v>0</v>
          </cell>
          <cell r="M818">
            <v>1.6651305116954035E-2</v>
          </cell>
          <cell r="N818">
            <v>1.6651305116954035E-2</v>
          </cell>
          <cell r="O818">
            <v>0</v>
          </cell>
          <cell r="P818">
            <v>5037611.4528301861</v>
          </cell>
          <cell r="Q818">
            <v>71802508.16981113</v>
          </cell>
          <cell r="R818">
            <v>-807</v>
          </cell>
          <cell r="U818" t="str">
            <v>PENDIENTE</v>
          </cell>
        </row>
        <row r="819">
          <cell r="A819" t="str">
            <v>20271</v>
          </cell>
          <cell r="B819" t="str">
            <v>BANCOLOMBIA</v>
          </cell>
          <cell r="C819" t="str">
            <v>LAMAR OPTICAL S.A.S</v>
          </cell>
          <cell r="D819" t="str">
            <v>8140098503</v>
          </cell>
          <cell r="E819">
            <v>46405</v>
          </cell>
          <cell r="F819">
            <v>41</v>
          </cell>
          <cell r="G819">
            <v>18</v>
          </cell>
          <cell r="H819">
            <v>3779079.3773584906</v>
          </cell>
          <cell r="I819">
            <v>1195605.47169811</v>
          </cell>
          <cell r="J819">
            <v>0</v>
          </cell>
          <cell r="K819">
            <v>0</v>
          </cell>
          <cell r="L819">
            <v>0</v>
          </cell>
          <cell r="M819">
            <v>1.6651305116954035E-2</v>
          </cell>
          <cell r="N819">
            <v>1.6651305116954035E-2</v>
          </cell>
          <cell r="O819">
            <v>0</v>
          </cell>
          <cell r="P819">
            <v>4974684.8490566006</v>
          </cell>
          <cell r="Q819">
            <v>68023428.792452633</v>
          </cell>
          <cell r="R819">
            <v>-837</v>
          </cell>
          <cell r="U819" t="str">
            <v>PENDIENTE</v>
          </cell>
        </row>
        <row r="820">
          <cell r="A820" t="str">
            <v>20272</v>
          </cell>
          <cell r="B820" t="str">
            <v>BANCOLOMBIA</v>
          </cell>
          <cell r="C820" t="str">
            <v>LAMAR OPTICAL S.A.S</v>
          </cell>
          <cell r="D820" t="str">
            <v>8140098503</v>
          </cell>
          <cell r="E820">
            <v>46436</v>
          </cell>
          <cell r="F820">
            <v>42</v>
          </cell>
          <cell r="G820">
            <v>17</v>
          </cell>
          <cell r="H820">
            <v>3779079.3773584906</v>
          </cell>
          <cell r="I820">
            <v>1132678.8679245249</v>
          </cell>
          <cell r="J820">
            <v>0</v>
          </cell>
          <cell r="K820">
            <v>0</v>
          </cell>
          <cell r="L820">
            <v>0</v>
          </cell>
          <cell r="M820">
            <v>1.6651305116954035E-2</v>
          </cell>
          <cell r="N820">
            <v>1.6651305116954035E-2</v>
          </cell>
          <cell r="O820">
            <v>0</v>
          </cell>
          <cell r="P820">
            <v>4911758.2452830151</v>
          </cell>
          <cell r="Q820">
            <v>64244349.415094145</v>
          </cell>
          <cell r="R820">
            <v>-868</v>
          </cell>
          <cell r="U820" t="str">
            <v>PENDIENTE</v>
          </cell>
        </row>
        <row r="821">
          <cell r="A821" t="str">
            <v>20273</v>
          </cell>
          <cell r="B821" t="str">
            <v>BANCOLOMBIA</v>
          </cell>
          <cell r="C821" t="str">
            <v>LAMAR OPTICAL S.A.S</v>
          </cell>
          <cell r="D821" t="str">
            <v>8140098503</v>
          </cell>
          <cell r="E821">
            <v>46464</v>
          </cell>
          <cell r="F821">
            <v>43</v>
          </cell>
          <cell r="G821">
            <v>16</v>
          </cell>
          <cell r="H821">
            <v>3779079.3773584906</v>
          </cell>
          <cell r="I821">
            <v>1069752.2641509401</v>
          </cell>
          <cell r="J821">
            <v>0</v>
          </cell>
          <cell r="K821">
            <v>0</v>
          </cell>
          <cell r="L821">
            <v>0</v>
          </cell>
          <cell r="M821">
            <v>1.6651305116954035E-2</v>
          </cell>
          <cell r="N821">
            <v>1.6651305116954035E-2</v>
          </cell>
          <cell r="O821">
            <v>0</v>
          </cell>
          <cell r="P821">
            <v>4848831.6415094305</v>
          </cell>
          <cell r="Q821">
            <v>60465270.037735656</v>
          </cell>
          <cell r="R821">
            <v>-899</v>
          </cell>
          <cell r="U821" t="str">
            <v>PENDIENTE</v>
          </cell>
        </row>
        <row r="822">
          <cell r="A822" t="str">
            <v>20274</v>
          </cell>
          <cell r="B822" t="str">
            <v>BANCOLOMBIA</v>
          </cell>
          <cell r="C822" t="str">
            <v>LAMAR OPTICAL S.A.S</v>
          </cell>
          <cell r="D822" t="str">
            <v>8140098503</v>
          </cell>
          <cell r="E822">
            <v>46495</v>
          </cell>
          <cell r="F822">
            <v>44</v>
          </cell>
          <cell r="G822">
            <v>15</v>
          </cell>
          <cell r="H822">
            <v>3779079.3773584906</v>
          </cell>
          <cell r="I822">
            <v>1006825.6603773552</v>
          </cell>
          <cell r="J822">
            <v>0</v>
          </cell>
          <cell r="K822">
            <v>0</v>
          </cell>
          <cell r="L822">
            <v>0</v>
          </cell>
          <cell r="M822">
            <v>1.6651305116954035E-2</v>
          </cell>
          <cell r="N822">
            <v>1.6651305116954035E-2</v>
          </cell>
          <cell r="O822">
            <v>0</v>
          </cell>
          <cell r="P822">
            <v>4785905.0377358459</v>
          </cell>
          <cell r="Q822">
            <v>56686190.660377167</v>
          </cell>
          <cell r="R822">
            <v>-927</v>
          </cell>
          <cell r="U822" t="str">
            <v>PENDIENTE</v>
          </cell>
        </row>
        <row r="823">
          <cell r="A823" t="str">
            <v>20275</v>
          </cell>
          <cell r="B823" t="str">
            <v>BANCOLOMBIA</v>
          </cell>
          <cell r="C823" t="str">
            <v>LAMAR OPTICAL S.A.S</v>
          </cell>
          <cell r="D823" t="str">
            <v>8140098503</v>
          </cell>
          <cell r="E823">
            <v>46525</v>
          </cell>
          <cell r="F823">
            <v>45</v>
          </cell>
          <cell r="G823">
            <v>14</v>
          </cell>
          <cell r="H823">
            <v>3779079.3773584906</v>
          </cell>
          <cell r="I823">
            <v>943899.05660377035</v>
          </cell>
          <cell r="J823">
            <v>0</v>
          </cell>
          <cell r="K823">
            <v>0</v>
          </cell>
          <cell r="L823">
            <v>0</v>
          </cell>
          <cell r="M823">
            <v>1.6651305116954035E-2</v>
          </cell>
          <cell r="N823">
            <v>1.6651305116954035E-2</v>
          </cell>
          <cell r="O823">
            <v>0</v>
          </cell>
          <cell r="P823">
            <v>4722978.4339622613</v>
          </cell>
          <cell r="Q823">
            <v>52907111.283018678</v>
          </cell>
          <cell r="R823">
            <v>-958</v>
          </cell>
          <cell r="U823" t="str">
            <v>PENDIENTE</v>
          </cell>
        </row>
        <row r="824">
          <cell r="A824" t="str">
            <v>20276</v>
          </cell>
          <cell r="B824" t="str">
            <v>BANCOLOMBIA</v>
          </cell>
          <cell r="C824" t="str">
            <v>LAMAR OPTICAL S.A.S</v>
          </cell>
          <cell r="D824" t="str">
            <v>8140098503</v>
          </cell>
          <cell r="E824">
            <v>46556</v>
          </cell>
          <cell r="F824">
            <v>46</v>
          </cell>
          <cell r="G824">
            <v>13</v>
          </cell>
          <cell r="H824">
            <v>3779079.3773584906</v>
          </cell>
          <cell r="I824">
            <v>880972.45283018553</v>
          </cell>
          <cell r="J824">
            <v>0</v>
          </cell>
          <cell r="K824">
            <v>0</v>
          </cell>
          <cell r="L824">
            <v>0</v>
          </cell>
          <cell r="M824">
            <v>1.6651305116954035E-2</v>
          </cell>
          <cell r="N824">
            <v>1.6651305116954035E-2</v>
          </cell>
          <cell r="O824">
            <v>0</v>
          </cell>
          <cell r="P824">
            <v>4660051.8301886758</v>
          </cell>
          <cell r="Q824">
            <v>49128031.90566019</v>
          </cell>
          <cell r="R824">
            <v>-988</v>
          </cell>
          <cell r="U824" t="str">
            <v>PENDIENTE</v>
          </cell>
        </row>
        <row r="825">
          <cell r="A825" t="str">
            <v>20277</v>
          </cell>
          <cell r="B825" t="str">
            <v>BANCOLOMBIA</v>
          </cell>
          <cell r="C825" t="str">
            <v>LAMAR OPTICAL S.A.S</v>
          </cell>
          <cell r="D825" t="str">
            <v>8140098503</v>
          </cell>
          <cell r="E825">
            <v>46586</v>
          </cell>
          <cell r="F825">
            <v>47</v>
          </cell>
          <cell r="G825">
            <v>12</v>
          </cell>
          <cell r="H825">
            <v>3779079.3773584906</v>
          </cell>
          <cell r="I825">
            <v>818045.84905660059</v>
          </cell>
          <cell r="J825">
            <v>0</v>
          </cell>
          <cell r="K825">
            <v>0</v>
          </cell>
          <cell r="L825">
            <v>0</v>
          </cell>
          <cell r="M825">
            <v>1.6651305116954035E-2</v>
          </cell>
          <cell r="N825">
            <v>1.6651305116954035E-2</v>
          </cell>
          <cell r="O825">
            <v>0</v>
          </cell>
          <cell r="P825">
            <v>4597125.2264150912</v>
          </cell>
          <cell r="Q825">
            <v>45348952.528301701</v>
          </cell>
          <cell r="R825">
            <v>-1019</v>
          </cell>
          <cell r="U825" t="str">
            <v>PENDIENTE</v>
          </cell>
        </row>
        <row r="826">
          <cell r="A826" t="str">
            <v>20278</v>
          </cell>
          <cell r="B826" t="str">
            <v>BANCOLOMBIA</v>
          </cell>
          <cell r="C826" t="str">
            <v>LAMAR OPTICAL S.A.S</v>
          </cell>
          <cell r="D826" t="str">
            <v>8140098503</v>
          </cell>
          <cell r="E826">
            <v>46617</v>
          </cell>
          <cell r="F826">
            <v>48</v>
          </cell>
          <cell r="G826">
            <v>11</v>
          </cell>
          <cell r="H826">
            <v>3779079.3773584906</v>
          </cell>
          <cell r="I826">
            <v>755119.24528301577</v>
          </cell>
          <cell r="J826">
            <v>0</v>
          </cell>
          <cell r="K826">
            <v>0</v>
          </cell>
          <cell r="L826">
            <v>0</v>
          </cell>
          <cell r="M826">
            <v>1.6651305116954035E-2</v>
          </cell>
          <cell r="N826">
            <v>1.6651305116954035E-2</v>
          </cell>
          <cell r="O826">
            <v>0</v>
          </cell>
          <cell r="P826">
            <v>4534198.6226415066</v>
          </cell>
          <cell r="Q826">
            <v>41569873.150943212</v>
          </cell>
          <cell r="R826">
            <v>-1049</v>
          </cell>
          <cell r="U826" t="str">
            <v>PENDIENTE</v>
          </cell>
        </row>
        <row r="827">
          <cell r="A827" t="str">
            <v>20279</v>
          </cell>
          <cell r="B827" t="str">
            <v>BANCOLOMBIA</v>
          </cell>
          <cell r="C827" t="str">
            <v>LAMAR OPTICAL S.A.S</v>
          </cell>
          <cell r="D827" t="str">
            <v>8140098503</v>
          </cell>
          <cell r="E827">
            <v>46648</v>
          </cell>
          <cell r="F827">
            <v>49</v>
          </cell>
          <cell r="G827">
            <v>10</v>
          </cell>
          <cell r="H827">
            <v>3779079.3773584906</v>
          </cell>
          <cell r="I827">
            <v>692192.64150943083</v>
          </cell>
          <cell r="J827">
            <v>0</v>
          </cell>
          <cell r="K827">
            <v>0</v>
          </cell>
          <cell r="L827">
            <v>0</v>
          </cell>
          <cell r="M827">
            <v>1.6651305116954035E-2</v>
          </cell>
          <cell r="N827">
            <v>1.6651305116954035E-2</v>
          </cell>
          <cell r="O827">
            <v>0</v>
          </cell>
          <cell r="P827">
            <v>4471272.0188679211</v>
          </cell>
          <cell r="Q827">
            <v>37790793.773584723</v>
          </cell>
          <cell r="R827">
            <v>-1080</v>
          </cell>
          <cell r="U827" t="str">
            <v>PENDIENTE</v>
          </cell>
        </row>
        <row r="828">
          <cell r="A828" t="str">
            <v>202710</v>
          </cell>
          <cell r="B828" t="str">
            <v>BANCOLOMBIA</v>
          </cell>
          <cell r="C828" t="str">
            <v>LAMAR OPTICAL S.A.S</v>
          </cell>
          <cell r="D828" t="str">
            <v>8140098503</v>
          </cell>
          <cell r="E828">
            <v>46678</v>
          </cell>
          <cell r="F828">
            <v>50</v>
          </cell>
          <cell r="G828">
            <v>9</v>
          </cell>
          <cell r="H828">
            <v>3779079.3773584906</v>
          </cell>
          <cell r="I828">
            <v>629266.03773584601</v>
          </cell>
          <cell r="J828">
            <v>0</v>
          </cell>
          <cell r="K828">
            <v>0</v>
          </cell>
          <cell r="L828">
            <v>0</v>
          </cell>
          <cell r="M828">
            <v>1.6651305116954035E-2</v>
          </cell>
          <cell r="N828">
            <v>1.6651305116954035E-2</v>
          </cell>
          <cell r="O828">
            <v>0</v>
          </cell>
          <cell r="P828">
            <v>4408345.4150943365</v>
          </cell>
          <cell r="Q828">
            <v>34011714.396226235</v>
          </cell>
          <cell r="R828">
            <v>-1111</v>
          </cell>
          <cell r="U828" t="str">
            <v>PENDIENTE</v>
          </cell>
        </row>
        <row r="829">
          <cell r="A829" t="str">
            <v>202711</v>
          </cell>
          <cell r="B829" t="str">
            <v>BANCOLOMBIA</v>
          </cell>
          <cell r="C829" t="str">
            <v>LAMAR OPTICAL S.A.S</v>
          </cell>
          <cell r="D829" t="str">
            <v>8140098503</v>
          </cell>
          <cell r="E829">
            <v>46709</v>
          </cell>
          <cell r="F829">
            <v>51</v>
          </cell>
          <cell r="G829">
            <v>8</v>
          </cell>
          <cell r="H829">
            <v>3779079.3773584906</v>
          </cell>
          <cell r="I829">
            <v>566339.43396226107</v>
          </cell>
          <cell r="J829">
            <v>0</v>
          </cell>
          <cell r="K829">
            <v>0</v>
          </cell>
          <cell r="L829">
            <v>0</v>
          </cell>
          <cell r="M829">
            <v>1.6651305116954035E-2</v>
          </cell>
          <cell r="N829">
            <v>1.6651305116954035E-2</v>
          </cell>
          <cell r="O829">
            <v>0</v>
          </cell>
          <cell r="P829">
            <v>4345418.8113207519</v>
          </cell>
          <cell r="Q829">
            <v>30232635.018867746</v>
          </cell>
          <cell r="R829">
            <v>-1141</v>
          </cell>
          <cell r="U829" t="str">
            <v>PENDIENTE</v>
          </cell>
        </row>
        <row r="830">
          <cell r="A830" t="str">
            <v>202712</v>
          </cell>
          <cell r="B830" t="str">
            <v>BANCOLOMBIA</v>
          </cell>
          <cell r="C830" t="str">
            <v>LAMAR OPTICAL S.A.S</v>
          </cell>
          <cell r="D830" t="str">
            <v>8140098503</v>
          </cell>
          <cell r="E830">
            <v>46739</v>
          </cell>
          <cell r="F830">
            <v>52</v>
          </cell>
          <cell r="G830">
            <v>7</v>
          </cell>
          <cell r="H830">
            <v>3779079.3773584906</v>
          </cell>
          <cell r="I830">
            <v>503412.83018867625</v>
          </cell>
          <cell r="J830">
            <v>0</v>
          </cell>
          <cell r="K830">
            <v>0</v>
          </cell>
          <cell r="L830">
            <v>0</v>
          </cell>
          <cell r="M830">
            <v>1.6651305116954035E-2</v>
          </cell>
          <cell r="N830">
            <v>1.6651305116954035E-2</v>
          </cell>
          <cell r="O830">
            <v>0</v>
          </cell>
          <cell r="P830">
            <v>4282492.2075471673</v>
          </cell>
          <cell r="Q830">
            <v>26453555.641509257</v>
          </cell>
          <cell r="R830">
            <v>-1172</v>
          </cell>
          <cell r="U830" t="str">
            <v>PENDIENTE</v>
          </cell>
        </row>
        <row r="831">
          <cell r="A831" t="str">
            <v>20281</v>
          </cell>
          <cell r="B831" t="str">
            <v>BANCOLOMBIA</v>
          </cell>
          <cell r="C831" t="str">
            <v>LAMAR OPTICAL S.A.S</v>
          </cell>
          <cell r="D831" t="str">
            <v>8140098503</v>
          </cell>
          <cell r="E831">
            <v>46770</v>
          </cell>
          <cell r="F831">
            <v>53</v>
          </cell>
          <cell r="G831">
            <v>6</v>
          </cell>
          <cell r="H831">
            <v>3779079.3773584906</v>
          </cell>
          <cell r="I831">
            <v>440486.22641509137</v>
          </cell>
          <cell r="J831">
            <v>0</v>
          </cell>
          <cell r="K831">
            <v>0</v>
          </cell>
          <cell r="L831">
            <v>0</v>
          </cell>
          <cell r="M831">
            <v>1.6651305116954035E-2</v>
          </cell>
          <cell r="N831">
            <v>1.6651305116954035E-2</v>
          </cell>
          <cell r="O831">
            <v>0</v>
          </cell>
          <cell r="P831">
            <v>4219565.6037735818</v>
          </cell>
          <cell r="Q831">
            <v>22674476.264150769</v>
          </cell>
          <cell r="R831">
            <v>-1202</v>
          </cell>
          <cell r="U831" t="str">
            <v>PENDIENTE</v>
          </cell>
        </row>
        <row r="832">
          <cell r="A832" t="str">
            <v>20282</v>
          </cell>
          <cell r="B832" t="str">
            <v>BANCOLOMBIA</v>
          </cell>
          <cell r="C832" t="str">
            <v>LAMAR OPTICAL S.A.S</v>
          </cell>
          <cell r="D832" t="str">
            <v>8140098503</v>
          </cell>
          <cell r="E832">
            <v>46801</v>
          </cell>
          <cell r="F832">
            <v>54</v>
          </cell>
          <cell r="G832">
            <v>5</v>
          </cell>
          <cell r="H832">
            <v>3779079.3773584906</v>
          </cell>
          <cell r="I832">
            <v>377559.62264150649</v>
          </cell>
          <cell r="J832">
            <v>0</v>
          </cell>
          <cell r="K832">
            <v>0</v>
          </cell>
          <cell r="L832">
            <v>0</v>
          </cell>
          <cell r="M832">
            <v>1.6651305116954035E-2</v>
          </cell>
          <cell r="N832">
            <v>1.6651305116954035E-2</v>
          </cell>
          <cell r="O832">
            <v>0</v>
          </cell>
          <cell r="P832">
            <v>4156638.9999999972</v>
          </cell>
          <cell r="Q832">
            <v>18895396.88679228</v>
          </cell>
          <cell r="R832">
            <v>-1233</v>
          </cell>
          <cell r="U832" t="str">
            <v>PENDIENTE</v>
          </cell>
        </row>
        <row r="833">
          <cell r="A833" t="str">
            <v>20283</v>
          </cell>
          <cell r="B833" t="str">
            <v>BANCOLOMBIA</v>
          </cell>
          <cell r="C833" t="str">
            <v>LAMAR OPTICAL S.A.S</v>
          </cell>
          <cell r="D833" t="str">
            <v>8140098503</v>
          </cell>
          <cell r="E833">
            <v>46830</v>
          </cell>
          <cell r="F833">
            <v>55</v>
          </cell>
          <cell r="G833">
            <v>4</v>
          </cell>
          <cell r="H833">
            <v>3779079.3773584906</v>
          </cell>
          <cell r="I833">
            <v>314633.01886792161</v>
          </cell>
          <cell r="J833">
            <v>0</v>
          </cell>
          <cell r="K833">
            <v>0</v>
          </cell>
          <cell r="L833">
            <v>0</v>
          </cell>
          <cell r="M833">
            <v>1.6651305116954035E-2</v>
          </cell>
          <cell r="N833">
            <v>1.6651305116954035E-2</v>
          </cell>
          <cell r="O833">
            <v>0</v>
          </cell>
          <cell r="P833">
            <v>4093712.3962264122</v>
          </cell>
          <cell r="Q833">
            <v>15116317.509433789</v>
          </cell>
          <cell r="R833">
            <v>-1264</v>
          </cell>
          <cell r="U833" t="str">
            <v>PENDIENTE</v>
          </cell>
        </row>
        <row r="834">
          <cell r="A834" t="str">
            <v>20284</v>
          </cell>
          <cell r="B834" t="str">
            <v>BANCOLOMBIA</v>
          </cell>
          <cell r="C834" t="str">
            <v>LAMAR OPTICAL S.A.S</v>
          </cell>
          <cell r="D834" t="str">
            <v>8140098503</v>
          </cell>
          <cell r="E834">
            <v>46861</v>
          </cell>
          <cell r="F834">
            <v>56</v>
          </cell>
          <cell r="G834">
            <v>3</v>
          </cell>
          <cell r="H834">
            <v>3779079.3773584906</v>
          </cell>
          <cell r="I834">
            <v>251706.41509433673</v>
          </cell>
          <cell r="J834">
            <v>0</v>
          </cell>
          <cell r="K834">
            <v>0</v>
          </cell>
          <cell r="L834">
            <v>0</v>
          </cell>
          <cell r="M834">
            <v>1.6651305116954035E-2</v>
          </cell>
          <cell r="N834">
            <v>1.6651305116954035E-2</v>
          </cell>
          <cell r="O834">
            <v>0</v>
          </cell>
          <cell r="P834">
            <v>4030785.7924528271</v>
          </cell>
          <cell r="Q834">
            <v>11337238.132075299</v>
          </cell>
          <cell r="R834">
            <v>-1293</v>
          </cell>
          <cell r="U834" t="str">
            <v>PENDIENTE</v>
          </cell>
        </row>
        <row r="835">
          <cell r="A835" t="str">
            <v>20285</v>
          </cell>
          <cell r="B835" t="str">
            <v>BANCOLOMBIA</v>
          </cell>
          <cell r="C835" t="str">
            <v>LAMAR OPTICAL S.A.S</v>
          </cell>
          <cell r="D835" t="str">
            <v>8140098503</v>
          </cell>
          <cell r="E835">
            <v>46891</v>
          </cell>
          <cell r="F835">
            <v>57</v>
          </cell>
          <cell r="G835">
            <v>2</v>
          </cell>
          <cell r="H835">
            <v>3779079.3773584906</v>
          </cell>
          <cell r="I835">
            <v>188779.81132075182</v>
          </cell>
          <cell r="J835">
            <v>0</v>
          </cell>
          <cell r="K835">
            <v>0</v>
          </cell>
          <cell r="L835">
            <v>0</v>
          </cell>
          <cell r="M835">
            <v>1.6651305116954035E-2</v>
          </cell>
          <cell r="N835">
            <v>1.6651305116954035E-2</v>
          </cell>
          <cell r="O835">
            <v>0</v>
          </cell>
          <cell r="P835">
            <v>3967859.1886792425</v>
          </cell>
          <cell r="Q835">
            <v>7558158.754716808</v>
          </cell>
          <cell r="R835">
            <v>-1324</v>
          </cell>
          <cell r="U835" t="str">
            <v>PENDIENTE</v>
          </cell>
        </row>
        <row r="836">
          <cell r="A836" t="str">
            <v>20286</v>
          </cell>
          <cell r="B836" t="str">
            <v>BANCOLOMBIA</v>
          </cell>
          <cell r="C836" t="str">
            <v>LAMAR OPTICAL S.A.S</v>
          </cell>
          <cell r="D836" t="str">
            <v>8140098503</v>
          </cell>
          <cell r="E836">
            <v>46922</v>
          </cell>
          <cell r="F836">
            <v>58</v>
          </cell>
          <cell r="G836">
            <v>1</v>
          </cell>
          <cell r="H836">
            <v>3779079.3773584906</v>
          </cell>
          <cell r="I836">
            <v>125853.20754716692</v>
          </cell>
          <cell r="J836">
            <v>0</v>
          </cell>
          <cell r="K836">
            <v>0</v>
          </cell>
          <cell r="L836">
            <v>0</v>
          </cell>
          <cell r="M836">
            <v>1.6651305116954035E-2</v>
          </cell>
          <cell r="N836">
            <v>1.6651305116954035E-2</v>
          </cell>
          <cell r="O836">
            <v>0</v>
          </cell>
          <cell r="P836">
            <v>3904932.5849056575</v>
          </cell>
          <cell r="Q836">
            <v>3779079.3773583174</v>
          </cell>
          <cell r="R836">
            <v>-1354</v>
          </cell>
          <cell r="U836" t="str">
            <v>PENDIENTE</v>
          </cell>
        </row>
        <row r="837">
          <cell r="A837" t="str">
            <v>20287</v>
          </cell>
          <cell r="B837" t="str">
            <v>BANCOLOMBIA</v>
          </cell>
          <cell r="C837" t="str">
            <v>LAMAR OPTICAL S.A.S</v>
          </cell>
          <cell r="D837" t="str">
            <v>8140098503</v>
          </cell>
          <cell r="E837">
            <v>46952</v>
          </cell>
          <cell r="F837">
            <v>59</v>
          </cell>
          <cell r="G837">
            <v>0</v>
          </cell>
          <cell r="H837">
            <v>3779079.3773584906</v>
          </cell>
          <cell r="I837">
            <v>62926.603773582021</v>
          </cell>
          <cell r="J837">
            <v>0</v>
          </cell>
          <cell r="K837">
            <v>0</v>
          </cell>
          <cell r="L837">
            <v>0</v>
          </cell>
          <cell r="M837">
            <v>1.6651305116954035E-2</v>
          </cell>
          <cell r="N837">
            <v>1.6651305116954035E-2</v>
          </cell>
          <cell r="O837">
            <v>0</v>
          </cell>
          <cell r="P837">
            <v>3842005.9811320724</v>
          </cell>
          <cell r="Q837">
            <v>-1.73225998878479E-7</v>
          </cell>
          <cell r="R837">
            <v>-1385</v>
          </cell>
          <cell r="U837" t="str">
            <v>PENDIENTE</v>
          </cell>
        </row>
        <row r="838">
          <cell r="A838" t="str">
            <v>20238</v>
          </cell>
          <cell r="B838" t="str">
            <v>BANCOLOMBIA</v>
          </cell>
          <cell r="C838" t="str">
            <v>INVERSIONES RUEDA S.A.S</v>
          </cell>
          <cell r="D838" t="str">
            <v>8140098556</v>
          </cell>
          <cell r="E838">
            <v>45169</v>
          </cell>
          <cell r="F838">
            <v>0</v>
          </cell>
          <cell r="G838">
            <v>22</v>
          </cell>
          <cell r="H838">
            <v>0</v>
          </cell>
          <cell r="I838">
            <v>0</v>
          </cell>
          <cell r="J838">
            <v>0</v>
          </cell>
          <cell r="K838">
            <v>0</v>
          </cell>
          <cell r="L838">
            <v>0</v>
          </cell>
          <cell r="M838">
            <v>0</v>
          </cell>
          <cell r="N838">
            <v>0</v>
          </cell>
          <cell r="O838">
            <v>0</v>
          </cell>
          <cell r="P838">
            <v>0</v>
          </cell>
          <cell r="Q838">
            <v>37090568</v>
          </cell>
          <cell r="R838" t="str">
            <v>OK</v>
          </cell>
          <cell r="S838">
            <v>0</v>
          </cell>
          <cell r="T838">
            <v>45156</v>
          </cell>
          <cell r="U838" t="str">
            <v>PAGADO</v>
          </cell>
        </row>
        <row r="839">
          <cell r="A839" t="str">
            <v>20239</v>
          </cell>
          <cell r="B839" t="str">
            <v>BANCOLOMBIA</v>
          </cell>
          <cell r="C839" t="str">
            <v>INVERSIONES RUEDA S.A.S</v>
          </cell>
          <cell r="D839" t="str">
            <v>8140098556</v>
          </cell>
          <cell r="E839">
            <v>45199</v>
          </cell>
          <cell r="F839">
            <v>1</v>
          </cell>
          <cell r="G839">
            <v>21</v>
          </cell>
          <cell r="H839">
            <v>1685922</v>
          </cell>
          <cell r="I839">
            <v>566646</v>
          </cell>
          <cell r="J839">
            <v>0</v>
          </cell>
          <cell r="K839">
            <v>0</v>
          </cell>
          <cell r="L839">
            <v>0</v>
          </cell>
          <cell r="M839">
            <v>1.5277361080046011E-2</v>
          </cell>
          <cell r="N839">
            <v>1.5277361080046011E-2</v>
          </cell>
          <cell r="O839">
            <v>0</v>
          </cell>
          <cell r="P839">
            <v>2252568</v>
          </cell>
          <cell r="Q839">
            <v>35404646</v>
          </cell>
          <cell r="R839" t="str">
            <v>OK</v>
          </cell>
          <cell r="S839">
            <v>2252568</v>
          </cell>
          <cell r="T839">
            <v>45196</v>
          </cell>
          <cell r="U839" t="str">
            <v>PAGADO</v>
          </cell>
        </row>
        <row r="840">
          <cell r="A840" t="str">
            <v>202310</v>
          </cell>
          <cell r="B840" t="str">
            <v>BANCOLOMBIA</v>
          </cell>
          <cell r="C840" t="str">
            <v>INVERSIONES RUEDA S.A.S</v>
          </cell>
          <cell r="D840" t="str">
            <v>8140098556</v>
          </cell>
          <cell r="E840">
            <v>45230</v>
          </cell>
          <cell r="F840">
            <v>2</v>
          </cell>
          <cell r="G840">
            <v>20</v>
          </cell>
          <cell r="H840">
            <v>1685922</v>
          </cell>
          <cell r="I840">
            <v>540889.56085320667</v>
          </cell>
          <cell r="J840">
            <v>0</v>
          </cell>
          <cell r="K840">
            <v>0</v>
          </cell>
          <cell r="L840">
            <v>0</v>
          </cell>
          <cell r="M840">
            <v>1.5277361080046011E-2</v>
          </cell>
          <cell r="N840">
            <v>1.5277361080046011E-2</v>
          </cell>
          <cell r="O840">
            <v>0</v>
          </cell>
          <cell r="P840">
            <v>2226811.5608532066</v>
          </cell>
          <cell r="Q840">
            <v>33718724</v>
          </cell>
          <cell r="R840" t="str">
            <v>OK</v>
          </cell>
          <cell r="S840">
            <v>2297280</v>
          </cell>
          <cell r="T840">
            <v>45230</v>
          </cell>
          <cell r="U840" t="str">
            <v>PAGADO</v>
          </cell>
        </row>
        <row r="841">
          <cell r="A841" t="str">
            <v>202311</v>
          </cell>
          <cell r="B841" t="str">
            <v>BANCOLOMBIA</v>
          </cell>
          <cell r="C841" t="str">
            <v>INVERSIONES RUEDA S.A.S</v>
          </cell>
          <cell r="D841" t="str">
            <v>8140098556</v>
          </cell>
          <cell r="E841">
            <v>45260</v>
          </cell>
          <cell r="F841">
            <v>3</v>
          </cell>
          <cell r="G841">
            <v>19</v>
          </cell>
          <cell r="H841">
            <v>1685922</v>
          </cell>
          <cell r="I841">
            <v>514352</v>
          </cell>
          <cell r="J841">
            <v>0</v>
          </cell>
          <cell r="K841">
            <v>0</v>
          </cell>
          <cell r="L841">
            <v>0</v>
          </cell>
          <cell r="M841">
            <v>1.5254195265514792E-2</v>
          </cell>
          <cell r="N841">
            <v>1.5254195265514792E-2</v>
          </cell>
          <cell r="O841">
            <v>0</v>
          </cell>
          <cell r="P841">
            <v>2200274</v>
          </cell>
          <cell r="Q841">
            <v>32032802</v>
          </cell>
          <cell r="R841" t="str">
            <v>OK</v>
          </cell>
          <cell r="S841">
            <v>2200274</v>
          </cell>
          <cell r="T841">
            <v>45260</v>
          </cell>
          <cell r="U841" t="str">
            <v>PAGADO</v>
          </cell>
        </row>
        <row r="842">
          <cell r="A842" t="str">
            <v>202312</v>
          </cell>
          <cell r="B842" t="str">
            <v>BANCOLOMBIA</v>
          </cell>
          <cell r="C842" t="str">
            <v>INVERSIONES RUEDA S.A.S</v>
          </cell>
          <cell r="D842" t="str">
            <v>8140098556</v>
          </cell>
          <cell r="E842">
            <v>45291</v>
          </cell>
          <cell r="F842">
            <v>4</v>
          </cell>
          <cell r="G842">
            <v>18</v>
          </cell>
          <cell r="H842">
            <v>1685922</v>
          </cell>
          <cell r="I842">
            <v>504051</v>
          </cell>
          <cell r="J842">
            <v>0</v>
          </cell>
          <cell r="K842">
            <v>0</v>
          </cell>
          <cell r="L842">
            <v>0</v>
          </cell>
          <cell r="M842">
            <v>1.5735463916019585E-2</v>
          </cell>
          <cell r="N842">
            <v>1.5735463916019585E-2</v>
          </cell>
          <cell r="O842">
            <v>0</v>
          </cell>
          <cell r="P842">
            <v>2189973</v>
          </cell>
          <cell r="Q842">
            <v>30346880</v>
          </cell>
          <cell r="R842" t="str">
            <v>OK</v>
          </cell>
          <cell r="S842">
            <v>2210473.81</v>
          </cell>
          <cell r="T842">
            <v>45306</v>
          </cell>
          <cell r="U842" t="str">
            <v>PAGADO</v>
          </cell>
        </row>
        <row r="843">
          <cell r="A843" t="str">
            <v>20241</v>
          </cell>
          <cell r="B843" t="str">
            <v>BANCOLOMBIA</v>
          </cell>
          <cell r="C843" t="str">
            <v>INVERSIONES RUEDA S.A.S</v>
          </cell>
          <cell r="D843" t="str">
            <v>8140098556</v>
          </cell>
          <cell r="E843">
            <v>45322</v>
          </cell>
          <cell r="F843">
            <v>5</v>
          </cell>
          <cell r="G843">
            <v>17</v>
          </cell>
          <cell r="H843">
            <v>1685922</v>
          </cell>
          <cell r="I843">
            <v>463620.24341282668</v>
          </cell>
          <cell r="J843">
            <v>0</v>
          </cell>
          <cell r="K843">
            <v>0</v>
          </cell>
          <cell r="L843">
            <v>0</v>
          </cell>
          <cell r="M843">
            <v>1.5277361080046011E-2</v>
          </cell>
          <cell r="N843">
            <v>1.5277361080046011E-2</v>
          </cell>
          <cell r="O843">
            <v>0</v>
          </cell>
          <cell r="P843">
            <v>2149542.2434128267</v>
          </cell>
          <cell r="Q843">
            <v>28660958</v>
          </cell>
          <cell r="R843" t="str">
            <v>OK</v>
          </cell>
          <cell r="S843">
            <v>2157451</v>
          </cell>
          <cell r="T843">
            <v>45322</v>
          </cell>
          <cell r="U843" t="str">
            <v>PAGADO</v>
          </cell>
        </row>
        <row r="844">
          <cell r="A844" t="str">
            <v>20242</v>
          </cell>
          <cell r="B844" t="str">
            <v>BANCOLOMBIA</v>
          </cell>
          <cell r="C844" t="str">
            <v>INVERSIONES RUEDA S.A.S</v>
          </cell>
          <cell r="D844" t="str">
            <v>8140098556</v>
          </cell>
          <cell r="E844">
            <v>45351</v>
          </cell>
          <cell r="F844">
            <v>6</v>
          </cell>
          <cell r="G844">
            <v>16</v>
          </cell>
          <cell r="H844">
            <v>1685922</v>
          </cell>
          <cell r="I844">
            <v>409804</v>
          </cell>
          <cell r="J844">
            <v>0</v>
          </cell>
          <cell r="K844">
            <v>0</v>
          </cell>
          <cell r="L844">
            <v>0</v>
          </cell>
          <cell r="M844">
            <v>1.4298335736021106E-2</v>
          </cell>
          <cell r="N844">
            <v>1.4298335736021106E-2</v>
          </cell>
          <cell r="O844">
            <v>0</v>
          </cell>
          <cell r="P844">
            <v>2095726</v>
          </cell>
          <cell r="Q844">
            <v>26975036</v>
          </cell>
          <cell r="R844" t="str">
            <v>OK</v>
          </cell>
          <cell r="S844">
            <v>2095726</v>
          </cell>
          <cell r="T844">
            <v>45351</v>
          </cell>
          <cell r="U844" t="str">
            <v>PAGADO</v>
          </cell>
        </row>
        <row r="845">
          <cell r="A845" t="str">
            <v>20243</v>
          </cell>
          <cell r="B845" t="str">
            <v>BANCOLOMBIA</v>
          </cell>
          <cell r="C845" t="str">
            <v>INVERSIONES RUEDA S.A.S</v>
          </cell>
          <cell r="D845" t="str">
            <v>8140098556</v>
          </cell>
          <cell r="E845">
            <v>45382</v>
          </cell>
          <cell r="F845">
            <v>7</v>
          </cell>
          <cell r="G845">
            <v>15</v>
          </cell>
          <cell r="H845">
            <v>1685922</v>
          </cell>
          <cell r="I845">
            <v>412107.36511924001</v>
          </cell>
          <cell r="J845">
            <v>0</v>
          </cell>
          <cell r="K845">
            <v>0</v>
          </cell>
          <cell r="L845">
            <v>0</v>
          </cell>
          <cell r="M845">
            <v>1.5277361080046011E-2</v>
          </cell>
          <cell r="N845">
            <v>1.5277361080046011E-2</v>
          </cell>
          <cell r="O845">
            <v>0</v>
          </cell>
          <cell r="P845">
            <v>2098029.3651192402</v>
          </cell>
          <cell r="Q845">
            <v>25289114</v>
          </cell>
          <cell r="R845" t="str">
            <v>OK</v>
          </cell>
          <cell r="S845">
            <v>2099050</v>
          </cell>
          <cell r="T845">
            <v>45383</v>
          </cell>
          <cell r="U845" t="str">
            <v>PAGADO</v>
          </cell>
        </row>
        <row r="846">
          <cell r="A846" t="str">
            <v>20244</v>
          </cell>
          <cell r="B846" t="str">
            <v>BANCOLOMBIA</v>
          </cell>
          <cell r="C846" t="str">
            <v>INVERSIONES RUEDA S.A.S</v>
          </cell>
          <cell r="D846" t="str">
            <v>8140098556</v>
          </cell>
          <cell r="E846">
            <v>45412</v>
          </cell>
          <cell r="F846">
            <v>8</v>
          </cell>
          <cell r="G846">
            <v>14</v>
          </cell>
          <cell r="H846">
            <v>1685922</v>
          </cell>
          <cell r="I846">
            <v>386350.92597244668</v>
          </cell>
          <cell r="J846">
            <v>0</v>
          </cell>
          <cell r="K846">
            <v>0</v>
          </cell>
          <cell r="L846">
            <v>0</v>
          </cell>
          <cell r="M846">
            <v>1.5277361080046011E-2</v>
          </cell>
          <cell r="N846">
            <v>1.5277361080046011E-2</v>
          </cell>
          <cell r="O846">
            <v>0</v>
          </cell>
          <cell r="P846">
            <v>2072272.9259724468</v>
          </cell>
          <cell r="Q846">
            <v>23603192</v>
          </cell>
          <cell r="R846" t="str">
            <v>OK</v>
          </cell>
          <cell r="S846">
            <v>2052671</v>
          </cell>
          <cell r="T846">
            <v>45412</v>
          </cell>
          <cell r="U846" t="str">
            <v>PAGADO</v>
          </cell>
        </row>
        <row r="847">
          <cell r="A847" t="str">
            <v>20245</v>
          </cell>
          <cell r="B847" t="str">
            <v>BANCOLOMBIA</v>
          </cell>
          <cell r="C847" t="str">
            <v>INVERSIONES RUEDA S.A.S</v>
          </cell>
          <cell r="D847" t="str">
            <v>8140098556</v>
          </cell>
          <cell r="E847">
            <v>45443</v>
          </cell>
          <cell r="F847">
            <v>9</v>
          </cell>
          <cell r="G847">
            <v>13</v>
          </cell>
          <cell r="H847">
            <v>1685922</v>
          </cell>
          <cell r="I847">
            <v>360594.48682565335</v>
          </cell>
          <cell r="J847">
            <v>0</v>
          </cell>
          <cell r="K847">
            <v>0</v>
          </cell>
          <cell r="L847">
            <v>19601.925972446799</v>
          </cell>
          <cell r="M847">
            <v>1.5277361080046011E-2</v>
          </cell>
          <cell r="N847">
            <v>1.5277361080046011E-2</v>
          </cell>
          <cell r="O847">
            <v>0</v>
          </cell>
          <cell r="P847">
            <v>2066118.4127981002</v>
          </cell>
          <cell r="Q847">
            <v>21917270</v>
          </cell>
          <cell r="R847" t="str">
            <v>OK</v>
          </cell>
          <cell r="S847">
            <v>2039951</v>
          </cell>
          <cell r="T847">
            <v>45450</v>
          </cell>
          <cell r="U847" t="str">
            <v>PAGADO</v>
          </cell>
        </row>
        <row r="848">
          <cell r="A848" t="str">
            <v>20246</v>
          </cell>
          <cell r="B848" t="str">
            <v>BANCOLOMBIA</v>
          </cell>
          <cell r="C848" t="str">
            <v>INVERSIONES RUEDA S.A.S</v>
          </cell>
          <cell r="D848" t="str">
            <v>8140098556</v>
          </cell>
          <cell r="E848">
            <v>45473</v>
          </cell>
          <cell r="F848">
            <v>10</v>
          </cell>
          <cell r="G848">
            <v>12</v>
          </cell>
          <cell r="H848">
            <v>1685922</v>
          </cell>
          <cell r="I848">
            <v>334838.04767886002</v>
          </cell>
          <cell r="J848">
            <v>0</v>
          </cell>
          <cell r="K848">
            <v>0</v>
          </cell>
          <cell r="L848">
            <v>26167.412798100151</v>
          </cell>
          <cell r="M848">
            <v>1.5277361080046009E-2</v>
          </cell>
          <cell r="N848">
            <v>1.5277361080046009E-2</v>
          </cell>
          <cell r="O848">
            <v>0</v>
          </cell>
          <cell r="P848">
            <v>2046927.4604769601</v>
          </cell>
          <cell r="Q848">
            <v>20231348</v>
          </cell>
          <cell r="R848" t="str">
            <v>OK</v>
          </cell>
          <cell r="S848">
            <v>2002640</v>
          </cell>
          <cell r="T848">
            <v>45479</v>
          </cell>
          <cell r="U848" t="str">
            <v>PAGADO</v>
          </cell>
        </row>
        <row r="849">
          <cell r="A849" t="str">
            <v>20247</v>
          </cell>
          <cell r="B849" t="str">
            <v>BANCOLOMBIA</v>
          </cell>
          <cell r="C849" t="str">
            <v>INVERSIONES RUEDA S.A.S</v>
          </cell>
          <cell r="D849" t="str">
            <v>8140098556</v>
          </cell>
          <cell r="E849">
            <v>45504</v>
          </cell>
          <cell r="F849">
            <v>11</v>
          </cell>
          <cell r="G849">
            <v>11</v>
          </cell>
          <cell r="H849">
            <v>1685922</v>
          </cell>
          <cell r="I849">
            <v>309081.60853206669</v>
          </cell>
          <cell r="J849">
            <v>0</v>
          </cell>
          <cell r="K849">
            <v>0</v>
          </cell>
          <cell r="L849">
            <v>44287.460476960056</v>
          </cell>
          <cell r="M849">
            <v>1.5277361080046009E-2</v>
          </cell>
          <cell r="N849">
            <v>1.5277361080046009E-2</v>
          </cell>
          <cell r="O849">
            <v>0</v>
          </cell>
          <cell r="P849">
            <v>2039291.0690090267</v>
          </cell>
          <cell r="Q849">
            <v>18545426</v>
          </cell>
          <cell r="R849" t="str">
            <v>OK</v>
          </cell>
          <cell r="S849">
            <v>1974304</v>
          </cell>
          <cell r="T849">
            <v>45504</v>
          </cell>
          <cell r="U849" t="str">
            <v>PAGADO</v>
          </cell>
        </row>
        <row r="850">
          <cell r="A850" t="str">
            <v>20248</v>
          </cell>
          <cell r="B850" t="str">
            <v>BANCOLOMBIA</v>
          </cell>
          <cell r="C850" t="str">
            <v>INVERSIONES RUEDA S.A.S</v>
          </cell>
          <cell r="D850" t="str">
            <v>8140098556</v>
          </cell>
          <cell r="E850">
            <v>45535</v>
          </cell>
          <cell r="F850">
            <v>12</v>
          </cell>
          <cell r="G850">
            <v>10</v>
          </cell>
          <cell r="H850">
            <v>1685922</v>
          </cell>
          <cell r="I850">
            <v>283325.16938527336</v>
          </cell>
          <cell r="J850">
            <v>0</v>
          </cell>
          <cell r="K850">
            <v>0</v>
          </cell>
          <cell r="L850">
            <v>64987.069009026745</v>
          </cell>
          <cell r="M850">
            <v>1.5277361080046009E-2</v>
          </cell>
          <cell r="N850">
            <v>1.5277361080046009E-2</v>
          </cell>
          <cell r="O850">
            <v>0</v>
          </cell>
          <cell r="P850">
            <v>2034234.2383943002</v>
          </cell>
          <cell r="Q850">
            <v>16859504</v>
          </cell>
          <cell r="R850">
            <v>2</v>
          </cell>
          <cell r="U850" t="str">
            <v>PENDIENTE</v>
          </cell>
        </row>
        <row r="851">
          <cell r="A851" t="str">
            <v>20249</v>
          </cell>
          <cell r="B851" t="str">
            <v>BANCOLOMBIA</v>
          </cell>
          <cell r="C851" t="str">
            <v>INVERSIONES RUEDA S.A.S</v>
          </cell>
          <cell r="D851" t="str">
            <v>8140098556</v>
          </cell>
          <cell r="E851">
            <v>45565</v>
          </cell>
          <cell r="F851">
            <v>13</v>
          </cell>
          <cell r="G851">
            <v>9</v>
          </cell>
          <cell r="H851">
            <v>1685922</v>
          </cell>
          <cell r="I851">
            <v>257568.73023848006</v>
          </cell>
          <cell r="J851">
            <v>0</v>
          </cell>
          <cell r="K851">
            <v>0</v>
          </cell>
          <cell r="L851">
            <v>0</v>
          </cell>
          <cell r="M851">
            <v>1.5277361080046011E-2</v>
          </cell>
          <cell r="N851">
            <v>1.5277361080046011E-2</v>
          </cell>
          <cell r="O851">
            <v>0</v>
          </cell>
          <cell r="P851">
            <v>1943490.73023848</v>
          </cell>
          <cell r="Q851">
            <v>15173582</v>
          </cell>
          <cell r="R851">
            <v>2</v>
          </cell>
          <cell r="U851" t="str">
            <v>PENDIENTE</v>
          </cell>
        </row>
        <row r="852">
          <cell r="A852" t="str">
            <v>202410</v>
          </cell>
          <cell r="B852" t="str">
            <v>BANCOLOMBIA</v>
          </cell>
          <cell r="C852" t="str">
            <v>INVERSIONES RUEDA S.A.S</v>
          </cell>
          <cell r="D852" t="str">
            <v>8140098556</v>
          </cell>
          <cell r="E852">
            <v>45596</v>
          </cell>
          <cell r="F852">
            <v>14</v>
          </cell>
          <cell r="G852">
            <v>8</v>
          </cell>
          <cell r="H852">
            <v>1685922</v>
          </cell>
          <cell r="I852">
            <v>231812.29109168673</v>
          </cell>
          <cell r="J852">
            <v>0</v>
          </cell>
          <cell r="K852">
            <v>0</v>
          </cell>
          <cell r="L852">
            <v>0</v>
          </cell>
          <cell r="M852">
            <v>1.5277361080046011E-2</v>
          </cell>
          <cell r="N852">
            <v>1.5277361080046011E-2</v>
          </cell>
          <cell r="O852">
            <v>0</v>
          </cell>
          <cell r="P852">
            <v>1917734.2910916868</v>
          </cell>
          <cell r="Q852">
            <v>13487660</v>
          </cell>
          <cell r="R852">
            <v>-28</v>
          </cell>
          <cell r="U852" t="str">
            <v>PENDIENTE</v>
          </cell>
        </row>
        <row r="853">
          <cell r="A853" t="str">
            <v>202411</v>
          </cell>
          <cell r="B853" t="str">
            <v>BANCOLOMBIA</v>
          </cell>
          <cell r="C853" t="str">
            <v>INVERSIONES RUEDA S.A.S</v>
          </cell>
          <cell r="D853" t="str">
            <v>8140098556</v>
          </cell>
          <cell r="E853">
            <v>45626</v>
          </cell>
          <cell r="F853">
            <v>15</v>
          </cell>
          <cell r="G853">
            <v>7</v>
          </cell>
          <cell r="H853">
            <v>1685922</v>
          </cell>
          <cell r="I853">
            <v>206055.85194489339</v>
          </cell>
          <cell r="J853">
            <v>0</v>
          </cell>
          <cell r="K853">
            <v>0</v>
          </cell>
          <cell r="L853">
            <v>0</v>
          </cell>
          <cell r="M853">
            <v>1.5277361080046011E-2</v>
          </cell>
          <cell r="N853">
            <v>1.5277361080046011E-2</v>
          </cell>
          <cell r="O853">
            <v>0</v>
          </cell>
          <cell r="P853">
            <v>1891977.8519448934</v>
          </cell>
          <cell r="Q853">
            <v>11801738</v>
          </cell>
          <cell r="R853">
            <v>-59</v>
          </cell>
          <cell r="U853" t="str">
            <v>PENDIENTE</v>
          </cell>
        </row>
        <row r="854">
          <cell r="A854" t="str">
            <v>202412</v>
          </cell>
          <cell r="B854" t="str">
            <v>BANCOLOMBIA</v>
          </cell>
          <cell r="C854" t="str">
            <v>INVERSIONES RUEDA S.A.S</v>
          </cell>
          <cell r="D854" t="str">
            <v>8140098556</v>
          </cell>
          <cell r="E854">
            <v>45657</v>
          </cell>
          <cell r="F854">
            <v>16</v>
          </cell>
          <cell r="G854">
            <v>6</v>
          </cell>
          <cell r="H854">
            <v>1685922</v>
          </cell>
          <cell r="I854">
            <v>180299.41279810006</v>
          </cell>
          <cell r="J854">
            <v>0</v>
          </cell>
          <cell r="K854">
            <v>0</v>
          </cell>
          <cell r="L854">
            <v>0</v>
          </cell>
          <cell r="M854">
            <v>1.5277361080046013E-2</v>
          </cell>
          <cell r="N854">
            <v>1.5277361080046013E-2</v>
          </cell>
          <cell r="O854">
            <v>0</v>
          </cell>
          <cell r="P854">
            <v>1866221.4127981002</v>
          </cell>
          <cell r="Q854">
            <v>10115816</v>
          </cell>
          <cell r="R854">
            <v>-89</v>
          </cell>
          <cell r="U854" t="str">
            <v>PENDIENTE</v>
          </cell>
        </row>
        <row r="855">
          <cell r="A855" t="str">
            <v>20251</v>
          </cell>
          <cell r="B855" t="str">
            <v>BANCOLOMBIA</v>
          </cell>
          <cell r="C855" t="str">
            <v>INVERSIONES RUEDA S.A.S</v>
          </cell>
          <cell r="D855" t="str">
            <v>8140098556</v>
          </cell>
          <cell r="E855">
            <v>45688</v>
          </cell>
          <cell r="F855">
            <v>17</v>
          </cell>
          <cell r="G855">
            <v>5</v>
          </cell>
          <cell r="H855">
            <v>1685922</v>
          </cell>
          <cell r="I855">
            <v>154542.97365130673</v>
          </cell>
          <cell r="J855">
            <v>0</v>
          </cell>
          <cell r="K855">
            <v>0</v>
          </cell>
          <cell r="L855">
            <v>0</v>
          </cell>
          <cell r="M855">
            <v>1.5277361080046013E-2</v>
          </cell>
          <cell r="N855">
            <v>1.5277361080046013E-2</v>
          </cell>
          <cell r="O855">
            <v>0</v>
          </cell>
          <cell r="P855">
            <v>1840464.9736513067</v>
          </cell>
          <cell r="Q855">
            <v>8429894</v>
          </cell>
          <cell r="R855">
            <v>-120</v>
          </cell>
          <cell r="U855" t="str">
            <v>PENDIENTE</v>
          </cell>
        </row>
        <row r="856">
          <cell r="A856" t="str">
            <v>20252</v>
          </cell>
          <cell r="B856" t="str">
            <v>BANCOLOMBIA</v>
          </cell>
          <cell r="C856" t="str">
            <v>INVERSIONES RUEDA S.A.S</v>
          </cell>
          <cell r="D856" t="str">
            <v>8140098556</v>
          </cell>
          <cell r="E856">
            <v>45716</v>
          </cell>
          <cell r="F856">
            <v>18</v>
          </cell>
          <cell r="G856">
            <v>4</v>
          </cell>
          <cell r="H856">
            <v>1685922</v>
          </cell>
          <cell r="I856">
            <v>128786.53450451339</v>
          </cell>
          <cell r="J856">
            <v>0</v>
          </cell>
          <cell r="K856">
            <v>0</v>
          </cell>
          <cell r="L856">
            <v>0</v>
          </cell>
          <cell r="M856">
            <v>1.5277361080046011E-2</v>
          </cell>
          <cell r="N856">
            <v>1.5277361080046011E-2</v>
          </cell>
          <cell r="O856">
            <v>0</v>
          </cell>
          <cell r="P856">
            <v>1814708.5345045135</v>
          </cell>
          <cell r="Q856">
            <v>6743972</v>
          </cell>
          <cell r="R856">
            <v>-151</v>
          </cell>
          <cell r="U856" t="str">
            <v>PENDIENTE</v>
          </cell>
        </row>
        <row r="857">
          <cell r="A857" t="str">
            <v>20253</v>
          </cell>
          <cell r="B857" t="str">
            <v>BANCOLOMBIA</v>
          </cell>
          <cell r="C857" t="str">
            <v>INVERSIONES RUEDA S.A.S</v>
          </cell>
          <cell r="D857" t="str">
            <v>8140098556</v>
          </cell>
          <cell r="E857">
            <v>45747</v>
          </cell>
          <cell r="F857">
            <v>19</v>
          </cell>
          <cell r="G857">
            <v>3</v>
          </cell>
          <cell r="H857">
            <v>1685922</v>
          </cell>
          <cell r="I857">
            <v>103030.09535772006</v>
          </cell>
          <cell r="J857">
            <v>0</v>
          </cell>
          <cell r="K857">
            <v>0</v>
          </cell>
          <cell r="L857">
            <v>0</v>
          </cell>
          <cell r="M857">
            <v>1.5277361080046011E-2</v>
          </cell>
          <cell r="N857">
            <v>1.5277361080046011E-2</v>
          </cell>
          <cell r="O857">
            <v>0</v>
          </cell>
          <cell r="P857">
            <v>1788952.09535772</v>
          </cell>
          <cell r="Q857">
            <v>5058050</v>
          </cell>
          <cell r="R857">
            <v>-179</v>
          </cell>
          <cell r="U857" t="str">
            <v>PENDIENTE</v>
          </cell>
        </row>
        <row r="858">
          <cell r="A858" t="str">
            <v>20254</v>
          </cell>
          <cell r="B858" t="str">
            <v>BANCOLOMBIA</v>
          </cell>
          <cell r="C858" t="str">
            <v>INVERSIONES RUEDA S.A.S</v>
          </cell>
          <cell r="D858" t="str">
            <v>8140098556</v>
          </cell>
          <cell r="E858">
            <v>45777</v>
          </cell>
          <cell r="F858">
            <v>20</v>
          </cell>
          <cell r="G858">
            <v>2</v>
          </cell>
          <cell r="H858">
            <v>1685922</v>
          </cell>
          <cell r="I858">
            <v>77273.656210926725</v>
          </cell>
          <cell r="J858">
            <v>0</v>
          </cell>
          <cell r="K858">
            <v>0</v>
          </cell>
          <cell r="L858">
            <v>0</v>
          </cell>
          <cell r="M858">
            <v>1.5277361080046011E-2</v>
          </cell>
          <cell r="N858">
            <v>1.5277361080046011E-2</v>
          </cell>
          <cell r="O858">
            <v>0</v>
          </cell>
          <cell r="P858">
            <v>1763195.6562109268</v>
          </cell>
          <cell r="Q858">
            <v>3372128</v>
          </cell>
          <cell r="R858">
            <v>-210</v>
          </cell>
          <cell r="U858" t="str">
            <v>PENDIENTE</v>
          </cell>
        </row>
        <row r="859">
          <cell r="A859" t="str">
            <v>20255</v>
          </cell>
          <cell r="B859" t="str">
            <v>BANCOLOMBIA</v>
          </cell>
          <cell r="C859" t="str">
            <v>INVERSIONES RUEDA S.A.S</v>
          </cell>
          <cell r="D859" t="str">
            <v>8140098556</v>
          </cell>
          <cell r="E859">
            <v>45808</v>
          </cell>
          <cell r="F859">
            <v>21</v>
          </cell>
          <cell r="G859">
            <v>1</v>
          </cell>
          <cell r="H859">
            <v>1685922</v>
          </cell>
          <cell r="I859">
            <v>51517.217064133394</v>
          </cell>
          <cell r="J859">
            <v>0</v>
          </cell>
          <cell r="K859">
            <v>0</v>
          </cell>
          <cell r="L859">
            <v>0</v>
          </cell>
          <cell r="M859">
            <v>1.5277361080046011E-2</v>
          </cell>
          <cell r="N859">
            <v>1.5277361080046011E-2</v>
          </cell>
          <cell r="O859">
            <v>0</v>
          </cell>
          <cell r="P859">
            <v>1737439.2170641334</v>
          </cell>
          <cell r="Q859">
            <v>1686206</v>
          </cell>
          <cell r="R859">
            <v>-240</v>
          </cell>
          <cell r="U859" t="str">
            <v>PENDIENTE</v>
          </cell>
        </row>
        <row r="860">
          <cell r="A860" t="str">
            <v>20256</v>
          </cell>
          <cell r="B860" t="str">
            <v>BANCOLOMBIA</v>
          </cell>
          <cell r="C860" t="str">
            <v>INVERSIONES RUEDA S.A.S</v>
          </cell>
          <cell r="D860" t="str">
            <v>8140098556</v>
          </cell>
          <cell r="E860">
            <v>45838</v>
          </cell>
          <cell r="F860">
            <v>22</v>
          </cell>
          <cell r="G860">
            <v>0</v>
          </cell>
          <cell r="H860">
            <v>1685922</v>
          </cell>
          <cell r="I860">
            <v>25760.777917340063</v>
          </cell>
          <cell r="J860">
            <v>0</v>
          </cell>
          <cell r="K860">
            <v>0</v>
          </cell>
          <cell r="L860">
            <v>0</v>
          </cell>
          <cell r="M860">
            <v>1.5277361080046011E-2</v>
          </cell>
          <cell r="N860">
            <v>1.5277361080046011E-2</v>
          </cell>
          <cell r="O860">
            <v>0</v>
          </cell>
          <cell r="P860">
            <v>1711682.7779173402</v>
          </cell>
          <cell r="Q860">
            <v>284</v>
          </cell>
          <cell r="R860">
            <v>-271</v>
          </cell>
          <cell r="U860" t="str">
            <v>PENDIENTE</v>
          </cell>
        </row>
        <row r="861">
          <cell r="A861" t="str">
            <v>20238</v>
          </cell>
          <cell r="B861" t="str">
            <v>BANCOLOMBIA</v>
          </cell>
          <cell r="C861" t="str">
            <v>INVERSIONES RUEDA S.A.S</v>
          </cell>
          <cell r="D861" t="str">
            <v>8140098557</v>
          </cell>
          <cell r="E861">
            <v>45169</v>
          </cell>
          <cell r="F861">
            <v>0</v>
          </cell>
          <cell r="G861">
            <v>38</v>
          </cell>
          <cell r="H861">
            <v>0</v>
          </cell>
          <cell r="I861">
            <v>0</v>
          </cell>
          <cell r="J861">
            <v>0</v>
          </cell>
          <cell r="K861">
            <v>0</v>
          </cell>
          <cell r="L861">
            <v>0</v>
          </cell>
          <cell r="M861">
            <v>0</v>
          </cell>
          <cell r="N861">
            <v>0</v>
          </cell>
          <cell r="O861">
            <v>0</v>
          </cell>
          <cell r="P861">
            <v>0</v>
          </cell>
          <cell r="Q861">
            <v>160140564.00999999</v>
          </cell>
          <cell r="R861" t="str">
            <v>OK</v>
          </cell>
          <cell r="S861">
            <v>0</v>
          </cell>
          <cell r="T861">
            <v>45169</v>
          </cell>
          <cell r="U861" t="str">
            <v>PAGADO</v>
          </cell>
        </row>
        <row r="862">
          <cell r="A862" t="str">
            <v>20239</v>
          </cell>
          <cell r="B862" t="str">
            <v>BANCOLOMBIA</v>
          </cell>
          <cell r="C862" t="str">
            <v>INVERSIONES RUEDA S.A.S</v>
          </cell>
          <cell r="D862" t="str">
            <v>8140098557</v>
          </cell>
          <cell r="E862">
            <v>45199</v>
          </cell>
          <cell r="F862">
            <v>1</v>
          </cell>
          <cell r="G862">
            <v>37</v>
          </cell>
          <cell r="H862">
            <v>4214225</v>
          </cell>
          <cell r="I862">
            <v>2579999</v>
          </cell>
          <cell r="J862">
            <v>0</v>
          </cell>
          <cell r="K862">
            <v>0</v>
          </cell>
          <cell r="L862">
            <v>0</v>
          </cell>
          <cell r="M862">
            <v>1.6110839973305525E-2</v>
          </cell>
          <cell r="N862">
            <v>1.6110839973305525E-2</v>
          </cell>
          <cell r="O862">
            <v>0</v>
          </cell>
          <cell r="P862">
            <v>6794224</v>
          </cell>
          <cell r="Q862">
            <v>155926339.00999999</v>
          </cell>
          <cell r="R862" t="str">
            <v>OK</v>
          </cell>
          <cell r="S862">
            <v>6794222</v>
          </cell>
          <cell r="T862">
            <v>45201</v>
          </cell>
          <cell r="U862" t="str">
            <v>PAGADO</v>
          </cell>
        </row>
        <row r="863">
          <cell r="A863" t="str">
            <v>202310</v>
          </cell>
          <cell r="B863" t="str">
            <v>BANCOLOMBIA</v>
          </cell>
          <cell r="C863" t="str">
            <v>INVERSIONES RUEDA S.A.S</v>
          </cell>
          <cell r="D863" t="str">
            <v>8140098557</v>
          </cell>
          <cell r="E863">
            <v>45230</v>
          </cell>
          <cell r="F863">
            <v>2</v>
          </cell>
          <cell r="G863">
            <v>36</v>
          </cell>
          <cell r="H863">
            <v>4214225</v>
          </cell>
          <cell r="I863">
            <v>2512104.2954134964</v>
          </cell>
          <cell r="J863">
            <v>0</v>
          </cell>
          <cell r="K863">
            <v>0</v>
          </cell>
          <cell r="L863">
            <v>0</v>
          </cell>
          <cell r="M863">
            <v>1.6110839973305525E-2</v>
          </cell>
          <cell r="N863">
            <v>1.6110839973305525E-2</v>
          </cell>
          <cell r="O863">
            <v>0</v>
          </cell>
          <cell r="P863">
            <v>6726329.295413496</v>
          </cell>
          <cell r="Q863">
            <v>151712114.00999999</v>
          </cell>
          <cell r="R863" t="str">
            <v>OK</v>
          </cell>
          <cell r="S863">
            <v>6866152</v>
          </cell>
          <cell r="T863">
            <v>45246</v>
          </cell>
          <cell r="U863" t="str">
            <v>PAGADO</v>
          </cell>
        </row>
        <row r="864">
          <cell r="A864" t="str">
            <v>202311</v>
          </cell>
          <cell r="B864" t="str">
            <v>BANCOLOMBIA</v>
          </cell>
          <cell r="C864" t="str">
            <v>INVERSIONES RUEDA S.A.S</v>
          </cell>
          <cell r="D864" t="str">
            <v>8140098557</v>
          </cell>
          <cell r="E864">
            <v>45260</v>
          </cell>
          <cell r="F864">
            <v>3</v>
          </cell>
          <cell r="G864">
            <v>35</v>
          </cell>
          <cell r="H864">
            <v>4214225</v>
          </cell>
          <cell r="I864">
            <v>2444587</v>
          </cell>
          <cell r="J864">
            <v>0</v>
          </cell>
          <cell r="K864">
            <v>0</v>
          </cell>
          <cell r="L864">
            <v>0</v>
          </cell>
          <cell r="M864">
            <v>1.6113327639998919E-2</v>
          </cell>
          <cell r="N864">
            <v>1.6113327639998919E-2</v>
          </cell>
          <cell r="O864">
            <v>0</v>
          </cell>
          <cell r="P864">
            <v>6658812</v>
          </cell>
          <cell r="Q864">
            <v>147497889.00999999</v>
          </cell>
          <cell r="R864" t="str">
            <v>OK</v>
          </cell>
          <cell r="S864">
            <v>6658812</v>
          </cell>
          <cell r="T864">
            <v>45260</v>
          </cell>
          <cell r="U864" t="str">
            <v>PAGADO</v>
          </cell>
        </row>
        <row r="865">
          <cell r="A865" t="str">
            <v>202312</v>
          </cell>
          <cell r="B865" t="str">
            <v>BANCOLOMBIA</v>
          </cell>
          <cell r="C865" t="str">
            <v>INVERSIONES RUEDA S.A.S</v>
          </cell>
          <cell r="D865" t="str">
            <v>8140098557</v>
          </cell>
          <cell r="E865">
            <v>45291</v>
          </cell>
          <cell r="F865">
            <v>4</v>
          </cell>
          <cell r="G865">
            <v>34</v>
          </cell>
          <cell r="H865">
            <v>4214225</v>
          </cell>
          <cell r="I865">
            <v>2452095</v>
          </cell>
          <cell r="J865">
            <v>0</v>
          </cell>
          <cell r="K865">
            <v>0</v>
          </cell>
          <cell r="L865">
            <v>0</v>
          </cell>
          <cell r="M865">
            <v>1.6624610809404562E-2</v>
          </cell>
          <cell r="N865">
            <v>1.6624610809404562E-2</v>
          </cell>
          <cell r="O865">
            <v>0</v>
          </cell>
          <cell r="P865">
            <v>6666320</v>
          </cell>
          <cell r="Q865">
            <v>143283664.00999999</v>
          </cell>
          <cell r="R865" t="str">
            <v>OK</v>
          </cell>
          <cell r="S865">
            <v>6721362</v>
          </cell>
          <cell r="T865">
            <v>45307</v>
          </cell>
          <cell r="U865" t="str">
            <v>PAGADO</v>
          </cell>
        </row>
        <row r="866">
          <cell r="A866" t="str">
            <v>20241</v>
          </cell>
          <cell r="B866" t="str">
            <v>BANCOLOMBIA</v>
          </cell>
          <cell r="C866" t="str">
            <v>INVERSIONES RUEDA S.A.S</v>
          </cell>
          <cell r="D866" t="str">
            <v>8140098557</v>
          </cell>
          <cell r="E866">
            <v>45322</v>
          </cell>
          <cell r="F866">
            <v>5</v>
          </cell>
          <cell r="G866">
            <v>33</v>
          </cell>
          <cell r="H866">
            <v>4214225</v>
          </cell>
          <cell r="I866">
            <v>2308420.1816539862</v>
          </cell>
          <cell r="J866">
            <v>0</v>
          </cell>
          <cell r="K866">
            <v>0</v>
          </cell>
          <cell r="L866">
            <v>0</v>
          </cell>
          <cell r="M866">
            <v>1.6110839973305525E-2</v>
          </cell>
          <cell r="N866">
            <v>1.6110839973305525E-2</v>
          </cell>
          <cell r="O866">
            <v>0</v>
          </cell>
          <cell r="P866">
            <v>6522645.1816539858</v>
          </cell>
          <cell r="Q866">
            <v>139069439.00999999</v>
          </cell>
          <cell r="R866" t="str">
            <v>OK</v>
          </cell>
          <cell r="S866">
            <v>6568129</v>
          </cell>
          <cell r="T866">
            <v>45322</v>
          </cell>
          <cell r="U866" t="str">
            <v>PAGADO</v>
          </cell>
        </row>
        <row r="867">
          <cell r="A867" t="str">
            <v>20242</v>
          </cell>
          <cell r="B867" t="str">
            <v>BANCOLOMBIA</v>
          </cell>
          <cell r="C867" t="str">
            <v>INVERSIONES RUEDA S.A.S</v>
          </cell>
          <cell r="D867" t="str">
            <v>8140098557</v>
          </cell>
          <cell r="E867">
            <v>45351</v>
          </cell>
          <cell r="F867">
            <v>6</v>
          </cell>
          <cell r="G867">
            <v>32</v>
          </cell>
          <cell r="H867">
            <v>4214225</v>
          </cell>
          <cell r="I867">
            <v>2104449</v>
          </cell>
          <cell r="J867">
            <v>0</v>
          </cell>
          <cell r="K867">
            <v>0</v>
          </cell>
          <cell r="L867">
            <v>0</v>
          </cell>
          <cell r="M867">
            <v>1.5132361322379941E-2</v>
          </cell>
          <cell r="N867">
            <v>1.5132361322379941E-2</v>
          </cell>
          <cell r="O867">
            <v>0</v>
          </cell>
          <cell r="P867">
            <v>6318674</v>
          </cell>
          <cell r="Q867">
            <v>134855214.00999999</v>
          </cell>
          <cell r="R867" t="str">
            <v>OK</v>
          </cell>
          <cell r="S867">
            <v>6318674</v>
          </cell>
          <cell r="T867">
            <v>45351</v>
          </cell>
          <cell r="U867" t="str">
            <v>PAGADO</v>
          </cell>
        </row>
        <row r="868">
          <cell r="A868" t="str">
            <v>20243</v>
          </cell>
          <cell r="B868" t="str">
            <v>BANCOLOMBIA</v>
          </cell>
          <cell r="C868" t="str">
            <v>INVERSIONES RUEDA S.A.S</v>
          </cell>
          <cell r="D868" t="str">
            <v>8140098557</v>
          </cell>
          <cell r="E868">
            <v>45382</v>
          </cell>
          <cell r="F868">
            <v>7</v>
          </cell>
          <cell r="G868">
            <v>31</v>
          </cell>
          <cell r="H868">
            <v>4214225</v>
          </cell>
          <cell r="I868">
            <v>2172630.7724809791</v>
          </cell>
          <cell r="J868">
            <v>0</v>
          </cell>
          <cell r="K868">
            <v>0</v>
          </cell>
          <cell r="L868">
            <v>0</v>
          </cell>
          <cell r="M868">
            <v>1.6110839973305525E-2</v>
          </cell>
          <cell r="N868">
            <v>1.6110839973305525E-2</v>
          </cell>
          <cell r="O868">
            <v>0</v>
          </cell>
          <cell r="P868">
            <v>6386855.7724809796</v>
          </cell>
          <cell r="Q868">
            <v>130640989.00999999</v>
          </cell>
          <cell r="R868" t="str">
            <v>OK</v>
          </cell>
          <cell r="S868">
            <v>6400052</v>
          </cell>
          <cell r="T868">
            <v>45383</v>
          </cell>
          <cell r="U868" t="str">
            <v>PAGADO</v>
          </cell>
        </row>
        <row r="869">
          <cell r="A869" t="str">
            <v>20244</v>
          </cell>
          <cell r="B869" t="str">
            <v>BANCOLOMBIA</v>
          </cell>
          <cell r="C869" t="str">
            <v>INVERSIONES RUEDA S.A.S</v>
          </cell>
          <cell r="D869" t="str">
            <v>8140098557</v>
          </cell>
          <cell r="E869">
            <v>45412</v>
          </cell>
          <cell r="F869">
            <v>8</v>
          </cell>
          <cell r="G869">
            <v>30</v>
          </cell>
          <cell r="H869">
            <v>4214225</v>
          </cell>
          <cell r="I869">
            <v>2104736.0678944755</v>
          </cell>
          <cell r="J869">
            <v>0</v>
          </cell>
          <cell r="K869">
            <v>0</v>
          </cell>
          <cell r="L869">
            <v>0</v>
          </cell>
          <cell r="M869">
            <v>1.6110839973305525E-2</v>
          </cell>
          <cell r="N869">
            <v>1.6110839973305525E-2</v>
          </cell>
          <cell r="O869">
            <v>0</v>
          </cell>
          <cell r="P869">
            <v>6318961.0678944755</v>
          </cell>
          <cell r="Q869">
            <v>126426764.00999999</v>
          </cell>
          <cell r="R869" t="str">
            <v>OK</v>
          </cell>
          <cell r="S869">
            <v>6221959</v>
          </cell>
          <cell r="T869">
            <v>45412</v>
          </cell>
          <cell r="U869" t="str">
            <v>PAGADO</v>
          </cell>
        </row>
        <row r="870">
          <cell r="A870" t="str">
            <v>20245</v>
          </cell>
          <cell r="B870" t="str">
            <v>BANCOLOMBIA</v>
          </cell>
          <cell r="C870" t="str">
            <v>INVERSIONES RUEDA S.A.S</v>
          </cell>
          <cell r="D870" t="str">
            <v>8140098557</v>
          </cell>
          <cell r="E870">
            <v>45443</v>
          </cell>
          <cell r="F870">
            <v>9</v>
          </cell>
          <cell r="G870">
            <v>29</v>
          </cell>
          <cell r="H870">
            <v>4214225</v>
          </cell>
          <cell r="I870">
            <v>1963752</v>
          </cell>
          <cell r="J870">
            <v>0</v>
          </cell>
          <cell r="K870">
            <v>0</v>
          </cell>
          <cell r="L870">
            <v>97002.067894475535</v>
          </cell>
          <cell r="M870">
            <v>1.5532723750207455E-2</v>
          </cell>
          <cell r="N870">
            <v>1.5532723750207455E-2</v>
          </cell>
          <cell r="O870">
            <v>0</v>
          </cell>
          <cell r="P870">
            <v>6274979.0678944755</v>
          </cell>
          <cell r="Q870">
            <v>122212539.00999999</v>
          </cell>
          <cell r="R870" t="str">
            <v>OK</v>
          </cell>
          <cell r="S870">
            <v>6177977</v>
          </cell>
          <cell r="T870">
            <v>45443</v>
          </cell>
          <cell r="U870" t="str">
            <v>PAGADO</v>
          </cell>
        </row>
        <row r="871">
          <cell r="A871" t="str">
            <v>20246</v>
          </cell>
          <cell r="B871" t="str">
            <v>BANCOLOMBIA</v>
          </cell>
          <cell r="C871" t="str">
            <v>INVERSIONES RUEDA S.A.S</v>
          </cell>
          <cell r="D871" t="str">
            <v>8140098557</v>
          </cell>
          <cell r="E871">
            <v>45473</v>
          </cell>
          <cell r="F871">
            <v>10</v>
          </cell>
          <cell r="G871">
            <v>28</v>
          </cell>
          <cell r="H871">
            <v>4214225</v>
          </cell>
          <cell r="I871">
            <v>1832985</v>
          </cell>
          <cell r="J871">
            <v>0</v>
          </cell>
          <cell r="K871">
            <v>0</v>
          </cell>
          <cell r="L871">
            <v>97002.067894475535</v>
          </cell>
          <cell r="M871">
            <v>1.4998338262573995E-2</v>
          </cell>
          <cell r="N871">
            <v>1.4998338262573995E-2</v>
          </cell>
          <cell r="O871">
            <v>0</v>
          </cell>
          <cell r="P871">
            <v>6144212.0678944755</v>
          </cell>
          <cell r="Q871">
            <v>117998314.00999999</v>
          </cell>
          <cell r="R871" t="str">
            <v>OK</v>
          </cell>
          <cell r="S871">
            <v>6091366</v>
          </cell>
          <cell r="T871">
            <v>45488</v>
          </cell>
          <cell r="U871" t="str">
            <v>PAGADO</v>
          </cell>
        </row>
        <row r="872">
          <cell r="A872" t="str">
            <v>20247</v>
          </cell>
          <cell r="B872" t="str">
            <v>BANCOLOMBIA</v>
          </cell>
          <cell r="C872" t="str">
            <v>INVERSIONES RUEDA S.A.S</v>
          </cell>
          <cell r="D872" t="str">
            <v>8140098557</v>
          </cell>
          <cell r="E872">
            <v>45504</v>
          </cell>
          <cell r="F872">
            <v>11</v>
          </cell>
          <cell r="G872">
            <v>27</v>
          </cell>
          <cell r="H872">
            <v>4214225</v>
          </cell>
          <cell r="I872">
            <v>1632285</v>
          </cell>
          <cell r="J872">
            <v>0</v>
          </cell>
          <cell r="K872">
            <v>0</v>
          </cell>
          <cell r="L872">
            <v>52846.067894475535</v>
          </cell>
          <cell r="M872">
            <v>1.3833121377155175E-2</v>
          </cell>
          <cell r="N872">
            <v>1.3833121377155175E-2</v>
          </cell>
          <cell r="O872">
            <v>0</v>
          </cell>
          <cell r="P872">
            <v>5899356.0678944755</v>
          </cell>
          <cell r="Q872">
            <v>113784089.00999999</v>
          </cell>
          <cell r="R872" t="str">
            <v>OK</v>
          </cell>
          <cell r="S872">
            <v>5507867.1299999999</v>
          </cell>
          <cell r="T872">
            <v>45526</v>
          </cell>
          <cell r="U872" t="str">
            <v>PAGADO</v>
          </cell>
        </row>
        <row r="873">
          <cell r="A873" t="str">
            <v>20248</v>
          </cell>
          <cell r="B873" t="str">
            <v>BANCOLOMBIA</v>
          </cell>
          <cell r="C873" t="str">
            <v>INVERSIONES RUEDA S.A.S</v>
          </cell>
          <cell r="D873" t="str">
            <v>8140098557</v>
          </cell>
          <cell r="E873">
            <v>45535</v>
          </cell>
          <cell r="F873">
            <v>12</v>
          </cell>
          <cell r="G873">
            <v>26</v>
          </cell>
          <cell r="H873">
            <v>4214225</v>
          </cell>
          <cell r="I873">
            <v>1833157.2495484618</v>
          </cell>
          <cell r="J873">
            <v>0</v>
          </cell>
          <cell r="K873">
            <v>0</v>
          </cell>
          <cell r="L873">
            <v>391488.93789447565</v>
          </cell>
          <cell r="M873">
            <v>1.6110839973305525E-2</v>
          </cell>
          <cell r="N873">
            <v>1.6110839973305525E-2</v>
          </cell>
          <cell r="O873">
            <v>0</v>
          </cell>
          <cell r="P873">
            <v>6438871.1874429369</v>
          </cell>
          <cell r="Q873">
            <v>109569864.00999999</v>
          </cell>
          <cell r="R873">
            <v>2</v>
          </cell>
          <cell r="U873" t="str">
            <v>PENDIENTE</v>
          </cell>
        </row>
        <row r="874">
          <cell r="A874" t="str">
            <v>20249</v>
          </cell>
          <cell r="B874" t="str">
            <v>BANCOLOMBIA</v>
          </cell>
          <cell r="C874" t="str">
            <v>INVERSIONES RUEDA S.A.S</v>
          </cell>
          <cell r="D874" t="str">
            <v>8140098557</v>
          </cell>
          <cell r="E874">
            <v>45565</v>
          </cell>
          <cell r="F874">
            <v>13</v>
          </cell>
          <cell r="G874">
            <v>25</v>
          </cell>
          <cell r="H874">
            <v>4214225</v>
          </cell>
          <cell r="I874">
            <v>1765262.5449619582</v>
          </cell>
          <cell r="J874">
            <v>0</v>
          </cell>
          <cell r="K874">
            <v>0</v>
          </cell>
          <cell r="L874">
            <v>0</v>
          </cell>
          <cell r="M874">
            <v>1.6110839973305525E-2</v>
          </cell>
          <cell r="N874">
            <v>1.6110839973305525E-2</v>
          </cell>
          <cell r="O874">
            <v>0</v>
          </cell>
          <cell r="P874">
            <v>5979487.5449619582</v>
          </cell>
          <cell r="Q874">
            <v>105355639.00999999</v>
          </cell>
          <cell r="R874">
            <v>2</v>
          </cell>
          <cell r="U874" t="str">
            <v>PENDIENTE</v>
          </cell>
        </row>
        <row r="875">
          <cell r="A875" t="str">
            <v>202410</v>
          </cell>
          <cell r="B875" t="str">
            <v>BANCOLOMBIA</v>
          </cell>
          <cell r="C875" t="str">
            <v>INVERSIONES RUEDA S.A.S</v>
          </cell>
          <cell r="D875" t="str">
            <v>8140098557</v>
          </cell>
          <cell r="E875">
            <v>45596</v>
          </cell>
          <cell r="F875">
            <v>14</v>
          </cell>
          <cell r="G875">
            <v>24</v>
          </cell>
          <cell r="H875">
            <v>4214225</v>
          </cell>
          <cell r="I875">
            <v>1697367.8403754549</v>
          </cell>
          <cell r="J875">
            <v>0</v>
          </cell>
          <cell r="K875">
            <v>0</v>
          </cell>
          <cell r="L875">
            <v>0</v>
          </cell>
          <cell r="M875">
            <v>1.6110839973305525E-2</v>
          </cell>
          <cell r="N875">
            <v>1.6110839973305525E-2</v>
          </cell>
          <cell r="O875">
            <v>0</v>
          </cell>
          <cell r="P875">
            <v>5911592.8403754551</v>
          </cell>
          <cell r="Q875">
            <v>101141414.00999999</v>
          </cell>
          <cell r="R875">
            <v>-28</v>
          </cell>
          <cell r="U875" t="str">
            <v>PENDIENTE</v>
          </cell>
        </row>
        <row r="876">
          <cell r="A876" t="str">
            <v>202411</v>
          </cell>
          <cell r="B876" t="str">
            <v>BANCOLOMBIA</v>
          </cell>
          <cell r="C876" t="str">
            <v>INVERSIONES RUEDA S.A.S</v>
          </cell>
          <cell r="D876" t="str">
            <v>8140098557</v>
          </cell>
          <cell r="E876">
            <v>45626</v>
          </cell>
          <cell r="F876">
            <v>15</v>
          </cell>
          <cell r="G876">
            <v>23</v>
          </cell>
          <cell r="H876">
            <v>4214225</v>
          </cell>
          <cell r="I876">
            <v>1629473.1357889513</v>
          </cell>
          <cell r="J876">
            <v>0</v>
          </cell>
          <cell r="K876">
            <v>0</v>
          </cell>
          <cell r="L876">
            <v>0</v>
          </cell>
          <cell r="M876">
            <v>1.6110839973305525E-2</v>
          </cell>
          <cell r="N876">
            <v>1.6110839973305525E-2</v>
          </cell>
          <cell r="O876">
            <v>0</v>
          </cell>
          <cell r="P876">
            <v>5843698.1357889511</v>
          </cell>
          <cell r="Q876">
            <v>96927189.00999999</v>
          </cell>
          <cell r="R876">
            <v>-59</v>
          </cell>
          <cell r="U876" t="str">
            <v>PENDIENTE</v>
          </cell>
        </row>
        <row r="877">
          <cell r="A877" t="str">
            <v>202412</v>
          </cell>
          <cell r="B877" t="str">
            <v>BANCOLOMBIA</v>
          </cell>
          <cell r="C877" t="str">
            <v>INVERSIONES RUEDA S.A.S</v>
          </cell>
          <cell r="D877" t="str">
            <v>8140098557</v>
          </cell>
          <cell r="E877">
            <v>45657</v>
          </cell>
          <cell r="F877">
            <v>16</v>
          </cell>
          <cell r="G877">
            <v>22</v>
          </cell>
          <cell r="H877">
            <v>4214225</v>
          </cell>
          <cell r="I877">
            <v>1561578.4312024477</v>
          </cell>
          <cell r="J877">
            <v>0</v>
          </cell>
          <cell r="K877">
            <v>0</v>
          </cell>
          <cell r="L877">
            <v>0</v>
          </cell>
          <cell r="M877">
            <v>1.6110839973305525E-2</v>
          </cell>
          <cell r="N877">
            <v>1.6110839973305525E-2</v>
          </cell>
          <cell r="O877">
            <v>0</v>
          </cell>
          <cell r="P877">
            <v>5775803.431202448</v>
          </cell>
          <cell r="Q877">
            <v>92712964.00999999</v>
          </cell>
          <cell r="R877">
            <v>-89</v>
          </cell>
          <cell r="U877" t="str">
            <v>PENDIENTE</v>
          </cell>
        </row>
        <row r="878">
          <cell r="A878" t="str">
            <v>20251</v>
          </cell>
          <cell r="B878" t="str">
            <v>BANCOLOMBIA</v>
          </cell>
          <cell r="C878" t="str">
            <v>INVERSIONES RUEDA S.A.S</v>
          </cell>
          <cell r="D878" t="str">
            <v>8140098557</v>
          </cell>
          <cell r="E878">
            <v>45688</v>
          </cell>
          <cell r="F878">
            <v>17</v>
          </cell>
          <cell r="G878">
            <v>21</v>
          </cell>
          <cell r="H878">
            <v>4214225</v>
          </cell>
          <cell r="I878">
            <v>1493683.7266159444</v>
          </cell>
          <cell r="J878">
            <v>0</v>
          </cell>
          <cell r="K878">
            <v>0</v>
          </cell>
          <cell r="L878">
            <v>0</v>
          </cell>
          <cell r="M878">
            <v>1.6110839973305525E-2</v>
          </cell>
          <cell r="N878">
            <v>1.6110839973305525E-2</v>
          </cell>
          <cell r="O878">
            <v>0</v>
          </cell>
          <cell r="P878">
            <v>5707908.7266159449</v>
          </cell>
          <cell r="Q878">
            <v>88498739.00999999</v>
          </cell>
          <cell r="R878">
            <v>-120</v>
          </cell>
          <cell r="U878" t="str">
            <v>PENDIENTE</v>
          </cell>
        </row>
        <row r="879">
          <cell r="A879" t="str">
            <v>20252</v>
          </cell>
          <cell r="B879" t="str">
            <v>BANCOLOMBIA</v>
          </cell>
          <cell r="C879" t="str">
            <v>INVERSIONES RUEDA S.A.S</v>
          </cell>
          <cell r="D879" t="str">
            <v>8140098557</v>
          </cell>
          <cell r="E879">
            <v>45716</v>
          </cell>
          <cell r="F879">
            <v>18</v>
          </cell>
          <cell r="G879">
            <v>20</v>
          </cell>
          <cell r="H879">
            <v>4214225</v>
          </cell>
          <cell r="I879">
            <v>1425789.0220294409</v>
          </cell>
          <cell r="J879">
            <v>0</v>
          </cell>
          <cell r="K879">
            <v>0</v>
          </cell>
          <cell r="L879">
            <v>0</v>
          </cell>
          <cell r="M879">
            <v>1.6110839973305525E-2</v>
          </cell>
          <cell r="N879">
            <v>1.6110839973305525E-2</v>
          </cell>
          <cell r="O879">
            <v>0</v>
          </cell>
          <cell r="P879">
            <v>5640014.0220294409</v>
          </cell>
          <cell r="Q879">
            <v>84284514.00999999</v>
          </cell>
          <cell r="R879">
            <v>-151</v>
          </cell>
          <cell r="U879" t="str">
            <v>PENDIENTE</v>
          </cell>
        </row>
        <row r="880">
          <cell r="A880" t="str">
            <v>20253</v>
          </cell>
          <cell r="B880" t="str">
            <v>BANCOLOMBIA</v>
          </cell>
          <cell r="C880" t="str">
            <v>INVERSIONES RUEDA S.A.S</v>
          </cell>
          <cell r="D880" t="str">
            <v>8140098557</v>
          </cell>
          <cell r="E880">
            <v>45747</v>
          </cell>
          <cell r="F880">
            <v>19</v>
          </cell>
          <cell r="G880">
            <v>19</v>
          </cell>
          <cell r="H880">
            <v>4214225</v>
          </cell>
          <cell r="I880">
            <v>1357894.3174429373</v>
          </cell>
          <cell r="J880">
            <v>0</v>
          </cell>
          <cell r="K880">
            <v>0</v>
          </cell>
          <cell r="L880">
            <v>0</v>
          </cell>
          <cell r="M880">
            <v>1.6110839973305525E-2</v>
          </cell>
          <cell r="N880">
            <v>1.6110839973305525E-2</v>
          </cell>
          <cell r="O880">
            <v>0</v>
          </cell>
          <cell r="P880">
            <v>5572119.3174429368</v>
          </cell>
          <cell r="Q880">
            <v>80070289.00999999</v>
          </cell>
          <cell r="R880">
            <v>-179</v>
          </cell>
          <cell r="U880" t="str">
            <v>PENDIENTE</v>
          </cell>
        </row>
        <row r="881">
          <cell r="A881" t="str">
            <v>20254</v>
          </cell>
          <cell r="B881" t="str">
            <v>BANCOLOMBIA</v>
          </cell>
          <cell r="C881" t="str">
            <v>INVERSIONES RUEDA S.A.S</v>
          </cell>
          <cell r="D881" t="str">
            <v>8140098557</v>
          </cell>
          <cell r="E881">
            <v>45777</v>
          </cell>
          <cell r="F881">
            <v>20</v>
          </cell>
          <cell r="G881">
            <v>18</v>
          </cell>
          <cell r="H881">
            <v>4214225</v>
          </cell>
          <cell r="I881">
            <v>1289999.612856434</v>
          </cell>
          <cell r="J881">
            <v>0</v>
          </cell>
          <cell r="K881">
            <v>0</v>
          </cell>
          <cell r="L881">
            <v>0</v>
          </cell>
          <cell r="M881">
            <v>1.6110839973305525E-2</v>
          </cell>
          <cell r="N881">
            <v>1.6110839973305525E-2</v>
          </cell>
          <cell r="O881">
            <v>0</v>
          </cell>
          <cell r="P881">
            <v>5504224.6128564337</v>
          </cell>
          <cell r="Q881">
            <v>75856064.00999999</v>
          </cell>
          <cell r="R881">
            <v>-210</v>
          </cell>
          <cell r="U881" t="str">
            <v>PENDIENTE</v>
          </cell>
        </row>
        <row r="882">
          <cell r="A882" t="str">
            <v>20255</v>
          </cell>
          <cell r="B882" t="str">
            <v>BANCOLOMBIA</v>
          </cell>
          <cell r="C882" t="str">
            <v>INVERSIONES RUEDA S.A.S</v>
          </cell>
          <cell r="D882" t="str">
            <v>8140098557</v>
          </cell>
          <cell r="E882">
            <v>45808</v>
          </cell>
          <cell r="F882">
            <v>21</v>
          </cell>
          <cell r="G882">
            <v>17</v>
          </cell>
          <cell r="H882">
            <v>4214225</v>
          </cell>
          <cell r="I882">
            <v>1222104.9082699304</v>
          </cell>
          <cell r="J882">
            <v>0</v>
          </cell>
          <cell r="K882">
            <v>0</v>
          </cell>
          <cell r="L882">
            <v>0</v>
          </cell>
          <cell r="M882">
            <v>1.6110839973305525E-2</v>
          </cell>
          <cell r="N882">
            <v>1.6110839973305525E-2</v>
          </cell>
          <cell r="O882">
            <v>0</v>
          </cell>
          <cell r="P882">
            <v>5436329.9082699306</v>
          </cell>
          <cell r="Q882">
            <v>71641839.00999999</v>
          </cell>
          <cell r="R882">
            <v>-240</v>
          </cell>
          <cell r="U882" t="str">
            <v>PENDIENTE</v>
          </cell>
        </row>
        <row r="883">
          <cell r="A883" t="str">
            <v>20256</v>
          </cell>
          <cell r="B883" t="str">
            <v>BANCOLOMBIA</v>
          </cell>
          <cell r="C883" t="str">
            <v>INVERSIONES RUEDA S.A.S</v>
          </cell>
          <cell r="D883" t="str">
            <v>8140098557</v>
          </cell>
          <cell r="E883">
            <v>45838</v>
          </cell>
          <cell r="F883">
            <v>22</v>
          </cell>
          <cell r="G883">
            <v>16</v>
          </cell>
          <cell r="H883">
            <v>4214225</v>
          </cell>
          <cell r="I883">
            <v>1154210.2036834268</v>
          </cell>
          <cell r="J883">
            <v>0</v>
          </cell>
          <cell r="K883">
            <v>0</v>
          </cell>
          <cell r="L883">
            <v>0</v>
          </cell>
          <cell r="M883">
            <v>1.6110839973305525E-2</v>
          </cell>
          <cell r="N883">
            <v>1.6110839973305525E-2</v>
          </cell>
          <cell r="O883">
            <v>0</v>
          </cell>
          <cell r="P883">
            <v>5368435.2036834266</v>
          </cell>
          <cell r="Q883">
            <v>67427614.00999999</v>
          </cell>
          <cell r="R883">
            <v>-271</v>
          </cell>
          <cell r="U883" t="str">
            <v>PENDIENTE</v>
          </cell>
        </row>
        <row r="884">
          <cell r="A884" t="str">
            <v>20257</v>
          </cell>
          <cell r="B884" t="str">
            <v>BANCOLOMBIA</v>
          </cell>
          <cell r="C884" t="str">
            <v>INVERSIONES RUEDA S.A.S</v>
          </cell>
          <cell r="D884" t="str">
            <v>8140098557</v>
          </cell>
          <cell r="E884">
            <v>45869</v>
          </cell>
          <cell r="F884">
            <v>23</v>
          </cell>
          <cell r="G884">
            <v>15</v>
          </cell>
          <cell r="H884">
            <v>4214225</v>
          </cell>
          <cell r="I884">
            <v>1086315.4990969235</v>
          </cell>
          <cell r="J884">
            <v>0</v>
          </cell>
          <cell r="K884">
            <v>0</v>
          </cell>
          <cell r="L884">
            <v>0</v>
          </cell>
          <cell r="M884">
            <v>1.6110839973305525E-2</v>
          </cell>
          <cell r="N884">
            <v>1.6110839973305525E-2</v>
          </cell>
          <cell r="O884">
            <v>0</v>
          </cell>
          <cell r="P884">
            <v>5300540.4990969235</v>
          </cell>
          <cell r="Q884">
            <v>63213389.00999999</v>
          </cell>
          <cell r="R884">
            <v>-301</v>
          </cell>
          <cell r="U884" t="str">
            <v>PENDIENTE</v>
          </cell>
        </row>
        <row r="885">
          <cell r="A885" t="str">
            <v>20258</v>
          </cell>
          <cell r="B885" t="str">
            <v>BANCOLOMBIA</v>
          </cell>
          <cell r="C885" t="str">
            <v>INVERSIONES RUEDA S.A.S</v>
          </cell>
          <cell r="D885" t="str">
            <v>8140098557</v>
          </cell>
          <cell r="E885">
            <v>45900</v>
          </cell>
          <cell r="F885">
            <v>24</v>
          </cell>
          <cell r="G885">
            <v>14</v>
          </cell>
          <cell r="H885">
            <v>4214225</v>
          </cell>
          <cell r="I885">
            <v>1018420.7945104199</v>
          </cell>
          <cell r="J885">
            <v>0</v>
          </cell>
          <cell r="K885">
            <v>0</v>
          </cell>
          <cell r="L885">
            <v>0</v>
          </cell>
          <cell r="M885">
            <v>1.6110839973305525E-2</v>
          </cell>
          <cell r="N885">
            <v>1.6110839973305525E-2</v>
          </cell>
          <cell r="O885">
            <v>0</v>
          </cell>
          <cell r="P885">
            <v>5232645.7945104204</v>
          </cell>
          <cell r="Q885">
            <v>58999164.00999999</v>
          </cell>
          <cell r="R885">
            <v>-332</v>
          </cell>
          <cell r="U885" t="str">
            <v>PENDIENTE</v>
          </cell>
        </row>
        <row r="886">
          <cell r="A886" t="str">
            <v>20259</v>
          </cell>
          <cell r="B886" t="str">
            <v>BANCOLOMBIA</v>
          </cell>
          <cell r="C886" t="str">
            <v>INVERSIONES RUEDA S.A.S</v>
          </cell>
          <cell r="D886" t="str">
            <v>8140098557</v>
          </cell>
          <cell r="E886">
            <v>45930</v>
          </cell>
          <cell r="F886">
            <v>25</v>
          </cell>
          <cell r="G886">
            <v>13</v>
          </cell>
          <cell r="H886">
            <v>4214225</v>
          </cell>
          <cell r="I886">
            <v>950526.0899239165</v>
          </cell>
          <cell r="J886">
            <v>0</v>
          </cell>
          <cell r="K886">
            <v>0</v>
          </cell>
          <cell r="L886">
            <v>0</v>
          </cell>
          <cell r="M886">
            <v>1.6110839973305525E-2</v>
          </cell>
          <cell r="N886">
            <v>1.6110839973305525E-2</v>
          </cell>
          <cell r="O886">
            <v>0</v>
          </cell>
          <cell r="P886">
            <v>5164751.0899239164</v>
          </cell>
          <cell r="Q886">
            <v>54784939.00999999</v>
          </cell>
          <cell r="R886">
            <v>-363</v>
          </cell>
          <cell r="U886" t="str">
            <v>PENDIENTE</v>
          </cell>
        </row>
        <row r="887">
          <cell r="A887" t="str">
            <v>202510</v>
          </cell>
          <cell r="B887" t="str">
            <v>BANCOLOMBIA</v>
          </cell>
          <cell r="C887" t="str">
            <v>INVERSIONES RUEDA S.A.S</v>
          </cell>
          <cell r="D887" t="str">
            <v>8140098557</v>
          </cell>
          <cell r="E887">
            <v>45961</v>
          </cell>
          <cell r="F887">
            <v>26</v>
          </cell>
          <cell r="G887">
            <v>12</v>
          </cell>
          <cell r="H887">
            <v>4214225</v>
          </cell>
          <cell r="I887">
            <v>882631.38533741306</v>
          </cell>
          <cell r="J887">
            <v>0</v>
          </cell>
          <cell r="K887">
            <v>0</v>
          </cell>
          <cell r="L887">
            <v>0</v>
          </cell>
          <cell r="M887">
            <v>1.6110839973305525E-2</v>
          </cell>
          <cell r="N887">
            <v>1.6110839973305525E-2</v>
          </cell>
          <cell r="O887">
            <v>0</v>
          </cell>
          <cell r="P887">
            <v>5096856.3853374133</v>
          </cell>
          <cell r="Q887">
            <v>50570714.00999999</v>
          </cell>
          <cell r="R887">
            <v>-393</v>
          </cell>
          <cell r="U887" t="str">
            <v>PENDIENTE</v>
          </cell>
        </row>
        <row r="888">
          <cell r="A888" t="str">
            <v>202511</v>
          </cell>
          <cell r="B888" t="str">
            <v>BANCOLOMBIA</v>
          </cell>
          <cell r="C888" t="str">
            <v>INVERSIONES RUEDA S.A.S</v>
          </cell>
          <cell r="D888" t="str">
            <v>8140098557</v>
          </cell>
          <cell r="E888">
            <v>45991</v>
          </cell>
          <cell r="F888">
            <v>27</v>
          </cell>
          <cell r="G888">
            <v>11</v>
          </cell>
          <cell r="H888">
            <v>4214225</v>
          </cell>
          <cell r="I888">
            <v>814736.68075090961</v>
          </cell>
          <cell r="J888">
            <v>0</v>
          </cell>
          <cell r="K888">
            <v>0</v>
          </cell>
          <cell r="L888">
            <v>0</v>
          </cell>
          <cell r="M888">
            <v>1.6110839973305525E-2</v>
          </cell>
          <cell r="N888">
            <v>1.6110839973305525E-2</v>
          </cell>
          <cell r="O888">
            <v>0</v>
          </cell>
          <cell r="P888">
            <v>5028961.6807509093</v>
          </cell>
          <cell r="Q888">
            <v>46356489.00999999</v>
          </cell>
          <cell r="R888">
            <v>-424</v>
          </cell>
          <cell r="U888" t="str">
            <v>PENDIENTE</v>
          </cell>
        </row>
        <row r="889">
          <cell r="A889" t="str">
            <v>202512</v>
          </cell>
          <cell r="B889" t="str">
            <v>BANCOLOMBIA</v>
          </cell>
          <cell r="C889" t="str">
            <v>INVERSIONES RUEDA S.A.S</v>
          </cell>
          <cell r="D889" t="str">
            <v>8140098557</v>
          </cell>
          <cell r="E889">
            <v>46022</v>
          </cell>
          <cell r="F889">
            <v>28</v>
          </cell>
          <cell r="G889">
            <v>10</v>
          </cell>
          <cell r="H889">
            <v>4214225</v>
          </cell>
          <cell r="I889">
            <v>746841.97616440605</v>
          </cell>
          <cell r="J889">
            <v>0</v>
          </cell>
          <cell r="K889">
            <v>0</v>
          </cell>
          <cell r="L889">
            <v>0</v>
          </cell>
          <cell r="M889">
            <v>1.6110839973305525E-2</v>
          </cell>
          <cell r="N889">
            <v>1.6110839973305525E-2</v>
          </cell>
          <cell r="O889">
            <v>0</v>
          </cell>
          <cell r="P889">
            <v>4961066.9761644062</v>
          </cell>
          <cell r="Q889">
            <v>42142264.00999999</v>
          </cell>
          <cell r="R889">
            <v>-454</v>
          </cell>
          <cell r="U889" t="str">
            <v>PENDIENTE</v>
          </cell>
        </row>
        <row r="890">
          <cell r="A890" t="str">
            <v>20261</v>
          </cell>
          <cell r="B890" t="str">
            <v>BANCOLOMBIA</v>
          </cell>
          <cell r="C890" t="str">
            <v>INVERSIONES RUEDA S.A.S</v>
          </cell>
          <cell r="D890" t="str">
            <v>8140098557</v>
          </cell>
          <cell r="E890">
            <v>46053</v>
          </cell>
          <cell r="F890">
            <v>29</v>
          </cell>
          <cell r="G890">
            <v>9</v>
          </cell>
          <cell r="H890">
            <v>4214225</v>
          </cell>
          <cell r="I890">
            <v>678947.2715779026</v>
          </cell>
          <cell r="J890">
            <v>0</v>
          </cell>
          <cell r="K890">
            <v>0</v>
          </cell>
          <cell r="L890">
            <v>0</v>
          </cell>
          <cell r="M890">
            <v>1.6110839973305525E-2</v>
          </cell>
          <cell r="N890">
            <v>1.6110839973305525E-2</v>
          </cell>
          <cell r="O890">
            <v>0</v>
          </cell>
          <cell r="P890">
            <v>4893172.2715779021</v>
          </cell>
          <cell r="Q890">
            <v>37928039.00999999</v>
          </cell>
          <cell r="R890">
            <v>-485</v>
          </cell>
          <cell r="U890" t="str">
            <v>PENDIENTE</v>
          </cell>
        </row>
        <row r="891">
          <cell r="A891" t="str">
            <v>20262</v>
          </cell>
          <cell r="B891" t="str">
            <v>BANCOLOMBIA</v>
          </cell>
          <cell r="C891" t="str">
            <v>INVERSIONES RUEDA S.A.S</v>
          </cell>
          <cell r="D891" t="str">
            <v>8140098557</v>
          </cell>
          <cell r="E891">
            <v>46081</v>
          </cell>
          <cell r="F891">
            <v>30</v>
          </cell>
          <cell r="G891">
            <v>8</v>
          </cell>
          <cell r="H891">
            <v>4214225</v>
          </cell>
          <cell r="I891">
            <v>611052.56699139916</v>
          </cell>
          <cell r="J891">
            <v>0</v>
          </cell>
          <cell r="K891">
            <v>0</v>
          </cell>
          <cell r="L891">
            <v>0</v>
          </cell>
          <cell r="M891">
            <v>1.6110839973305525E-2</v>
          </cell>
          <cell r="N891">
            <v>1.6110839973305525E-2</v>
          </cell>
          <cell r="O891">
            <v>0</v>
          </cell>
          <cell r="P891">
            <v>4825277.566991399</v>
          </cell>
          <cell r="Q891">
            <v>33713814.00999999</v>
          </cell>
          <cell r="R891">
            <v>-516</v>
          </cell>
          <cell r="U891" t="str">
            <v>PENDIENTE</v>
          </cell>
        </row>
        <row r="892">
          <cell r="A892" t="str">
            <v>20263</v>
          </cell>
          <cell r="B892" t="str">
            <v>BANCOLOMBIA</v>
          </cell>
          <cell r="C892" t="str">
            <v>INVERSIONES RUEDA S.A.S</v>
          </cell>
          <cell r="D892" t="str">
            <v>8140098557</v>
          </cell>
          <cell r="E892">
            <v>46112</v>
          </cell>
          <cell r="F892">
            <v>31</v>
          </cell>
          <cell r="G892">
            <v>7</v>
          </cell>
          <cell r="H892">
            <v>4214225</v>
          </cell>
          <cell r="I892">
            <v>543157.86240489571</v>
          </cell>
          <cell r="J892">
            <v>0</v>
          </cell>
          <cell r="K892">
            <v>0</v>
          </cell>
          <cell r="L892">
            <v>0</v>
          </cell>
          <cell r="M892">
            <v>1.6110839973305525E-2</v>
          </cell>
          <cell r="N892">
            <v>1.6110839973305525E-2</v>
          </cell>
          <cell r="O892">
            <v>0</v>
          </cell>
          <cell r="P892">
            <v>4757382.8624048959</v>
          </cell>
          <cell r="Q892">
            <v>29499589.00999999</v>
          </cell>
          <cell r="R892">
            <v>-544</v>
          </cell>
          <cell r="U892" t="str">
            <v>PENDIENTE</v>
          </cell>
        </row>
        <row r="893">
          <cell r="A893" t="str">
            <v>20264</v>
          </cell>
          <cell r="B893" t="str">
            <v>BANCOLOMBIA</v>
          </cell>
          <cell r="C893" t="str">
            <v>INVERSIONES RUEDA S.A.S</v>
          </cell>
          <cell r="D893" t="str">
            <v>8140098557</v>
          </cell>
          <cell r="E893">
            <v>46142</v>
          </cell>
          <cell r="F893">
            <v>32</v>
          </cell>
          <cell r="G893">
            <v>6</v>
          </cell>
          <cell r="H893">
            <v>4214225</v>
          </cell>
          <cell r="I893">
            <v>475263.15781839221</v>
          </cell>
          <cell r="J893">
            <v>0</v>
          </cell>
          <cell r="K893">
            <v>0</v>
          </cell>
          <cell r="L893">
            <v>0</v>
          </cell>
          <cell r="M893">
            <v>1.6110839973305525E-2</v>
          </cell>
          <cell r="N893">
            <v>1.6110839973305525E-2</v>
          </cell>
          <cell r="O893">
            <v>0</v>
          </cell>
          <cell r="P893">
            <v>4689488.1578183919</v>
          </cell>
          <cell r="Q893">
            <v>25285364.00999999</v>
          </cell>
          <cell r="R893">
            <v>-575</v>
          </cell>
          <cell r="U893" t="str">
            <v>PENDIENTE</v>
          </cell>
        </row>
        <row r="894">
          <cell r="A894" t="str">
            <v>20265</v>
          </cell>
          <cell r="B894" t="str">
            <v>BANCOLOMBIA</v>
          </cell>
          <cell r="C894" t="str">
            <v>INVERSIONES RUEDA S.A.S</v>
          </cell>
          <cell r="D894" t="str">
            <v>8140098557</v>
          </cell>
          <cell r="E894">
            <v>46173</v>
          </cell>
          <cell r="F894">
            <v>33</v>
          </cell>
          <cell r="G894">
            <v>5</v>
          </cell>
          <cell r="H894">
            <v>4214225</v>
          </cell>
          <cell r="I894">
            <v>407368.45323188871</v>
          </cell>
          <cell r="J894">
            <v>0</v>
          </cell>
          <cell r="K894">
            <v>0</v>
          </cell>
          <cell r="L894">
            <v>0</v>
          </cell>
          <cell r="M894">
            <v>1.6110839973305525E-2</v>
          </cell>
          <cell r="N894">
            <v>1.6110839973305525E-2</v>
          </cell>
          <cell r="O894">
            <v>0</v>
          </cell>
          <cell r="P894">
            <v>4621593.4532318888</v>
          </cell>
          <cell r="Q894">
            <v>21071139.00999999</v>
          </cell>
          <cell r="R894">
            <v>-605</v>
          </cell>
          <cell r="U894" t="str">
            <v>PENDIENTE</v>
          </cell>
        </row>
        <row r="895">
          <cell r="A895" t="str">
            <v>20266</v>
          </cell>
          <cell r="B895" t="str">
            <v>BANCOLOMBIA</v>
          </cell>
          <cell r="C895" t="str">
            <v>INVERSIONES RUEDA S.A.S</v>
          </cell>
          <cell r="D895" t="str">
            <v>8140098557</v>
          </cell>
          <cell r="E895">
            <v>46203</v>
          </cell>
          <cell r="F895">
            <v>34</v>
          </cell>
          <cell r="G895">
            <v>4</v>
          </cell>
          <cell r="H895">
            <v>4214225</v>
          </cell>
          <cell r="I895">
            <v>339473.74864538526</v>
          </cell>
          <cell r="J895">
            <v>0</v>
          </cell>
          <cell r="K895">
            <v>0</v>
          </cell>
          <cell r="L895">
            <v>0</v>
          </cell>
          <cell r="M895">
            <v>1.6110839973305525E-2</v>
          </cell>
          <cell r="N895">
            <v>1.6110839973305525E-2</v>
          </cell>
          <cell r="O895">
            <v>0</v>
          </cell>
          <cell r="P895">
            <v>4553698.7486453857</v>
          </cell>
          <cell r="Q895">
            <v>16856914.00999999</v>
          </cell>
          <cell r="R895">
            <v>-636</v>
          </cell>
          <cell r="U895" t="str">
            <v>PENDIENTE</v>
          </cell>
        </row>
        <row r="896">
          <cell r="A896" t="str">
            <v>20267</v>
          </cell>
          <cell r="B896" t="str">
            <v>BANCOLOMBIA</v>
          </cell>
          <cell r="C896" t="str">
            <v>INVERSIONES RUEDA S.A.S</v>
          </cell>
          <cell r="D896" t="str">
            <v>8140098557</v>
          </cell>
          <cell r="E896">
            <v>46234</v>
          </cell>
          <cell r="F896">
            <v>35</v>
          </cell>
          <cell r="G896">
            <v>3</v>
          </cell>
          <cell r="H896">
            <v>4214225</v>
          </cell>
          <cell r="I896">
            <v>271579.04405888176</v>
          </cell>
          <cell r="J896">
            <v>0</v>
          </cell>
          <cell r="K896">
            <v>0</v>
          </cell>
          <cell r="L896">
            <v>0</v>
          </cell>
          <cell r="M896">
            <v>1.6110839973305525E-2</v>
          </cell>
          <cell r="N896">
            <v>1.6110839973305525E-2</v>
          </cell>
          <cell r="O896">
            <v>0</v>
          </cell>
          <cell r="P896">
            <v>4485804.0440588817</v>
          </cell>
          <cell r="Q896">
            <v>12642689.00999999</v>
          </cell>
          <cell r="R896">
            <v>-666</v>
          </cell>
          <cell r="U896" t="str">
            <v>PENDIENTE</v>
          </cell>
        </row>
        <row r="897">
          <cell r="A897" t="str">
            <v>20268</v>
          </cell>
          <cell r="B897" t="str">
            <v>BANCOLOMBIA</v>
          </cell>
          <cell r="C897" t="str">
            <v>INVERSIONES RUEDA S.A.S</v>
          </cell>
          <cell r="D897" t="str">
            <v>8140098557</v>
          </cell>
          <cell r="E897">
            <v>46265</v>
          </cell>
          <cell r="F897">
            <v>36</v>
          </cell>
          <cell r="G897">
            <v>2</v>
          </cell>
          <cell r="H897">
            <v>4214225</v>
          </cell>
          <cell r="I897">
            <v>203684.33947237828</v>
          </cell>
          <cell r="J897">
            <v>0</v>
          </cell>
          <cell r="K897">
            <v>0</v>
          </cell>
          <cell r="L897">
            <v>0</v>
          </cell>
          <cell r="M897">
            <v>1.6110839973305525E-2</v>
          </cell>
          <cell r="N897">
            <v>1.6110839973305525E-2</v>
          </cell>
          <cell r="O897">
            <v>0</v>
          </cell>
          <cell r="P897">
            <v>4417909.3394723786</v>
          </cell>
          <cell r="Q897">
            <v>8428464.0099999905</v>
          </cell>
          <cell r="R897">
            <v>-697</v>
          </cell>
          <cell r="U897" t="str">
            <v>PENDIENTE</v>
          </cell>
        </row>
        <row r="898">
          <cell r="A898" t="str">
            <v>20269</v>
          </cell>
          <cell r="B898" t="str">
            <v>BANCOLOMBIA</v>
          </cell>
          <cell r="C898" t="str">
            <v>INVERSIONES RUEDA S.A.S</v>
          </cell>
          <cell r="D898" t="str">
            <v>8140098557</v>
          </cell>
          <cell r="E898">
            <v>46295</v>
          </cell>
          <cell r="F898">
            <v>37</v>
          </cell>
          <cell r="G898">
            <v>1</v>
          </cell>
          <cell r="H898">
            <v>4214225</v>
          </cell>
          <cell r="I898">
            <v>135789.63488587481</v>
          </cell>
          <cell r="J898">
            <v>0</v>
          </cell>
          <cell r="K898">
            <v>0</v>
          </cell>
          <cell r="L898">
            <v>0</v>
          </cell>
          <cell r="M898">
            <v>1.6110839973305525E-2</v>
          </cell>
          <cell r="N898">
            <v>1.6110839973305525E-2</v>
          </cell>
          <cell r="O898">
            <v>0</v>
          </cell>
          <cell r="P898">
            <v>4350014.6348858746</v>
          </cell>
          <cell r="Q898">
            <v>4214239.0099999905</v>
          </cell>
          <cell r="R898">
            <v>-728</v>
          </cell>
          <cell r="U898" t="str">
            <v>PENDIENTE</v>
          </cell>
        </row>
        <row r="899">
          <cell r="A899" t="str">
            <v>202610</v>
          </cell>
          <cell r="B899" t="str">
            <v>BANCOLOMBIA</v>
          </cell>
          <cell r="C899" t="str">
            <v>INVERSIONES RUEDA S.A.S</v>
          </cell>
          <cell r="D899" t="str">
            <v>8140098557</v>
          </cell>
          <cell r="E899">
            <v>46326</v>
          </cell>
          <cell r="F899">
            <v>38</v>
          </cell>
          <cell r="G899">
            <v>0</v>
          </cell>
          <cell r="H899">
            <v>4214225</v>
          </cell>
          <cell r="I899">
            <v>67894.93029937135</v>
          </cell>
          <cell r="J899">
            <v>0</v>
          </cell>
          <cell r="K899">
            <v>0</v>
          </cell>
          <cell r="L899">
            <v>0</v>
          </cell>
          <cell r="M899">
            <v>1.6110839973305525E-2</v>
          </cell>
          <cell r="N899">
            <v>1.6110839973305525E-2</v>
          </cell>
          <cell r="O899">
            <v>0</v>
          </cell>
          <cell r="P899">
            <v>4282119.9302993715</v>
          </cell>
          <cell r="Q899">
            <v>14.009999990463257</v>
          </cell>
          <cell r="R899">
            <v>-758</v>
          </cell>
          <cell r="U899" t="str">
            <v>PENDIENTE</v>
          </cell>
        </row>
        <row r="900">
          <cell r="A900" t="str">
            <v>20238</v>
          </cell>
          <cell r="B900" t="str">
            <v>BANCOLOMBIA</v>
          </cell>
          <cell r="C900" t="str">
            <v>INVERSIONES RUEDA S.A.S</v>
          </cell>
          <cell r="D900" t="str">
            <v>8140098558</v>
          </cell>
          <cell r="E900">
            <v>45169</v>
          </cell>
          <cell r="F900">
            <v>0</v>
          </cell>
          <cell r="G900">
            <v>48</v>
          </cell>
          <cell r="H900">
            <v>0</v>
          </cell>
          <cell r="I900">
            <v>0</v>
          </cell>
          <cell r="J900">
            <v>0</v>
          </cell>
          <cell r="K900">
            <v>0</v>
          </cell>
          <cell r="L900">
            <v>0</v>
          </cell>
          <cell r="M900">
            <v>0</v>
          </cell>
          <cell r="N900">
            <v>0</v>
          </cell>
          <cell r="O900">
            <v>0</v>
          </cell>
          <cell r="P900">
            <v>0</v>
          </cell>
          <cell r="Q900">
            <v>118896350.55</v>
          </cell>
          <cell r="R900" t="str">
            <v>OK</v>
          </cell>
          <cell r="S900">
            <v>0</v>
          </cell>
          <cell r="T900">
            <v>45169</v>
          </cell>
          <cell r="U900" t="str">
            <v>PAGADO</v>
          </cell>
        </row>
        <row r="901">
          <cell r="A901" t="str">
            <v>20239</v>
          </cell>
          <cell r="B901" t="str">
            <v>BANCOLOMBIA</v>
          </cell>
          <cell r="C901" t="str">
            <v>INVERSIONES RUEDA S.A.S</v>
          </cell>
          <cell r="D901" t="str">
            <v>8140098558</v>
          </cell>
          <cell r="E901">
            <v>45199</v>
          </cell>
          <cell r="F901">
            <v>1</v>
          </cell>
          <cell r="G901">
            <v>47</v>
          </cell>
          <cell r="H901">
            <v>2467002</v>
          </cell>
          <cell r="I901">
            <v>2401182</v>
          </cell>
          <cell r="J901">
            <v>0</v>
          </cell>
          <cell r="K901">
            <v>0</v>
          </cell>
          <cell r="L901">
            <v>0</v>
          </cell>
          <cell r="M901">
            <v>2.0195590435639323E-2</v>
          </cell>
          <cell r="N901">
            <v>2.0195590435639323E-2</v>
          </cell>
          <cell r="O901">
            <v>0</v>
          </cell>
          <cell r="P901">
            <v>4868184</v>
          </cell>
          <cell r="Q901">
            <v>116429348.55</v>
          </cell>
          <cell r="R901" t="str">
            <v>OK</v>
          </cell>
          <cell r="S901">
            <v>4868184</v>
          </cell>
          <cell r="T901">
            <v>45196</v>
          </cell>
          <cell r="U901" t="str">
            <v>PAGADO</v>
          </cell>
        </row>
        <row r="902">
          <cell r="A902" t="str">
            <v>202310</v>
          </cell>
          <cell r="B902" t="str">
            <v>BANCOLOMBIA</v>
          </cell>
          <cell r="C902" t="str">
            <v>INVERSIONES RUEDA S.A.S</v>
          </cell>
          <cell r="D902" t="str">
            <v>8140098558</v>
          </cell>
          <cell r="E902">
            <v>45230</v>
          </cell>
          <cell r="F902">
            <v>2</v>
          </cell>
          <cell r="G902">
            <v>46</v>
          </cell>
          <cell r="H902">
            <v>2467002</v>
          </cell>
          <cell r="I902">
            <v>2351359.438004097</v>
          </cell>
          <cell r="J902">
            <v>0</v>
          </cell>
          <cell r="K902">
            <v>0</v>
          </cell>
          <cell r="L902">
            <v>0</v>
          </cell>
          <cell r="M902">
            <v>2.0195590435639323E-2</v>
          </cell>
          <cell r="N902">
            <v>2.0195590435639323E-2</v>
          </cell>
          <cell r="O902">
            <v>0</v>
          </cell>
          <cell r="P902">
            <v>4818361.438004097</v>
          </cell>
          <cell r="Q902">
            <v>113962346.55</v>
          </cell>
          <cell r="R902" t="str">
            <v>OK</v>
          </cell>
          <cell r="S902">
            <v>5123938</v>
          </cell>
          <cell r="T902">
            <v>45230</v>
          </cell>
          <cell r="U902" t="str">
            <v>PAGADO</v>
          </cell>
        </row>
        <row r="903">
          <cell r="A903" t="str">
            <v>202311</v>
          </cell>
          <cell r="B903" t="str">
            <v>BANCOLOMBIA</v>
          </cell>
          <cell r="C903" t="str">
            <v>INVERSIONES RUEDA S.A.S</v>
          </cell>
          <cell r="D903" t="str">
            <v>8140098558</v>
          </cell>
          <cell r="E903">
            <v>45260</v>
          </cell>
          <cell r="F903">
            <v>3</v>
          </cell>
          <cell r="G903">
            <v>45</v>
          </cell>
          <cell r="H903">
            <v>2467002</v>
          </cell>
          <cell r="I903">
            <v>2296547</v>
          </cell>
          <cell r="J903">
            <v>0</v>
          </cell>
          <cell r="K903">
            <v>0</v>
          </cell>
          <cell r="L903">
            <v>0</v>
          </cell>
          <cell r="M903">
            <v>2.0151805131464275E-2</v>
          </cell>
          <cell r="N903">
            <v>2.0151805131464275E-2</v>
          </cell>
          <cell r="O903">
            <v>0</v>
          </cell>
          <cell r="P903">
            <v>4763549</v>
          </cell>
          <cell r="Q903">
            <v>111495344.55</v>
          </cell>
          <cell r="R903" t="str">
            <v>OK</v>
          </cell>
          <cell r="S903">
            <v>4763549</v>
          </cell>
          <cell r="T903">
            <v>45260</v>
          </cell>
          <cell r="U903" t="str">
            <v>PAGADO</v>
          </cell>
        </row>
        <row r="904">
          <cell r="A904" t="str">
            <v>202312</v>
          </cell>
          <cell r="B904" t="str">
            <v>BANCOLOMBIA</v>
          </cell>
          <cell r="C904" t="str">
            <v>INVERSIONES RUEDA S.A.S</v>
          </cell>
          <cell r="D904" t="str">
            <v>8140098558</v>
          </cell>
          <cell r="E904">
            <v>45291</v>
          </cell>
          <cell r="F904">
            <v>4</v>
          </cell>
          <cell r="G904">
            <v>44</v>
          </cell>
          <cell r="H904">
            <v>2467002</v>
          </cell>
          <cell r="I904">
            <v>2318539</v>
          </cell>
          <cell r="J904">
            <v>0</v>
          </cell>
          <cell r="K904">
            <v>0</v>
          </cell>
          <cell r="L904">
            <v>0</v>
          </cell>
          <cell r="M904">
            <v>2.0794939998236905E-2</v>
          </cell>
          <cell r="N904">
            <v>2.0794939998236905E-2</v>
          </cell>
          <cell r="O904">
            <v>0</v>
          </cell>
          <cell r="P904">
            <v>4785541</v>
          </cell>
          <cell r="Q904">
            <v>109028342.55</v>
          </cell>
          <cell r="R904" t="str">
            <v>OK</v>
          </cell>
          <cell r="S904">
            <v>4795540</v>
          </cell>
          <cell r="T904">
            <v>45296</v>
          </cell>
          <cell r="U904" t="str">
            <v>PAGADO</v>
          </cell>
        </row>
        <row r="905">
          <cell r="A905" t="str">
            <v>20241</v>
          </cell>
          <cell r="B905" t="str">
            <v>BANCOLOMBIA</v>
          </cell>
          <cell r="C905" t="str">
            <v>INVERSIONES RUEDA S.A.S</v>
          </cell>
          <cell r="D905" t="str">
            <v>8140098558</v>
          </cell>
          <cell r="E905">
            <v>45322</v>
          </cell>
          <cell r="F905">
            <v>5</v>
          </cell>
          <cell r="G905">
            <v>43</v>
          </cell>
          <cell r="H905">
            <v>2467002</v>
          </cell>
          <cell r="I905">
            <v>2201891.7520163879</v>
          </cell>
          <cell r="J905">
            <v>0</v>
          </cell>
          <cell r="K905">
            <v>0</v>
          </cell>
          <cell r="L905">
            <v>0</v>
          </cell>
          <cell r="M905">
            <v>2.0195590435639323E-2</v>
          </cell>
          <cell r="N905">
            <v>2.0195590435639323E-2</v>
          </cell>
          <cell r="O905">
            <v>0</v>
          </cell>
          <cell r="P905">
            <v>4668893.7520163879</v>
          </cell>
          <cell r="Q905">
            <v>106561340.55</v>
          </cell>
          <cell r="R905" t="str">
            <v>OK</v>
          </cell>
          <cell r="S905">
            <v>4712642</v>
          </cell>
          <cell r="T905">
            <v>45322</v>
          </cell>
          <cell r="U905" t="str">
            <v>PAGADO</v>
          </cell>
        </row>
        <row r="906">
          <cell r="A906" t="str">
            <v>20242</v>
          </cell>
          <cell r="B906" t="str">
            <v>BANCOLOMBIA</v>
          </cell>
          <cell r="C906" t="str">
            <v>INVERSIONES RUEDA S.A.S</v>
          </cell>
          <cell r="D906" t="str">
            <v>8140098558</v>
          </cell>
          <cell r="E906">
            <v>45351</v>
          </cell>
          <cell r="F906">
            <v>6</v>
          </cell>
          <cell r="G906">
            <v>42</v>
          </cell>
          <cell r="H906">
            <v>2467002</v>
          </cell>
          <cell r="I906">
            <v>2027928</v>
          </cell>
          <cell r="J906">
            <v>0</v>
          </cell>
          <cell r="K906">
            <v>0</v>
          </cell>
          <cell r="L906">
            <v>0</v>
          </cell>
          <cell r="M906">
            <v>1.903061644620048E-2</v>
          </cell>
          <cell r="N906">
            <v>1.903061644620048E-2</v>
          </cell>
          <cell r="O906">
            <v>0</v>
          </cell>
          <cell r="P906">
            <v>4494930</v>
          </cell>
          <cell r="Q906">
            <v>104094338.55</v>
          </cell>
          <cell r="R906" t="str">
            <v>OK</v>
          </cell>
          <cell r="S906">
            <v>4494930</v>
          </cell>
          <cell r="T906">
            <v>45351</v>
          </cell>
          <cell r="U906" t="str">
            <v>PAGADO</v>
          </cell>
        </row>
        <row r="907">
          <cell r="A907" t="str">
            <v>20243</v>
          </cell>
          <cell r="B907" t="str">
            <v>BANCOLOMBIA</v>
          </cell>
          <cell r="C907" t="str">
            <v>INVERSIONES RUEDA S.A.S</v>
          </cell>
          <cell r="D907" t="str">
            <v>8140098558</v>
          </cell>
          <cell r="E907">
            <v>45382</v>
          </cell>
          <cell r="F907">
            <v>7</v>
          </cell>
          <cell r="G907">
            <v>41</v>
          </cell>
          <cell r="H907">
            <v>2467002</v>
          </cell>
          <cell r="I907">
            <v>2102246.6280245814</v>
          </cell>
          <cell r="J907">
            <v>0</v>
          </cell>
          <cell r="K907">
            <v>0</v>
          </cell>
          <cell r="L907">
            <v>0</v>
          </cell>
          <cell r="M907">
            <v>2.0195590435639319E-2</v>
          </cell>
          <cell r="N907">
            <v>2.0195590435639319E-2</v>
          </cell>
          <cell r="O907">
            <v>0</v>
          </cell>
          <cell r="P907">
            <v>4569248.6280245818</v>
          </cell>
          <cell r="Q907">
            <v>101627336.55</v>
          </cell>
          <cell r="R907" t="str">
            <v>OK</v>
          </cell>
          <cell r="S907">
            <v>4587642</v>
          </cell>
          <cell r="T907">
            <v>45383</v>
          </cell>
          <cell r="U907" t="str">
            <v>PAGADO</v>
          </cell>
        </row>
        <row r="908">
          <cell r="A908" t="str">
            <v>20244</v>
          </cell>
          <cell r="B908" t="str">
            <v>BANCOLOMBIA</v>
          </cell>
          <cell r="C908" t="str">
            <v>INVERSIONES RUEDA S.A.S</v>
          </cell>
          <cell r="D908" t="str">
            <v>8140098558</v>
          </cell>
          <cell r="E908">
            <v>45412</v>
          </cell>
          <cell r="F908">
            <v>8</v>
          </cell>
          <cell r="G908">
            <v>40</v>
          </cell>
          <cell r="H908">
            <v>2467002</v>
          </cell>
          <cell r="I908">
            <v>2052424.0660286786</v>
          </cell>
          <cell r="J908">
            <v>0</v>
          </cell>
          <cell r="K908">
            <v>0</v>
          </cell>
          <cell r="L908">
            <v>0</v>
          </cell>
          <cell r="M908">
            <v>2.0195590435639323E-2</v>
          </cell>
          <cell r="N908">
            <v>2.0195590435639323E-2</v>
          </cell>
          <cell r="O908">
            <v>0</v>
          </cell>
          <cell r="P908">
            <v>4519426.0660286788</v>
          </cell>
          <cell r="Q908">
            <v>99160334.549999997</v>
          </cell>
          <cell r="R908" t="str">
            <v>OK</v>
          </cell>
          <cell r="S908">
            <v>4438220</v>
          </cell>
          <cell r="T908">
            <v>45412</v>
          </cell>
          <cell r="U908" t="str">
            <v>PAGADO</v>
          </cell>
        </row>
        <row r="909">
          <cell r="A909" t="str">
            <v>20245</v>
          </cell>
          <cell r="B909" t="str">
            <v>BANCOLOMBIA</v>
          </cell>
          <cell r="C909" t="str">
            <v>INVERSIONES RUEDA S.A.S</v>
          </cell>
          <cell r="D909" t="str">
            <v>8140098558</v>
          </cell>
          <cell r="E909">
            <v>45443</v>
          </cell>
          <cell r="F909">
            <v>9</v>
          </cell>
          <cell r="G909">
            <v>39</v>
          </cell>
          <cell r="H909">
            <v>2467002</v>
          </cell>
          <cell r="I909">
            <v>2002601.5040327755</v>
          </cell>
          <cell r="J909">
            <v>0</v>
          </cell>
          <cell r="K909">
            <v>0</v>
          </cell>
          <cell r="L909">
            <v>81206.06602867879</v>
          </cell>
          <cell r="M909">
            <v>2.0195590435639323E-2</v>
          </cell>
          <cell r="N909">
            <v>2.0195590435639323E-2</v>
          </cell>
          <cell r="O909">
            <v>0</v>
          </cell>
          <cell r="P909">
            <v>4550809.5700614545</v>
          </cell>
          <cell r="Q909">
            <v>96693332.549999997</v>
          </cell>
          <cell r="R909" t="str">
            <v>OK</v>
          </cell>
          <cell r="S909">
            <v>4432418</v>
          </cell>
          <cell r="T909">
            <v>45450</v>
          </cell>
          <cell r="U909" t="str">
            <v>PAGADO</v>
          </cell>
        </row>
        <row r="910">
          <cell r="A910" t="str">
            <v>20246</v>
          </cell>
          <cell r="B910" t="str">
            <v>BANCOLOMBIA</v>
          </cell>
          <cell r="C910" t="str">
            <v>INVERSIONES RUEDA S.A.S</v>
          </cell>
          <cell r="D910" t="str">
            <v>8140098558</v>
          </cell>
          <cell r="E910">
            <v>45473</v>
          </cell>
          <cell r="F910">
            <v>10</v>
          </cell>
          <cell r="G910">
            <v>38</v>
          </cell>
          <cell r="H910">
            <v>2467002</v>
          </cell>
          <cell r="I910">
            <v>1952778.9420368723</v>
          </cell>
          <cell r="J910">
            <v>0</v>
          </cell>
          <cell r="K910">
            <v>0</v>
          </cell>
          <cell r="L910">
            <v>118391.57006145455</v>
          </cell>
          <cell r="M910">
            <v>2.0195590435639323E-2</v>
          </cell>
          <cell r="N910">
            <v>2.0195590435639323E-2</v>
          </cell>
          <cell r="O910">
            <v>0</v>
          </cell>
          <cell r="P910">
            <v>4538172.5120983273</v>
          </cell>
          <cell r="Q910">
            <v>94226330.549999997</v>
          </cell>
          <cell r="R910" t="str">
            <v>OK</v>
          </cell>
          <cell r="S910">
            <v>4332174</v>
          </cell>
          <cell r="T910">
            <v>45488</v>
          </cell>
          <cell r="U910" t="str">
            <v>PAGADO</v>
          </cell>
        </row>
        <row r="911">
          <cell r="A911" t="str">
            <v>20247</v>
          </cell>
          <cell r="B911" t="str">
            <v>BANCOLOMBIA</v>
          </cell>
          <cell r="C911" t="str">
            <v>INVERSIONES RUEDA S.A.S</v>
          </cell>
          <cell r="D911" t="str">
            <v>8140098558</v>
          </cell>
          <cell r="E911">
            <v>45504</v>
          </cell>
          <cell r="F911">
            <v>11</v>
          </cell>
          <cell r="G911">
            <v>37</v>
          </cell>
          <cell r="H911">
            <v>2467002</v>
          </cell>
          <cell r="I911">
            <v>1902956.3800409692</v>
          </cell>
          <cell r="J911">
            <v>0</v>
          </cell>
          <cell r="K911">
            <v>0</v>
          </cell>
          <cell r="L911">
            <v>205998.51209832728</v>
          </cell>
          <cell r="M911">
            <v>2.0195590435639323E-2</v>
          </cell>
          <cell r="N911">
            <v>2.0195590435639323E-2</v>
          </cell>
          <cell r="O911">
            <v>0</v>
          </cell>
          <cell r="P911">
            <v>4575956.892139297</v>
          </cell>
          <cell r="Q911">
            <v>91759328.549999997</v>
          </cell>
          <cell r="R911" t="str">
            <v>OK</v>
          </cell>
          <cell r="S911">
            <v>4320904</v>
          </cell>
          <cell r="T911">
            <v>45524</v>
          </cell>
          <cell r="U911" t="str">
            <v>PAGADO</v>
          </cell>
        </row>
        <row r="912">
          <cell r="A912" t="str">
            <v>20248</v>
          </cell>
          <cell r="B912" t="str">
            <v>BANCOLOMBIA</v>
          </cell>
          <cell r="C912" t="str">
            <v>INVERSIONES RUEDA S.A.S</v>
          </cell>
          <cell r="D912" t="str">
            <v>8140098558</v>
          </cell>
          <cell r="E912">
            <v>45535</v>
          </cell>
          <cell r="F912">
            <v>12</v>
          </cell>
          <cell r="G912">
            <v>36</v>
          </cell>
          <cell r="H912">
            <v>2467002</v>
          </cell>
          <cell r="I912">
            <v>1853133.8180450662</v>
          </cell>
          <cell r="J912">
            <v>0</v>
          </cell>
          <cell r="K912">
            <v>0</v>
          </cell>
          <cell r="L912">
            <v>255052.89213929698</v>
          </cell>
          <cell r="M912">
            <v>2.0195590435639323E-2</v>
          </cell>
          <cell r="N912">
            <v>2.0195590435639323E-2</v>
          </cell>
          <cell r="O912">
            <v>0</v>
          </cell>
          <cell r="P912">
            <v>4575188.7101843636</v>
          </cell>
          <cell r="Q912">
            <v>89292326.549999997</v>
          </cell>
          <cell r="R912">
            <v>2</v>
          </cell>
          <cell r="U912" t="str">
            <v>PENDIENTE</v>
          </cell>
        </row>
        <row r="913">
          <cell r="A913" t="str">
            <v>20249</v>
          </cell>
          <cell r="B913" t="str">
            <v>BANCOLOMBIA</v>
          </cell>
          <cell r="C913" t="str">
            <v>INVERSIONES RUEDA S.A.S</v>
          </cell>
          <cell r="D913" t="str">
            <v>8140098558</v>
          </cell>
          <cell r="E913">
            <v>45565</v>
          </cell>
          <cell r="F913">
            <v>13</v>
          </cell>
          <cell r="G913">
            <v>35</v>
          </cell>
          <cell r="H913">
            <v>2467002</v>
          </cell>
          <cell r="I913">
            <v>1803311.2560491632</v>
          </cell>
          <cell r="J913">
            <v>0</v>
          </cell>
          <cell r="K913">
            <v>0</v>
          </cell>
          <cell r="L913">
            <v>0</v>
          </cell>
          <cell r="M913">
            <v>2.0195590435639323E-2</v>
          </cell>
          <cell r="N913">
            <v>2.0195590435639323E-2</v>
          </cell>
          <cell r="O913">
            <v>0</v>
          </cell>
          <cell r="P913">
            <v>4270313.2560491636</v>
          </cell>
          <cell r="Q913">
            <v>86825324.549999997</v>
          </cell>
          <cell r="R913">
            <v>2</v>
          </cell>
          <cell r="U913" t="str">
            <v>PENDIENTE</v>
          </cell>
        </row>
        <row r="914">
          <cell r="A914" t="str">
            <v>202410</v>
          </cell>
          <cell r="B914" t="str">
            <v>BANCOLOMBIA</v>
          </cell>
          <cell r="C914" t="str">
            <v>INVERSIONES RUEDA S.A.S</v>
          </cell>
          <cell r="D914" t="str">
            <v>8140098558</v>
          </cell>
          <cell r="E914">
            <v>45596</v>
          </cell>
          <cell r="F914">
            <v>14</v>
          </cell>
          <cell r="G914">
            <v>34</v>
          </cell>
          <cell r="H914">
            <v>2467002</v>
          </cell>
          <cell r="I914">
            <v>1753488.6940532599</v>
          </cell>
          <cell r="J914">
            <v>0</v>
          </cell>
          <cell r="K914">
            <v>0</v>
          </cell>
          <cell r="L914">
            <v>0</v>
          </cell>
          <cell r="M914">
            <v>2.0195590435639323E-2</v>
          </cell>
          <cell r="N914">
            <v>2.0195590435639323E-2</v>
          </cell>
          <cell r="O914">
            <v>0</v>
          </cell>
          <cell r="P914">
            <v>4220490.6940532597</v>
          </cell>
          <cell r="Q914">
            <v>84358322.549999997</v>
          </cell>
          <cell r="R914">
            <v>-28</v>
          </cell>
          <cell r="U914" t="str">
            <v>PENDIENTE</v>
          </cell>
        </row>
        <row r="915">
          <cell r="A915" t="str">
            <v>202411</v>
          </cell>
          <cell r="B915" t="str">
            <v>BANCOLOMBIA</v>
          </cell>
          <cell r="C915" t="str">
            <v>INVERSIONES RUEDA S.A.S</v>
          </cell>
          <cell r="D915" t="str">
            <v>8140098558</v>
          </cell>
          <cell r="E915">
            <v>45626</v>
          </cell>
          <cell r="F915">
            <v>15</v>
          </cell>
          <cell r="G915">
            <v>33</v>
          </cell>
          <cell r="H915">
            <v>2467002</v>
          </cell>
          <cell r="I915">
            <v>1703666.1320573569</v>
          </cell>
          <cell r="J915">
            <v>0</v>
          </cell>
          <cell r="K915">
            <v>0</v>
          </cell>
          <cell r="L915">
            <v>0</v>
          </cell>
          <cell r="M915">
            <v>2.0195590435639323E-2</v>
          </cell>
          <cell r="N915">
            <v>2.0195590435639323E-2</v>
          </cell>
          <cell r="O915">
            <v>0</v>
          </cell>
          <cell r="P915">
            <v>4170668.1320573566</v>
          </cell>
          <cell r="Q915">
            <v>81891320.549999997</v>
          </cell>
          <cell r="R915">
            <v>-59</v>
          </cell>
          <cell r="U915" t="str">
            <v>PENDIENTE</v>
          </cell>
        </row>
        <row r="916">
          <cell r="A916" t="str">
            <v>202412</v>
          </cell>
          <cell r="B916" t="str">
            <v>BANCOLOMBIA</v>
          </cell>
          <cell r="C916" t="str">
            <v>INVERSIONES RUEDA S.A.S</v>
          </cell>
          <cell r="D916" t="str">
            <v>8140098558</v>
          </cell>
          <cell r="E916">
            <v>45657</v>
          </cell>
          <cell r="F916">
            <v>16</v>
          </cell>
          <cell r="G916">
            <v>32</v>
          </cell>
          <cell r="H916">
            <v>2467002</v>
          </cell>
          <cell r="I916">
            <v>1653843.5700614539</v>
          </cell>
          <cell r="J916">
            <v>0</v>
          </cell>
          <cell r="K916">
            <v>0</v>
          </cell>
          <cell r="L916">
            <v>0</v>
          </cell>
          <cell r="M916">
            <v>2.0195590435639323E-2</v>
          </cell>
          <cell r="N916">
            <v>2.0195590435639323E-2</v>
          </cell>
          <cell r="O916">
            <v>0</v>
          </cell>
          <cell r="P916">
            <v>4120845.5700614536</v>
          </cell>
          <cell r="Q916">
            <v>79424318.549999997</v>
          </cell>
          <cell r="R916">
            <v>-89</v>
          </cell>
          <cell r="U916" t="str">
            <v>PENDIENTE</v>
          </cell>
        </row>
        <row r="917">
          <cell r="A917" t="str">
            <v>20251</v>
          </cell>
          <cell r="B917" t="str">
            <v>BANCOLOMBIA</v>
          </cell>
          <cell r="C917" t="str">
            <v>INVERSIONES RUEDA S.A.S</v>
          </cell>
          <cell r="D917" t="str">
            <v>8140098558</v>
          </cell>
          <cell r="E917">
            <v>45688</v>
          </cell>
          <cell r="F917">
            <v>17</v>
          </cell>
          <cell r="G917">
            <v>31</v>
          </cell>
          <cell r="H917">
            <v>2467002</v>
          </cell>
          <cell r="I917">
            <v>1604021.0080655508</v>
          </cell>
          <cell r="J917">
            <v>0</v>
          </cell>
          <cell r="K917">
            <v>0</v>
          </cell>
          <cell r="L917">
            <v>0</v>
          </cell>
          <cell r="M917">
            <v>2.0195590435639323E-2</v>
          </cell>
          <cell r="N917">
            <v>2.0195590435639323E-2</v>
          </cell>
          <cell r="O917">
            <v>0</v>
          </cell>
          <cell r="P917">
            <v>4071023.0080655506</v>
          </cell>
          <cell r="Q917">
            <v>76957316.549999997</v>
          </cell>
          <cell r="R917">
            <v>-120</v>
          </cell>
          <cell r="U917" t="str">
            <v>PENDIENTE</v>
          </cell>
        </row>
        <row r="918">
          <cell r="A918" t="str">
            <v>20252</v>
          </cell>
          <cell r="B918" t="str">
            <v>BANCOLOMBIA</v>
          </cell>
          <cell r="C918" t="str">
            <v>INVERSIONES RUEDA S.A.S</v>
          </cell>
          <cell r="D918" t="str">
            <v>8140098558</v>
          </cell>
          <cell r="E918">
            <v>45716</v>
          </cell>
          <cell r="F918">
            <v>18</v>
          </cell>
          <cell r="G918">
            <v>30</v>
          </cell>
          <cell r="H918">
            <v>2467002</v>
          </cell>
          <cell r="I918">
            <v>1554198.4460696478</v>
          </cell>
          <cell r="J918">
            <v>0</v>
          </cell>
          <cell r="K918">
            <v>0</v>
          </cell>
          <cell r="L918">
            <v>0</v>
          </cell>
          <cell r="M918">
            <v>2.0195590435639323E-2</v>
          </cell>
          <cell r="N918">
            <v>2.0195590435639323E-2</v>
          </cell>
          <cell r="O918">
            <v>0</v>
          </cell>
          <cell r="P918">
            <v>4021200.4460696476</v>
          </cell>
          <cell r="Q918">
            <v>74490314.549999997</v>
          </cell>
          <cell r="R918">
            <v>-151</v>
          </cell>
          <cell r="U918" t="str">
            <v>PENDIENTE</v>
          </cell>
        </row>
        <row r="919">
          <cell r="A919" t="str">
            <v>20253</v>
          </cell>
          <cell r="B919" t="str">
            <v>BANCOLOMBIA</v>
          </cell>
          <cell r="C919" t="str">
            <v>INVERSIONES RUEDA S.A.S</v>
          </cell>
          <cell r="D919" t="str">
            <v>8140098558</v>
          </cell>
          <cell r="E919">
            <v>45747</v>
          </cell>
          <cell r="F919">
            <v>19</v>
          </cell>
          <cell r="G919">
            <v>29</v>
          </cell>
          <cell r="H919">
            <v>2467002</v>
          </cell>
          <cell r="I919">
            <v>1504375.8840737445</v>
          </cell>
          <cell r="J919">
            <v>0</v>
          </cell>
          <cell r="K919">
            <v>0</v>
          </cell>
          <cell r="L919">
            <v>0</v>
          </cell>
          <cell r="M919">
            <v>2.0195590435639323E-2</v>
          </cell>
          <cell r="N919">
            <v>2.0195590435639323E-2</v>
          </cell>
          <cell r="O919">
            <v>0</v>
          </cell>
          <cell r="P919">
            <v>3971377.8840737445</v>
          </cell>
          <cell r="Q919">
            <v>72023312.549999997</v>
          </cell>
          <cell r="R919">
            <v>-179</v>
          </cell>
          <cell r="U919" t="str">
            <v>PENDIENTE</v>
          </cell>
        </row>
        <row r="920">
          <cell r="A920" t="str">
            <v>20254</v>
          </cell>
          <cell r="B920" t="str">
            <v>BANCOLOMBIA</v>
          </cell>
          <cell r="C920" t="str">
            <v>INVERSIONES RUEDA S.A.S</v>
          </cell>
          <cell r="D920" t="str">
            <v>8140098558</v>
          </cell>
          <cell r="E920">
            <v>45777</v>
          </cell>
          <cell r="F920">
            <v>20</v>
          </cell>
          <cell r="G920">
            <v>28</v>
          </cell>
          <cell r="H920">
            <v>2467002</v>
          </cell>
          <cell r="I920">
            <v>1454553.3220778415</v>
          </cell>
          <cell r="J920">
            <v>0</v>
          </cell>
          <cell r="K920">
            <v>0</v>
          </cell>
          <cell r="L920">
            <v>0</v>
          </cell>
          <cell r="M920">
            <v>2.0195590435639323E-2</v>
          </cell>
          <cell r="N920">
            <v>2.0195590435639323E-2</v>
          </cell>
          <cell r="O920">
            <v>0</v>
          </cell>
          <cell r="P920">
            <v>3921555.3220778415</v>
          </cell>
          <cell r="Q920">
            <v>69556310.549999997</v>
          </cell>
          <cell r="R920">
            <v>-210</v>
          </cell>
          <cell r="U920" t="str">
            <v>PENDIENTE</v>
          </cell>
        </row>
        <row r="921">
          <cell r="A921" t="str">
            <v>20255</v>
          </cell>
          <cell r="B921" t="str">
            <v>BANCOLOMBIA</v>
          </cell>
          <cell r="C921" t="str">
            <v>INVERSIONES RUEDA S.A.S</v>
          </cell>
          <cell r="D921" t="str">
            <v>8140098558</v>
          </cell>
          <cell r="E921">
            <v>45808</v>
          </cell>
          <cell r="F921">
            <v>21</v>
          </cell>
          <cell r="G921">
            <v>27</v>
          </cell>
          <cell r="H921">
            <v>2467002</v>
          </cell>
          <cell r="I921">
            <v>1404730.7600819385</v>
          </cell>
          <cell r="J921">
            <v>0</v>
          </cell>
          <cell r="K921">
            <v>0</v>
          </cell>
          <cell r="L921">
            <v>0</v>
          </cell>
          <cell r="M921">
            <v>2.0195590435639323E-2</v>
          </cell>
          <cell r="N921">
            <v>2.0195590435639323E-2</v>
          </cell>
          <cell r="O921">
            <v>0</v>
          </cell>
          <cell r="P921">
            <v>3871732.7600819385</v>
          </cell>
          <cell r="Q921">
            <v>67089308.549999997</v>
          </cell>
          <cell r="R921">
            <v>-240</v>
          </cell>
          <cell r="U921" t="str">
            <v>PENDIENTE</v>
          </cell>
        </row>
        <row r="922">
          <cell r="A922" t="str">
            <v>20256</v>
          </cell>
          <cell r="B922" t="str">
            <v>BANCOLOMBIA</v>
          </cell>
          <cell r="C922" t="str">
            <v>INVERSIONES RUEDA S.A.S</v>
          </cell>
          <cell r="D922" t="str">
            <v>8140098558</v>
          </cell>
          <cell r="E922">
            <v>45838</v>
          </cell>
          <cell r="F922">
            <v>22</v>
          </cell>
          <cell r="G922">
            <v>26</v>
          </cell>
          <cell r="H922">
            <v>2467002</v>
          </cell>
          <cell r="I922">
            <v>1354908.1980860354</v>
          </cell>
          <cell r="J922">
            <v>0</v>
          </cell>
          <cell r="K922">
            <v>0</v>
          </cell>
          <cell r="L922">
            <v>0</v>
          </cell>
          <cell r="M922">
            <v>2.0195590435639323E-2</v>
          </cell>
          <cell r="N922">
            <v>2.0195590435639323E-2</v>
          </cell>
          <cell r="O922">
            <v>0</v>
          </cell>
          <cell r="P922">
            <v>3821910.1980860354</v>
          </cell>
          <cell r="Q922">
            <v>64622306.549999997</v>
          </cell>
          <cell r="R922">
            <v>-271</v>
          </cell>
          <cell r="U922" t="str">
            <v>PENDIENTE</v>
          </cell>
        </row>
        <row r="923">
          <cell r="A923" t="str">
            <v>20257</v>
          </cell>
          <cell r="B923" t="str">
            <v>BANCOLOMBIA</v>
          </cell>
          <cell r="C923" t="str">
            <v>INVERSIONES RUEDA S.A.S</v>
          </cell>
          <cell r="D923" t="str">
            <v>8140098558</v>
          </cell>
          <cell r="E923">
            <v>45869</v>
          </cell>
          <cell r="F923">
            <v>23</v>
          </cell>
          <cell r="G923">
            <v>25</v>
          </cell>
          <cell r="H923">
            <v>2467002</v>
          </cell>
          <cell r="I923">
            <v>1305085.6360901322</v>
          </cell>
          <cell r="J923">
            <v>0</v>
          </cell>
          <cell r="K923">
            <v>0</v>
          </cell>
          <cell r="L923">
            <v>0</v>
          </cell>
          <cell r="M923">
            <v>2.0195590435639319E-2</v>
          </cell>
          <cell r="N923">
            <v>2.0195590435639319E-2</v>
          </cell>
          <cell r="O923">
            <v>0</v>
          </cell>
          <cell r="P923">
            <v>3772087.6360901324</v>
          </cell>
          <cell r="Q923">
            <v>62155304.549999997</v>
          </cell>
          <cell r="R923">
            <v>-301</v>
          </cell>
          <cell r="U923" t="str">
            <v>PENDIENTE</v>
          </cell>
        </row>
        <row r="924">
          <cell r="A924" t="str">
            <v>20258</v>
          </cell>
          <cell r="B924" t="str">
            <v>BANCOLOMBIA</v>
          </cell>
          <cell r="C924" t="str">
            <v>INVERSIONES RUEDA S.A.S</v>
          </cell>
          <cell r="D924" t="str">
            <v>8140098558</v>
          </cell>
          <cell r="E924">
            <v>45900</v>
          </cell>
          <cell r="F924">
            <v>24</v>
          </cell>
          <cell r="G924">
            <v>24</v>
          </cell>
          <cell r="H924">
            <v>2467002</v>
          </cell>
          <cell r="I924">
            <v>1255263.0740942291</v>
          </cell>
          <cell r="J924">
            <v>0</v>
          </cell>
          <cell r="K924">
            <v>0</v>
          </cell>
          <cell r="L924">
            <v>0</v>
          </cell>
          <cell r="M924">
            <v>2.0195590435639323E-2</v>
          </cell>
          <cell r="N924">
            <v>2.0195590435639323E-2</v>
          </cell>
          <cell r="O924">
            <v>0</v>
          </cell>
          <cell r="P924">
            <v>3722265.0740942294</v>
          </cell>
          <cell r="Q924">
            <v>59688302.549999997</v>
          </cell>
          <cell r="R924">
            <v>-332</v>
          </cell>
          <cell r="U924" t="str">
            <v>PENDIENTE</v>
          </cell>
        </row>
        <row r="925">
          <cell r="A925" t="str">
            <v>20259</v>
          </cell>
          <cell r="B925" t="str">
            <v>BANCOLOMBIA</v>
          </cell>
          <cell r="C925" t="str">
            <v>INVERSIONES RUEDA S.A.S</v>
          </cell>
          <cell r="D925" t="str">
            <v>8140098558</v>
          </cell>
          <cell r="E925">
            <v>45930</v>
          </cell>
          <cell r="F925">
            <v>25</v>
          </cell>
          <cell r="G925">
            <v>23</v>
          </cell>
          <cell r="H925">
            <v>2467002</v>
          </cell>
          <cell r="I925">
            <v>1205440.5120983261</v>
          </cell>
          <cell r="J925">
            <v>0</v>
          </cell>
          <cell r="K925">
            <v>0</v>
          </cell>
          <cell r="L925">
            <v>0</v>
          </cell>
          <cell r="M925">
            <v>2.0195590435639323E-2</v>
          </cell>
          <cell r="N925">
            <v>2.0195590435639323E-2</v>
          </cell>
          <cell r="O925">
            <v>0</v>
          </cell>
          <cell r="P925">
            <v>3672442.5120983263</v>
          </cell>
          <cell r="Q925">
            <v>57221300.549999997</v>
          </cell>
          <cell r="R925">
            <v>-363</v>
          </cell>
          <cell r="U925" t="str">
            <v>PENDIENTE</v>
          </cell>
        </row>
        <row r="926">
          <cell r="A926" t="str">
            <v>202510</v>
          </cell>
          <cell r="B926" t="str">
            <v>BANCOLOMBIA</v>
          </cell>
          <cell r="C926" t="str">
            <v>INVERSIONES RUEDA S.A.S</v>
          </cell>
          <cell r="D926" t="str">
            <v>8140098558</v>
          </cell>
          <cell r="E926">
            <v>45961</v>
          </cell>
          <cell r="F926">
            <v>26</v>
          </cell>
          <cell r="G926">
            <v>22</v>
          </cell>
          <cell r="H926">
            <v>2467002</v>
          </cell>
          <cell r="I926">
            <v>1155617.9501024231</v>
          </cell>
          <cell r="J926">
            <v>0</v>
          </cell>
          <cell r="K926">
            <v>0</v>
          </cell>
          <cell r="L926">
            <v>0</v>
          </cell>
          <cell r="M926">
            <v>2.0195590435639323E-2</v>
          </cell>
          <cell r="N926">
            <v>2.0195590435639323E-2</v>
          </cell>
          <cell r="O926">
            <v>0</v>
          </cell>
          <cell r="P926">
            <v>3622619.9501024233</v>
          </cell>
          <cell r="Q926">
            <v>54754298.549999997</v>
          </cell>
          <cell r="R926">
            <v>-393</v>
          </cell>
          <cell r="U926" t="str">
            <v>PENDIENTE</v>
          </cell>
        </row>
        <row r="927">
          <cell r="A927" t="str">
            <v>202511</v>
          </cell>
          <cell r="B927" t="str">
            <v>BANCOLOMBIA</v>
          </cell>
          <cell r="C927" t="str">
            <v>INVERSIONES RUEDA S.A.S</v>
          </cell>
          <cell r="D927" t="str">
            <v>8140098558</v>
          </cell>
          <cell r="E927">
            <v>45991</v>
          </cell>
          <cell r="F927">
            <v>27</v>
          </cell>
          <cell r="G927">
            <v>21</v>
          </cell>
          <cell r="H927">
            <v>2467002</v>
          </cell>
          <cell r="I927">
            <v>1105795.3881065201</v>
          </cell>
          <cell r="J927">
            <v>0</v>
          </cell>
          <cell r="K927">
            <v>0</v>
          </cell>
          <cell r="L927">
            <v>0</v>
          </cell>
          <cell r="M927">
            <v>2.0195590435639323E-2</v>
          </cell>
          <cell r="N927">
            <v>2.0195590435639323E-2</v>
          </cell>
          <cell r="O927">
            <v>0</v>
          </cell>
          <cell r="P927">
            <v>3572797.3881065203</v>
          </cell>
          <cell r="Q927">
            <v>52287296.549999997</v>
          </cell>
          <cell r="R927">
            <v>-424</v>
          </cell>
          <cell r="U927" t="str">
            <v>PENDIENTE</v>
          </cell>
        </row>
        <row r="928">
          <cell r="A928" t="str">
            <v>202512</v>
          </cell>
          <cell r="B928" t="str">
            <v>BANCOLOMBIA</v>
          </cell>
          <cell r="C928" t="str">
            <v>INVERSIONES RUEDA S.A.S</v>
          </cell>
          <cell r="D928" t="str">
            <v>8140098558</v>
          </cell>
          <cell r="E928">
            <v>46022</v>
          </cell>
          <cell r="F928">
            <v>28</v>
          </cell>
          <cell r="G928">
            <v>20</v>
          </cell>
          <cell r="H928">
            <v>2467002</v>
          </cell>
          <cell r="I928">
            <v>1055972.8261106168</v>
          </cell>
          <cell r="J928">
            <v>0</v>
          </cell>
          <cell r="K928">
            <v>0</v>
          </cell>
          <cell r="L928">
            <v>0</v>
          </cell>
          <cell r="M928">
            <v>2.0195590435639319E-2</v>
          </cell>
          <cell r="N928">
            <v>2.0195590435639319E-2</v>
          </cell>
          <cell r="O928">
            <v>0</v>
          </cell>
          <cell r="P928">
            <v>3522974.8261106168</v>
          </cell>
          <cell r="Q928">
            <v>49820294.549999997</v>
          </cell>
          <cell r="R928">
            <v>-454</v>
          </cell>
          <cell r="U928" t="str">
            <v>PENDIENTE</v>
          </cell>
        </row>
        <row r="929">
          <cell r="A929" t="str">
            <v>20261</v>
          </cell>
          <cell r="B929" t="str">
            <v>BANCOLOMBIA</v>
          </cell>
          <cell r="C929" t="str">
            <v>INVERSIONES RUEDA S.A.S</v>
          </cell>
          <cell r="D929" t="str">
            <v>8140098558</v>
          </cell>
          <cell r="E929">
            <v>46053</v>
          </cell>
          <cell r="F929">
            <v>29</v>
          </cell>
          <cell r="G929">
            <v>19</v>
          </cell>
          <cell r="H929">
            <v>2467002</v>
          </cell>
          <cell r="I929">
            <v>1006150.2641147138</v>
          </cell>
          <cell r="J929">
            <v>0</v>
          </cell>
          <cell r="K929">
            <v>0</v>
          </cell>
          <cell r="L929">
            <v>0</v>
          </cell>
          <cell r="M929">
            <v>2.0195590435639323E-2</v>
          </cell>
          <cell r="N929">
            <v>2.0195590435639323E-2</v>
          </cell>
          <cell r="O929">
            <v>0</v>
          </cell>
          <cell r="P929">
            <v>3473152.2641147138</v>
          </cell>
          <cell r="Q929">
            <v>47353292.549999997</v>
          </cell>
          <cell r="R929">
            <v>-485</v>
          </cell>
          <cell r="U929" t="str">
            <v>PENDIENTE</v>
          </cell>
        </row>
        <row r="930">
          <cell r="A930" t="str">
            <v>20262</v>
          </cell>
          <cell r="B930" t="str">
            <v>BANCOLOMBIA</v>
          </cell>
          <cell r="C930" t="str">
            <v>INVERSIONES RUEDA S.A.S</v>
          </cell>
          <cell r="D930" t="str">
            <v>8140098558</v>
          </cell>
          <cell r="E930">
            <v>46081</v>
          </cell>
          <cell r="F930">
            <v>30</v>
          </cell>
          <cell r="G930">
            <v>18</v>
          </cell>
          <cell r="H930">
            <v>2467002</v>
          </cell>
          <cell r="I930">
            <v>956327.70211881073</v>
          </cell>
          <cell r="J930">
            <v>0</v>
          </cell>
          <cell r="K930">
            <v>0</v>
          </cell>
          <cell r="L930">
            <v>0</v>
          </cell>
          <cell r="M930">
            <v>2.0195590435639323E-2</v>
          </cell>
          <cell r="N930">
            <v>2.0195590435639323E-2</v>
          </cell>
          <cell r="O930">
            <v>0</v>
          </cell>
          <cell r="P930">
            <v>3423329.7021188107</v>
          </cell>
          <cell r="Q930">
            <v>44886290.549999997</v>
          </cell>
          <cell r="R930">
            <v>-516</v>
          </cell>
          <cell r="U930" t="str">
            <v>PENDIENTE</v>
          </cell>
        </row>
        <row r="931">
          <cell r="A931" t="str">
            <v>20263</v>
          </cell>
          <cell r="B931" t="str">
            <v>BANCOLOMBIA</v>
          </cell>
          <cell r="C931" t="str">
            <v>INVERSIONES RUEDA S.A.S</v>
          </cell>
          <cell r="D931" t="str">
            <v>8140098558</v>
          </cell>
          <cell r="E931">
            <v>46112</v>
          </cell>
          <cell r="F931">
            <v>31</v>
          </cell>
          <cell r="G931">
            <v>17</v>
          </cell>
          <cell r="H931">
            <v>2467002</v>
          </cell>
          <cell r="I931">
            <v>906505.1401229077</v>
          </cell>
          <cell r="J931">
            <v>0</v>
          </cell>
          <cell r="K931">
            <v>0</v>
          </cell>
          <cell r="L931">
            <v>0</v>
          </cell>
          <cell r="M931">
            <v>2.0195590435639323E-2</v>
          </cell>
          <cell r="N931">
            <v>2.0195590435639323E-2</v>
          </cell>
          <cell r="O931">
            <v>0</v>
          </cell>
          <cell r="P931">
            <v>3373507.1401229077</v>
          </cell>
          <cell r="Q931">
            <v>42419288.549999997</v>
          </cell>
          <cell r="R931">
            <v>-544</v>
          </cell>
          <cell r="U931" t="str">
            <v>PENDIENTE</v>
          </cell>
        </row>
        <row r="932">
          <cell r="A932" t="str">
            <v>20264</v>
          </cell>
          <cell r="B932" t="str">
            <v>BANCOLOMBIA</v>
          </cell>
          <cell r="C932" t="str">
            <v>INVERSIONES RUEDA S.A.S</v>
          </cell>
          <cell r="D932" t="str">
            <v>8140098558</v>
          </cell>
          <cell r="E932">
            <v>46142</v>
          </cell>
          <cell r="F932">
            <v>32</v>
          </cell>
          <cell r="G932">
            <v>16</v>
          </cell>
          <cell r="H932">
            <v>2467002</v>
          </cell>
          <cell r="I932">
            <v>856682.57812700456</v>
          </cell>
          <cell r="J932">
            <v>0</v>
          </cell>
          <cell r="K932">
            <v>0</v>
          </cell>
          <cell r="L932">
            <v>0</v>
          </cell>
          <cell r="M932">
            <v>2.0195590435639323E-2</v>
          </cell>
          <cell r="N932">
            <v>2.0195590435639323E-2</v>
          </cell>
          <cell r="O932">
            <v>0</v>
          </cell>
          <cell r="P932">
            <v>3323684.5781270047</v>
          </cell>
          <cell r="Q932">
            <v>39952286.549999997</v>
          </cell>
          <cell r="R932">
            <v>-575</v>
          </cell>
          <cell r="U932" t="str">
            <v>PENDIENTE</v>
          </cell>
        </row>
        <row r="933">
          <cell r="A933" t="str">
            <v>20265</v>
          </cell>
          <cell r="B933" t="str">
            <v>BANCOLOMBIA</v>
          </cell>
          <cell r="C933" t="str">
            <v>INVERSIONES RUEDA S.A.S</v>
          </cell>
          <cell r="D933" t="str">
            <v>8140098558</v>
          </cell>
          <cell r="E933">
            <v>46173</v>
          </cell>
          <cell r="F933">
            <v>33</v>
          </cell>
          <cell r="G933">
            <v>15</v>
          </cell>
          <cell r="H933">
            <v>2467002</v>
          </cell>
          <cell r="I933">
            <v>806860.01613110153</v>
          </cell>
          <cell r="J933">
            <v>0</v>
          </cell>
          <cell r="K933">
            <v>0</v>
          </cell>
          <cell r="L933">
            <v>0</v>
          </cell>
          <cell r="M933">
            <v>2.0195590435639323E-2</v>
          </cell>
          <cell r="N933">
            <v>2.0195590435639323E-2</v>
          </cell>
          <cell r="O933">
            <v>0</v>
          </cell>
          <cell r="P933">
            <v>3273862.0161311016</v>
          </cell>
          <cell r="Q933">
            <v>37485284.549999997</v>
          </cell>
          <cell r="R933">
            <v>-605</v>
          </cell>
          <cell r="U933" t="str">
            <v>PENDIENTE</v>
          </cell>
        </row>
        <row r="934">
          <cell r="A934" t="str">
            <v>20266</v>
          </cell>
          <cell r="B934" t="str">
            <v>BANCOLOMBIA</v>
          </cell>
          <cell r="C934" t="str">
            <v>INVERSIONES RUEDA S.A.S</v>
          </cell>
          <cell r="D934" t="str">
            <v>8140098558</v>
          </cell>
          <cell r="E934">
            <v>46203</v>
          </cell>
          <cell r="F934">
            <v>34</v>
          </cell>
          <cell r="G934">
            <v>14</v>
          </cell>
          <cell r="H934">
            <v>2467002</v>
          </cell>
          <cell r="I934">
            <v>757037.45413519838</v>
          </cell>
          <cell r="J934">
            <v>0</v>
          </cell>
          <cell r="K934">
            <v>0</v>
          </cell>
          <cell r="L934">
            <v>0</v>
          </cell>
          <cell r="M934">
            <v>2.0195590435639323E-2</v>
          </cell>
          <cell r="N934">
            <v>2.0195590435639323E-2</v>
          </cell>
          <cell r="O934">
            <v>0</v>
          </cell>
          <cell r="P934">
            <v>3224039.4541351981</v>
          </cell>
          <cell r="Q934">
            <v>35018282.549999997</v>
          </cell>
          <cell r="R934">
            <v>-636</v>
          </cell>
          <cell r="U934" t="str">
            <v>PENDIENTE</v>
          </cell>
        </row>
        <row r="935">
          <cell r="A935" t="str">
            <v>20267</v>
          </cell>
          <cell r="B935" t="str">
            <v>BANCOLOMBIA</v>
          </cell>
          <cell r="C935" t="str">
            <v>INVERSIONES RUEDA S.A.S</v>
          </cell>
          <cell r="D935" t="str">
            <v>8140098558</v>
          </cell>
          <cell r="E935">
            <v>46234</v>
          </cell>
          <cell r="F935">
            <v>35</v>
          </cell>
          <cell r="G935">
            <v>13</v>
          </cell>
          <cell r="H935">
            <v>2467002</v>
          </cell>
          <cell r="I935">
            <v>707214.89213929535</v>
          </cell>
          <cell r="J935">
            <v>0</v>
          </cell>
          <cell r="K935">
            <v>0</v>
          </cell>
          <cell r="L935">
            <v>0</v>
          </cell>
          <cell r="M935">
            <v>2.0195590435639323E-2</v>
          </cell>
          <cell r="N935">
            <v>2.0195590435639323E-2</v>
          </cell>
          <cell r="O935">
            <v>0</v>
          </cell>
          <cell r="P935">
            <v>3174216.8921392951</v>
          </cell>
          <cell r="Q935">
            <v>32551280.549999997</v>
          </cell>
          <cell r="R935">
            <v>-666</v>
          </cell>
          <cell r="U935" t="str">
            <v>PENDIENTE</v>
          </cell>
        </row>
        <row r="936">
          <cell r="A936" t="str">
            <v>20268</v>
          </cell>
          <cell r="B936" t="str">
            <v>BANCOLOMBIA</v>
          </cell>
          <cell r="C936" t="str">
            <v>INVERSIONES RUEDA S.A.S</v>
          </cell>
          <cell r="D936" t="str">
            <v>8140098558</v>
          </cell>
          <cell r="E936">
            <v>46265</v>
          </cell>
          <cell r="F936">
            <v>36</v>
          </cell>
          <cell r="G936">
            <v>12</v>
          </cell>
          <cell r="H936">
            <v>2467002</v>
          </cell>
          <cell r="I936">
            <v>657392.3301433922</v>
          </cell>
          <cell r="J936">
            <v>0</v>
          </cell>
          <cell r="K936">
            <v>0</v>
          </cell>
          <cell r="L936">
            <v>0</v>
          </cell>
          <cell r="M936">
            <v>2.0195590435639323E-2</v>
          </cell>
          <cell r="N936">
            <v>2.0195590435639323E-2</v>
          </cell>
          <cell r="O936">
            <v>0</v>
          </cell>
          <cell r="P936">
            <v>3124394.3301433921</v>
          </cell>
          <cell r="Q936">
            <v>30084278.549999997</v>
          </cell>
          <cell r="R936">
            <v>-697</v>
          </cell>
          <cell r="U936" t="str">
            <v>PENDIENTE</v>
          </cell>
        </row>
        <row r="937">
          <cell r="A937" t="str">
            <v>20269</v>
          </cell>
          <cell r="B937" t="str">
            <v>BANCOLOMBIA</v>
          </cell>
          <cell r="C937" t="str">
            <v>INVERSIONES RUEDA S.A.S</v>
          </cell>
          <cell r="D937" t="str">
            <v>8140098558</v>
          </cell>
          <cell r="E937">
            <v>46295</v>
          </cell>
          <cell r="F937">
            <v>37</v>
          </cell>
          <cell r="G937">
            <v>11</v>
          </cell>
          <cell r="H937">
            <v>2467002</v>
          </cell>
          <cell r="I937">
            <v>607569.76814748917</v>
          </cell>
          <cell r="J937">
            <v>0</v>
          </cell>
          <cell r="K937">
            <v>0</v>
          </cell>
          <cell r="L937">
            <v>0</v>
          </cell>
          <cell r="M937">
            <v>2.0195590435639323E-2</v>
          </cell>
          <cell r="N937">
            <v>2.0195590435639323E-2</v>
          </cell>
          <cell r="O937">
            <v>0</v>
          </cell>
          <cell r="P937">
            <v>3074571.7681474891</v>
          </cell>
          <cell r="Q937">
            <v>27617276.549999997</v>
          </cell>
          <cell r="R937">
            <v>-728</v>
          </cell>
          <cell r="U937" t="str">
            <v>PENDIENTE</v>
          </cell>
        </row>
        <row r="938">
          <cell r="A938" t="str">
            <v>202610</v>
          </cell>
          <cell r="B938" t="str">
            <v>BANCOLOMBIA</v>
          </cell>
          <cell r="C938" t="str">
            <v>INVERSIONES RUEDA S.A.S</v>
          </cell>
          <cell r="D938" t="str">
            <v>8140098558</v>
          </cell>
          <cell r="E938">
            <v>46326</v>
          </cell>
          <cell r="F938">
            <v>38</v>
          </cell>
          <cell r="G938">
            <v>10</v>
          </cell>
          <cell r="H938">
            <v>2467002</v>
          </cell>
          <cell r="I938">
            <v>557747.20615158614</v>
          </cell>
          <cell r="J938">
            <v>0</v>
          </cell>
          <cell r="K938">
            <v>0</v>
          </cell>
          <cell r="L938">
            <v>0</v>
          </cell>
          <cell r="M938">
            <v>2.0195590435639326E-2</v>
          </cell>
          <cell r="N938">
            <v>2.0195590435639326E-2</v>
          </cell>
          <cell r="O938">
            <v>0</v>
          </cell>
          <cell r="P938">
            <v>3024749.206151586</v>
          </cell>
          <cell r="Q938">
            <v>25150274.549999997</v>
          </cell>
          <cell r="R938">
            <v>-758</v>
          </cell>
          <cell r="U938" t="str">
            <v>PENDIENTE</v>
          </cell>
        </row>
        <row r="939">
          <cell r="A939" t="str">
            <v>202611</v>
          </cell>
          <cell r="B939" t="str">
            <v>BANCOLOMBIA</v>
          </cell>
          <cell r="C939" t="str">
            <v>INVERSIONES RUEDA S.A.S</v>
          </cell>
          <cell r="D939" t="str">
            <v>8140098558</v>
          </cell>
          <cell r="E939">
            <v>46356</v>
          </cell>
          <cell r="F939">
            <v>39</v>
          </cell>
          <cell r="G939">
            <v>9</v>
          </cell>
          <cell r="H939">
            <v>2467002</v>
          </cell>
          <cell r="I939">
            <v>507924.644155683</v>
          </cell>
          <cell r="J939">
            <v>0</v>
          </cell>
          <cell r="K939">
            <v>0</v>
          </cell>
          <cell r="L939">
            <v>0</v>
          </cell>
          <cell r="M939">
            <v>2.0195590435639323E-2</v>
          </cell>
          <cell r="N939">
            <v>2.0195590435639323E-2</v>
          </cell>
          <cell r="O939">
            <v>0</v>
          </cell>
          <cell r="P939">
            <v>2974926.644155683</v>
          </cell>
          <cell r="Q939">
            <v>22683272.549999997</v>
          </cell>
          <cell r="R939">
            <v>-789</v>
          </cell>
          <cell r="U939" t="str">
            <v>PENDIENTE</v>
          </cell>
        </row>
        <row r="940">
          <cell r="A940" t="str">
            <v>202612</v>
          </cell>
          <cell r="B940" t="str">
            <v>BANCOLOMBIA</v>
          </cell>
          <cell r="C940" t="str">
            <v>INVERSIONES RUEDA S.A.S</v>
          </cell>
          <cell r="D940" t="str">
            <v>8140098558</v>
          </cell>
          <cell r="E940">
            <v>46387</v>
          </cell>
          <cell r="F940">
            <v>40</v>
          </cell>
          <cell r="G940">
            <v>8</v>
          </cell>
          <cell r="H940">
            <v>2467002</v>
          </cell>
          <cell r="I940">
            <v>458102.08215977991</v>
          </cell>
          <cell r="J940">
            <v>0</v>
          </cell>
          <cell r="K940">
            <v>0</v>
          </cell>
          <cell r="L940">
            <v>0</v>
          </cell>
          <cell r="M940">
            <v>2.0195590435639323E-2</v>
          </cell>
          <cell r="N940">
            <v>2.0195590435639323E-2</v>
          </cell>
          <cell r="O940">
            <v>0</v>
          </cell>
          <cell r="P940">
            <v>2925104.08215978</v>
          </cell>
          <cell r="Q940">
            <v>20216270.549999997</v>
          </cell>
          <cell r="R940">
            <v>-819</v>
          </cell>
          <cell r="U940" t="str">
            <v>PENDIENTE</v>
          </cell>
        </row>
        <row r="941">
          <cell r="A941" t="str">
            <v>20271</v>
          </cell>
          <cell r="B941" t="str">
            <v>BANCOLOMBIA</v>
          </cell>
          <cell r="C941" t="str">
            <v>INVERSIONES RUEDA S.A.S</v>
          </cell>
          <cell r="D941" t="str">
            <v>8140098558</v>
          </cell>
          <cell r="E941">
            <v>46418</v>
          </cell>
          <cell r="F941">
            <v>41</v>
          </cell>
          <cell r="G941">
            <v>7</v>
          </cell>
          <cell r="H941">
            <v>2467002</v>
          </cell>
          <cell r="I941">
            <v>408279.52016387682</v>
          </cell>
          <cell r="J941">
            <v>0</v>
          </cell>
          <cell r="K941">
            <v>0</v>
          </cell>
          <cell r="L941">
            <v>0</v>
          </cell>
          <cell r="M941">
            <v>2.0195590435639323E-2</v>
          </cell>
          <cell r="N941">
            <v>2.0195590435639323E-2</v>
          </cell>
          <cell r="O941">
            <v>0</v>
          </cell>
          <cell r="P941">
            <v>2875281.5201638769</v>
          </cell>
          <cell r="Q941">
            <v>17749268.549999997</v>
          </cell>
          <cell r="R941">
            <v>-850</v>
          </cell>
          <cell r="U941" t="str">
            <v>PENDIENTE</v>
          </cell>
        </row>
        <row r="942">
          <cell r="A942" t="str">
            <v>20272</v>
          </cell>
          <cell r="B942" t="str">
            <v>BANCOLOMBIA</v>
          </cell>
          <cell r="C942" t="str">
            <v>INVERSIONES RUEDA S.A.S</v>
          </cell>
          <cell r="D942" t="str">
            <v>8140098558</v>
          </cell>
          <cell r="E942">
            <v>46446</v>
          </cell>
          <cell r="F942">
            <v>42</v>
          </cell>
          <cell r="G942">
            <v>6</v>
          </cell>
          <cell r="H942">
            <v>2467002</v>
          </cell>
          <cell r="I942">
            <v>358456.95816797379</v>
          </cell>
          <cell r="J942">
            <v>0</v>
          </cell>
          <cell r="K942">
            <v>0</v>
          </cell>
          <cell r="L942">
            <v>0</v>
          </cell>
          <cell r="M942">
            <v>2.0195590435639323E-2</v>
          </cell>
          <cell r="N942">
            <v>2.0195590435639323E-2</v>
          </cell>
          <cell r="O942">
            <v>0</v>
          </cell>
          <cell r="P942">
            <v>2825458.9581679739</v>
          </cell>
          <cell r="Q942">
            <v>15282266.549999997</v>
          </cell>
          <cell r="R942">
            <v>-881</v>
          </cell>
          <cell r="U942" t="str">
            <v>PENDIENTE</v>
          </cell>
        </row>
        <row r="943">
          <cell r="A943" t="str">
            <v>20273</v>
          </cell>
          <cell r="B943" t="str">
            <v>BANCOLOMBIA</v>
          </cell>
          <cell r="C943" t="str">
            <v>INVERSIONES RUEDA S.A.S</v>
          </cell>
          <cell r="D943" t="str">
            <v>8140098558</v>
          </cell>
          <cell r="E943">
            <v>46477</v>
          </cell>
          <cell r="F943">
            <v>43</v>
          </cell>
          <cell r="G943">
            <v>5</v>
          </cell>
          <cell r="H943">
            <v>2467002</v>
          </cell>
          <cell r="I943">
            <v>308634.3961720707</v>
          </cell>
          <cell r="J943">
            <v>0</v>
          </cell>
          <cell r="K943">
            <v>0</v>
          </cell>
          <cell r="L943">
            <v>0</v>
          </cell>
          <cell r="M943">
            <v>2.0195590435639323E-2</v>
          </cell>
          <cell r="N943">
            <v>2.0195590435639323E-2</v>
          </cell>
          <cell r="O943">
            <v>0</v>
          </cell>
          <cell r="P943">
            <v>2775636.3961720709</v>
          </cell>
          <cell r="Q943">
            <v>12815264.549999997</v>
          </cell>
          <cell r="R943">
            <v>-909</v>
          </cell>
          <cell r="U943" t="str">
            <v>PENDIENTE</v>
          </cell>
        </row>
        <row r="944">
          <cell r="A944" t="str">
            <v>20274</v>
          </cell>
          <cell r="B944" t="str">
            <v>BANCOLOMBIA</v>
          </cell>
          <cell r="C944" t="str">
            <v>INVERSIONES RUEDA S.A.S</v>
          </cell>
          <cell r="D944" t="str">
            <v>8140098558</v>
          </cell>
          <cell r="E944">
            <v>46507</v>
          </cell>
          <cell r="F944">
            <v>44</v>
          </cell>
          <cell r="G944">
            <v>4</v>
          </cell>
          <cell r="H944">
            <v>2467002</v>
          </cell>
          <cell r="I944">
            <v>258811.83417616761</v>
          </cell>
          <cell r="J944">
            <v>0</v>
          </cell>
          <cell r="K944">
            <v>0</v>
          </cell>
          <cell r="L944">
            <v>0</v>
          </cell>
          <cell r="M944">
            <v>2.0195590435639323E-2</v>
          </cell>
          <cell r="N944">
            <v>2.0195590435639323E-2</v>
          </cell>
          <cell r="O944">
            <v>0</v>
          </cell>
          <cell r="P944">
            <v>2725813.8341761678</v>
          </cell>
          <cell r="Q944">
            <v>10348262.549999997</v>
          </cell>
          <cell r="R944">
            <v>-940</v>
          </cell>
          <cell r="U944" t="str">
            <v>PENDIENTE</v>
          </cell>
        </row>
        <row r="945">
          <cell r="A945" t="str">
            <v>20275</v>
          </cell>
          <cell r="B945" t="str">
            <v>BANCOLOMBIA</v>
          </cell>
          <cell r="C945" t="str">
            <v>INVERSIONES RUEDA S.A.S</v>
          </cell>
          <cell r="D945" t="str">
            <v>8140098558</v>
          </cell>
          <cell r="E945">
            <v>46538</v>
          </cell>
          <cell r="F945">
            <v>45</v>
          </cell>
          <cell r="G945">
            <v>3</v>
          </cell>
          <cell r="H945">
            <v>2467002</v>
          </cell>
          <cell r="I945">
            <v>208989.27218026452</v>
          </cell>
          <cell r="J945">
            <v>0</v>
          </cell>
          <cell r="K945">
            <v>0</v>
          </cell>
          <cell r="L945">
            <v>0</v>
          </cell>
          <cell r="M945">
            <v>2.0195590435639323E-2</v>
          </cell>
          <cell r="N945">
            <v>2.0195590435639323E-2</v>
          </cell>
          <cell r="O945">
            <v>0</v>
          </cell>
          <cell r="P945">
            <v>2675991.2721802644</v>
          </cell>
          <cell r="Q945">
            <v>7881260.549999997</v>
          </cell>
          <cell r="R945">
            <v>-970</v>
          </cell>
          <cell r="U945" t="str">
            <v>PENDIENTE</v>
          </cell>
        </row>
        <row r="946">
          <cell r="A946" t="str">
            <v>20276</v>
          </cell>
          <cell r="B946" t="str">
            <v>BANCOLOMBIA</v>
          </cell>
          <cell r="C946" t="str">
            <v>INVERSIONES RUEDA S.A.S</v>
          </cell>
          <cell r="D946" t="str">
            <v>8140098558</v>
          </cell>
          <cell r="E946">
            <v>46568</v>
          </cell>
          <cell r="F946">
            <v>46</v>
          </cell>
          <cell r="G946">
            <v>2</v>
          </cell>
          <cell r="H946">
            <v>2467002</v>
          </cell>
          <cell r="I946">
            <v>159166.71018436144</v>
          </cell>
          <cell r="J946">
            <v>0</v>
          </cell>
          <cell r="K946">
            <v>0</v>
          </cell>
          <cell r="L946">
            <v>0</v>
          </cell>
          <cell r="M946">
            <v>2.0195590435639323E-2</v>
          </cell>
          <cell r="N946">
            <v>2.0195590435639323E-2</v>
          </cell>
          <cell r="O946">
            <v>0</v>
          </cell>
          <cell r="P946">
            <v>2626168.7101843613</v>
          </cell>
          <cell r="Q946">
            <v>5414258.549999997</v>
          </cell>
          <cell r="R946">
            <v>-1001</v>
          </cell>
          <cell r="U946" t="str">
            <v>PENDIENTE</v>
          </cell>
        </row>
        <row r="947">
          <cell r="A947" t="str">
            <v>20277</v>
          </cell>
          <cell r="B947" t="str">
            <v>BANCOLOMBIA</v>
          </cell>
          <cell r="C947" t="str">
            <v>INVERSIONES RUEDA S.A.S</v>
          </cell>
          <cell r="D947" t="str">
            <v>8140098558</v>
          </cell>
          <cell r="E947">
            <v>46599</v>
          </cell>
          <cell r="F947">
            <v>47</v>
          </cell>
          <cell r="G947">
            <v>1</v>
          </cell>
          <cell r="H947">
            <v>2467002</v>
          </cell>
          <cell r="I947">
            <v>109344.14818845836</v>
          </cell>
          <cell r="J947">
            <v>0</v>
          </cell>
          <cell r="K947">
            <v>0</v>
          </cell>
          <cell r="L947">
            <v>0</v>
          </cell>
          <cell r="M947">
            <v>2.0195590435639323E-2</v>
          </cell>
          <cell r="N947">
            <v>2.0195590435639323E-2</v>
          </cell>
          <cell r="O947">
            <v>0</v>
          </cell>
          <cell r="P947">
            <v>2576346.1481884583</v>
          </cell>
          <cell r="Q947">
            <v>2947256.549999997</v>
          </cell>
          <cell r="R947">
            <v>-1031</v>
          </cell>
          <cell r="U947" t="str">
            <v>PENDIENTE</v>
          </cell>
        </row>
        <row r="948">
          <cell r="A948" t="str">
            <v>20278</v>
          </cell>
          <cell r="B948" t="str">
            <v>BANCOLOMBIA</v>
          </cell>
          <cell r="C948" t="str">
            <v>INVERSIONES RUEDA S.A.S</v>
          </cell>
          <cell r="D948" t="str">
            <v>8140098558</v>
          </cell>
          <cell r="E948">
            <v>46630</v>
          </cell>
          <cell r="F948">
            <v>48</v>
          </cell>
          <cell r="G948">
            <v>0</v>
          </cell>
          <cell r="H948">
            <v>2947256.549999997</v>
          </cell>
          <cell r="I948">
            <v>59521.586192555289</v>
          </cell>
          <cell r="J948">
            <v>0</v>
          </cell>
          <cell r="K948">
            <v>0</v>
          </cell>
          <cell r="L948">
            <v>0</v>
          </cell>
          <cell r="M948">
            <v>2.0195590435639323E-2</v>
          </cell>
          <cell r="N948">
            <v>2.0195590435639323E-2</v>
          </cell>
          <cell r="O948">
            <v>0</v>
          </cell>
          <cell r="P948">
            <v>3006778.1361925523</v>
          </cell>
          <cell r="Q948">
            <v>0</v>
          </cell>
          <cell r="R948">
            <v>-1062</v>
          </cell>
          <cell r="U948" t="str">
            <v>PENDIENTE</v>
          </cell>
        </row>
        <row r="949">
          <cell r="A949" t="str">
            <v>20239</v>
          </cell>
          <cell r="B949" t="str">
            <v>DAVIVIENDA</v>
          </cell>
          <cell r="C949" t="str">
            <v>LAMAR OPTICAL S.A.S</v>
          </cell>
          <cell r="D949" t="str">
            <v>7104046002628157</v>
          </cell>
          <cell r="E949">
            <v>45170</v>
          </cell>
          <cell r="F949">
            <v>0</v>
          </cell>
          <cell r="G949">
            <v>36</v>
          </cell>
          <cell r="H949">
            <v>0</v>
          </cell>
          <cell r="I949">
            <v>0</v>
          </cell>
          <cell r="J949">
            <v>0</v>
          </cell>
          <cell r="K949">
            <v>0</v>
          </cell>
          <cell r="L949">
            <v>0</v>
          </cell>
          <cell r="M949">
            <v>0</v>
          </cell>
          <cell r="N949">
            <v>0</v>
          </cell>
          <cell r="O949">
            <v>0</v>
          </cell>
          <cell r="P949">
            <v>0</v>
          </cell>
          <cell r="Q949">
            <v>243000000</v>
          </cell>
          <cell r="R949" t="str">
            <v>OK</v>
          </cell>
          <cell r="S949">
            <v>0</v>
          </cell>
          <cell r="T949">
            <v>45170</v>
          </cell>
          <cell r="U949" t="str">
            <v>PAGADO</v>
          </cell>
        </row>
        <row r="950">
          <cell r="A950" t="str">
            <v>202310</v>
          </cell>
          <cell r="B950" t="str">
            <v>DAVIVIENDA</v>
          </cell>
          <cell r="C950" t="str">
            <v>LAMAR OPTICAL S.A.S</v>
          </cell>
          <cell r="D950" t="str">
            <v>7104046002628157</v>
          </cell>
          <cell r="E950">
            <v>45200</v>
          </cell>
          <cell r="F950">
            <v>1</v>
          </cell>
          <cell r="G950">
            <v>35</v>
          </cell>
          <cell r="H950">
            <v>6750000</v>
          </cell>
          <cell r="I950">
            <v>4625000</v>
          </cell>
          <cell r="J950">
            <v>0</v>
          </cell>
          <cell r="K950">
            <v>0</v>
          </cell>
          <cell r="L950">
            <v>0</v>
          </cell>
          <cell r="M950">
            <v>1.9032921810699589E-2</v>
          </cell>
          <cell r="N950">
            <v>1.9032921810699589E-2</v>
          </cell>
          <cell r="O950">
            <v>0</v>
          </cell>
          <cell r="P950">
            <v>11375000</v>
          </cell>
          <cell r="Q950">
            <v>236250000</v>
          </cell>
          <cell r="R950" t="str">
            <v>OK</v>
          </cell>
          <cell r="S950">
            <v>11375000</v>
          </cell>
          <cell r="T950">
            <v>45201</v>
          </cell>
          <cell r="U950" t="str">
            <v>PAGADO</v>
          </cell>
        </row>
        <row r="951">
          <cell r="A951" t="str">
            <v>202311</v>
          </cell>
          <cell r="B951" t="str">
            <v>DAVIVIENDA</v>
          </cell>
          <cell r="C951" t="str">
            <v>LAMAR OPTICAL S.A.S</v>
          </cell>
          <cell r="D951" t="str">
            <v>7104046002628157</v>
          </cell>
          <cell r="E951">
            <v>45231</v>
          </cell>
          <cell r="F951">
            <v>2</v>
          </cell>
          <cell r="G951">
            <v>34</v>
          </cell>
          <cell r="H951">
            <v>6750000</v>
          </cell>
          <cell r="I951">
            <v>4641000</v>
          </cell>
          <cell r="J951">
            <v>0</v>
          </cell>
          <cell r="K951">
            <v>0</v>
          </cell>
          <cell r="L951">
            <v>0</v>
          </cell>
          <cell r="M951">
            <v>1.9032921810699589E-2</v>
          </cell>
          <cell r="N951">
            <v>1.9644444444444444E-2</v>
          </cell>
          <cell r="O951">
            <v>3.2129729729729606E-2</v>
          </cell>
          <cell r="P951">
            <v>11391000</v>
          </cell>
          <cell r="Q951">
            <v>229500000</v>
          </cell>
          <cell r="R951" t="str">
            <v>OK</v>
          </cell>
          <cell r="S951">
            <v>11391000</v>
          </cell>
          <cell r="T951">
            <v>45231</v>
          </cell>
          <cell r="U951" t="str">
            <v>PAGADO</v>
          </cell>
        </row>
        <row r="952">
          <cell r="A952" t="str">
            <v>202312</v>
          </cell>
          <cell r="B952" t="str">
            <v>DAVIVIENDA</v>
          </cell>
          <cell r="C952" t="str">
            <v>LAMAR OPTICAL S.A.S</v>
          </cell>
          <cell r="D952" t="str">
            <v>7104046002628157</v>
          </cell>
          <cell r="E952">
            <v>45261</v>
          </cell>
          <cell r="F952">
            <v>3</v>
          </cell>
          <cell r="G952">
            <v>33</v>
          </cell>
          <cell r="H952">
            <v>6750000</v>
          </cell>
          <cell r="I952">
            <v>4368055.555555556</v>
          </cell>
          <cell r="J952">
            <v>0</v>
          </cell>
          <cell r="K952">
            <v>0</v>
          </cell>
          <cell r="L952">
            <v>0</v>
          </cell>
          <cell r="M952">
            <v>1.9032921810699589E-2</v>
          </cell>
          <cell r="N952">
            <v>1.9032921810699589E-2</v>
          </cell>
          <cell r="O952">
            <v>0</v>
          </cell>
          <cell r="P952">
            <v>11118055.555555556</v>
          </cell>
          <cell r="Q952">
            <v>222750000</v>
          </cell>
          <cell r="R952" t="str">
            <v>OK</v>
          </cell>
          <cell r="S952">
            <v>10552769</v>
          </cell>
          <cell r="T952">
            <v>45267</v>
          </cell>
          <cell r="U952" t="str">
            <v>PAGADO</v>
          </cell>
        </row>
        <row r="953">
          <cell r="A953" t="str">
            <v>20241</v>
          </cell>
          <cell r="B953" t="str">
            <v>DAVIVIENDA</v>
          </cell>
          <cell r="C953" t="str">
            <v>LAMAR OPTICAL S.A.S</v>
          </cell>
          <cell r="D953" t="str">
            <v>7104046002628157</v>
          </cell>
          <cell r="E953">
            <v>45292</v>
          </cell>
          <cell r="F953">
            <v>4</v>
          </cell>
          <cell r="G953">
            <v>32</v>
          </cell>
          <cell r="H953">
            <v>6750000</v>
          </cell>
          <cell r="I953">
            <v>4375000</v>
          </cell>
          <cell r="J953">
            <v>0</v>
          </cell>
          <cell r="K953">
            <v>0</v>
          </cell>
          <cell r="L953">
            <v>0</v>
          </cell>
          <cell r="M953">
            <v>1.9032921810699589E-2</v>
          </cell>
          <cell r="N953">
            <v>1.9640852974186308E-2</v>
          </cell>
          <cell r="O953">
            <v>3.1941031941032039E-2</v>
          </cell>
          <cell r="P953">
            <v>11125000</v>
          </cell>
          <cell r="Q953">
            <v>216000000</v>
          </cell>
          <cell r="R953" t="str">
            <v>OK</v>
          </cell>
          <cell r="S953">
            <v>11125000</v>
          </cell>
          <cell r="T953">
            <v>45293</v>
          </cell>
          <cell r="U953" t="str">
            <v>PAGADO</v>
          </cell>
        </row>
        <row r="954">
          <cell r="A954" t="str">
            <v>20242</v>
          </cell>
          <cell r="B954" t="str">
            <v>DAVIVIENDA</v>
          </cell>
          <cell r="C954" t="str">
            <v>LAMAR OPTICAL S.A.S</v>
          </cell>
          <cell r="D954" t="str">
            <v>7104046002628157</v>
          </cell>
          <cell r="E954">
            <v>45323</v>
          </cell>
          <cell r="F954">
            <v>5</v>
          </cell>
          <cell r="G954">
            <v>31</v>
          </cell>
          <cell r="H954">
            <v>6750000</v>
          </cell>
          <cell r="I954">
            <v>4111111.111111111</v>
          </cell>
          <cell r="J954">
            <v>0</v>
          </cell>
          <cell r="K954">
            <v>0</v>
          </cell>
          <cell r="L954">
            <v>0</v>
          </cell>
          <cell r="M954">
            <v>1.9032921810699589E-2</v>
          </cell>
          <cell r="N954">
            <v>1.9032921810699589E-2</v>
          </cell>
          <cell r="O954">
            <v>0</v>
          </cell>
          <cell r="P954">
            <v>10861111.111111112</v>
          </cell>
          <cell r="Q954">
            <v>209250000</v>
          </cell>
          <cell r="R954" t="str">
            <v>OK</v>
          </cell>
          <cell r="S954">
            <v>10958340</v>
          </cell>
          <cell r="T954">
            <v>45329</v>
          </cell>
          <cell r="U954" t="str">
            <v>PAGADO</v>
          </cell>
        </row>
        <row r="955">
          <cell r="A955" t="str">
            <v>20243</v>
          </cell>
          <cell r="B955" t="str">
            <v>DAVIVIENDA</v>
          </cell>
          <cell r="C955" t="str">
            <v>LAMAR OPTICAL S.A.S</v>
          </cell>
          <cell r="D955" t="str">
            <v>7104046002628157</v>
          </cell>
          <cell r="E955">
            <v>45352</v>
          </cell>
          <cell r="F955">
            <v>6</v>
          </cell>
          <cell r="G955">
            <v>30</v>
          </cell>
          <cell r="H955">
            <v>6750000</v>
          </cell>
          <cell r="I955">
            <v>3982638.888888889</v>
          </cell>
          <cell r="J955">
            <v>0</v>
          </cell>
          <cell r="K955">
            <v>0</v>
          </cell>
          <cell r="L955">
            <v>0</v>
          </cell>
          <cell r="M955">
            <v>1.9032921810699589E-2</v>
          </cell>
          <cell r="N955">
            <v>1.9032921810699589E-2</v>
          </cell>
          <cell r="O955">
            <v>0</v>
          </cell>
          <cell r="P955">
            <v>10732638.888888888</v>
          </cell>
          <cell r="Q955">
            <v>202500000</v>
          </cell>
          <cell r="R955" t="str">
            <v>OK</v>
          </cell>
          <cell r="S955">
            <v>10543109.359999999</v>
          </cell>
          <cell r="T955">
            <v>45352</v>
          </cell>
          <cell r="U955" t="str">
            <v>PAGADO</v>
          </cell>
        </row>
        <row r="956">
          <cell r="A956" t="str">
            <v>20244</v>
          </cell>
          <cell r="B956" t="str">
            <v>DAVIVIENDA</v>
          </cell>
          <cell r="C956" t="str">
            <v>LAMAR OPTICAL S.A.S</v>
          </cell>
          <cell r="D956" t="str">
            <v>7104046002628157</v>
          </cell>
          <cell r="E956">
            <v>45383</v>
          </cell>
          <cell r="F956">
            <v>7</v>
          </cell>
          <cell r="G956">
            <v>29</v>
          </cell>
          <cell r="H956">
            <v>6750000</v>
          </cell>
          <cell r="I956">
            <v>3854166.6666666665</v>
          </cell>
          <cell r="J956">
            <v>0</v>
          </cell>
          <cell r="K956">
            <v>0</v>
          </cell>
          <cell r="L956">
            <v>189529.52888888866</v>
          </cell>
          <cell r="M956">
            <v>1.9032921810699589E-2</v>
          </cell>
          <cell r="N956">
            <v>1.9032921810699589E-2</v>
          </cell>
          <cell r="O956">
            <v>0</v>
          </cell>
          <cell r="P956">
            <v>10793696.195555555</v>
          </cell>
          <cell r="Q956">
            <v>195750000</v>
          </cell>
          <cell r="R956" t="str">
            <v>OK</v>
          </cell>
          <cell r="S956">
            <v>10426683</v>
          </cell>
          <cell r="T956">
            <v>45398</v>
          </cell>
          <cell r="U956" t="str">
            <v>PAGADO</v>
          </cell>
        </row>
        <row r="957">
          <cell r="A957" t="str">
            <v>20245</v>
          </cell>
          <cell r="B957" t="str">
            <v>DAVIVIENDA</v>
          </cell>
          <cell r="C957" t="str">
            <v>LAMAR OPTICAL S.A.S</v>
          </cell>
          <cell r="D957" t="str">
            <v>7104046002628157</v>
          </cell>
          <cell r="E957">
            <v>45413</v>
          </cell>
          <cell r="F957">
            <v>8</v>
          </cell>
          <cell r="G957">
            <v>28</v>
          </cell>
          <cell r="H957">
            <v>6750000</v>
          </cell>
          <cell r="I957">
            <v>3725694.4444444445</v>
          </cell>
          <cell r="J957">
            <v>0</v>
          </cell>
          <cell r="K957">
            <v>0</v>
          </cell>
          <cell r="L957">
            <v>367013.1955555547</v>
          </cell>
          <cell r="M957">
            <v>1.9032921810699589E-2</v>
          </cell>
          <cell r="N957">
            <v>1.9032921810699589E-2</v>
          </cell>
          <cell r="O957">
            <v>0</v>
          </cell>
          <cell r="P957">
            <v>10842707.639999999</v>
          </cell>
          <cell r="Q957">
            <v>189000000</v>
          </cell>
          <cell r="R957" t="str">
            <v>OK</v>
          </cell>
          <cell r="S957">
            <v>10341000</v>
          </cell>
          <cell r="T957">
            <v>45415</v>
          </cell>
          <cell r="U957" t="str">
            <v>PAGADO</v>
          </cell>
        </row>
        <row r="958">
          <cell r="A958" t="str">
            <v>20246</v>
          </cell>
          <cell r="B958" t="str">
            <v>DAVIVIENDA</v>
          </cell>
          <cell r="C958" t="str">
            <v>LAMAR OPTICAL S.A.S</v>
          </cell>
          <cell r="D958" t="str">
            <v>7104046002628157</v>
          </cell>
          <cell r="E958">
            <v>45444</v>
          </cell>
          <cell r="F958">
            <v>9</v>
          </cell>
          <cell r="G958">
            <v>27</v>
          </cell>
          <cell r="H958">
            <v>6750000</v>
          </cell>
          <cell r="I958">
            <v>3597222.222222222</v>
          </cell>
          <cell r="J958">
            <v>0</v>
          </cell>
          <cell r="K958">
            <v>0</v>
          </cell>
          <cell r="L958">
            <v>501707.63999999873</v>
          </cell>
          <cell r="M958">
            <v>1.9032921810699589E-2</v>
          </cell>
          <cell r="N958">
            <v>1.9032921810699589E-2</v>
          </cell>
          <cell r="O958">
            <v>0</v>
          </cell>
          <cell r="P958">
            <v>10848929.862222221</v>
          </cell>
          <cell r="Q958">
            <v>182250000</v>
          </cell>
          <cell r="R958" t="str">
            <v>OK</v>
          </cell>
          <cell r="S958">
            <v>10300000</v>
          </cell>
          <cell r="T958">
            <v>45460</v>
          </cell>
          <cell r="U958" t="str">
            <v>PAGADO</v>
          </cell>
        </row>
        <row r="959">
          <cell r="A959" t="str">
            <v>20247</v>
          </cell>
          <cell r="B959" t="str">
            <v>DAVIVIENDA</v>
          </cell>
          <cell r="C959" t="str">
            <v>LAMAR OPTICAL S.A.S</v>
          </cell>
          <cell r="D959" t="str">
            <v>7104046002628157</v>
          </cell>
          <cell r="E959">
            <v>45474</v>
          </cell>
          <cell r="F959">
            <v>10</v>
          </cell>
          <cell r="G959">
            <v>26</v>
          </cell>
          <cell r="H959">
            <v>6750000</v>
          </cell>
          <cell r="I959">
            <v>3468750</v>
          </cell>
          <cell r="J959">
            <v>0</v>
          </cell>
          <cell r="K959">
            <v>0</v>
          </cell>
          <cell r="L959">
            <v>548929.86222222075</v>
          </cell>
          <cell r="M959">
            <v>1.9032921810699589E-2</v>
          </cell>
          <cell r="N959">
            <v>1.9032921810699589E-2</v>
          </cell>
          <cell r="O959">
            <v>0</v>
          </cell>
          <cell r="P959">
            <v>10767679.862222221</v>
          </cell>
          <cell r="Q959">
            <v>175500000</v>
          </cell>
          <cell r="R959" t="str">
            <v>OK</v>
          </cell>
          <cell r="S959">
            <v>9283000</v>
          </cell>
          <cell r="T959">
            <v>45475</v>
          </cell>
          <cell r="U959" t="str">
            <v>PAGADO</v>
          </cell>
        </row>
        <row r="960">
          <cell r="A960" t="str">
            <v>20248</v>
          </cell>
          <cell r="B960" t="str">
            <v>DAVIVIENDA</v>
          </cell>
          <cell r="C960" t="str">
            <v>LAMAR OPTICAL S.A.S</v>
          </cell>
          <cell r="D960" t="str">
            <v>7104046002628157</v>
          </cell>
          <cell r="E960">
            <v>45505</v>
          </cell>
          <cell r="F960">
            <v>11</v>
          </cell>
          <cell r="G960">
            <v>25</v>
          </cell>
          <cell r="H960">
            <v>6750000</v>
          </cell>
          <cell r="I960">
            <v>3340277.777777778</v>
          </cell>
          <cell r="J960">
            <v>0</v>
          </cell>
          <cell r="K960">
            <v>0</v>
          </cell>
          <cell r="L960">
            <v>1484679.8622222207</v>
          </cell>
          <cell r="M960">
            <v>1.9032921810699589E-2</v>
          </cell>
          <cell r="N960">
            <v>1.9032921810699589E-2</v>
          </cell>
          <cell r="O960">
            <v>0</v>
          </cell>
          <cell r="P960">
            <v>11574957.639999999</v>
          </cell>
          <cell r="Q960">
            <v>168750000</v>
          </cell>
          <cell r="R960" t="str">
            <v>OK</v>
          </cell>
          <cell r="S960">
            <v>9877917</v>
          </cell>
          <cell r="T960">
            <v>45509</v>
          </cell>
          <cell r="U960" t="str">
            <v>PAGADO</v>
          </cell>
        </row>
        <row r="961">
          <cell r="A961" t="str">
            <v>20249</v>
          </cell>
          <cell r="B961" t="str">
            <v>DAVIVIENDA</v>
          </cell>
          <cell r="C961" t="str">
            <v>LAMAR OPTICAL S.A.S</v>
          </cell>
          <cell r="D961" t="str">
            <v>7104046002628157</v>
          </cell>
          <cell r="E961">
            <v>45537</v>
          </cell>
          <cell r="F961">
            <v>12</v>
          </cell>
          <cell r="G961">
            <v>24</v>
          </cell>
          <cell r="H961">
            <v>6750000</v>
          </cell>
          <cell r="I961">
            <v>2937087</v>
          </cell>
          <cell r="J961">
            <v>0</v>
          </cell>
          <cell r="K961">
            <v>6168853.7599999998</v>
          </cell>
          <cell r="L961">
            <v>1697040.6399999987</v>
          </cell>
          <cell r="M961">
            <v>1.9032921810699589E-2</v>
          </cell>
          <cell r="N961">
            <v>1.7404960000000001E-2</v>
          </cell>
          <cell r="O961">
            <v>-8.553399351351354E-2</v>
          </cell>
          <cell r="P961">
            <v>17552981.399999999</v>
          </cell>
          <cell r="Q961">
            <v>162000000</v>
          </cell>
          <cell r="R961">
            <v>0</v>
          </cell>
          <cell r="S961">
            <v>2862725</v>
          </cell>
          <cell r="U961" t="str">
            <v>ABONADO</v>
          </cell>
        </row>
        <row r="962">
          <cell r="A962" t="str">
            <v>202410</v>
          </cell>
          <cell r="B962" t="str">
            <v>DAVIVIENDA</v>
          </cell>
          <cell r="C962" t="str">
            <v>LAMAR OPTICAL S.A.S</v>
          </cell>
          <cell r="D962" t="str">
            <v>7104046002628157</v>
          </cell>
          <cell r="E962">
            <v>45566</v>
          </cell>
          <cell r="F962">
            <v>13</v>
          </cell>
          <cell r="G962">
            <v>23</v>
          </cell>
          <cell r="H962">
            <v>6750000</v>
          </cell>
          <cell r="I962">
            <v>3083333.3333333335</v>
          </cell>
          <cell r="J962">
            <v>0</v>
          </cell>
          <cell r="K962">
            <v>0</v>
          </cell>
          <cell r="L962">
            <v>14690256.399999999</v>
          </cell>
          <cell r="M962">
            <v>1.9032921810699589E-2</v>
          </cell>
          <cell r="N962">
            <v>1.9032921810699589E-2</v>
          </cell>
          <cell r="O962">
            <v>0</v>
          </cell>
          <cell r="P962">
            <v>24523589.733333334</v>
          </cell>
          <cell r="Q962">
            <v>155250000</v>
          </cell>
          <cell r="R962">
            <v>0</v>
          </cell>
          <cell r="U962" t="str">
            <v>PENDIENTE</v>
          </cell>
        </row>
        <row r="963">
          <cell r="A963" t="str">
            <v>202411</v>
          </cell>
          <cell r="B963" t="str">
            <v>DAVIVIENDA</v>
          </cell>
          <cell r="C963" t="str">
            <v>LAMAR OPTICAL S.A.S</v>
          </cell>
          <cell r="D963" t="str">
            <v>7104046002628157</v>
          </cell>
          <cell r="E963">
            <v>45597</v>
          </cell>
          <cell r="F963">
            <v>14</v>
          </cell>
          <cell r="G963">
            <v>22</v>
          </cell>
          <cell r="H963">
            <v>6750000</v>
          </cell>
          <cell r="I963">
            <v>2954861.111111111</v>
          </cell>
          <cell r="J963">
            <v>0</v>
          </cell>
          <cell r="K963">
            <v>0</v>
          </cell>
          <cell r="L963">
            <v>0</v>
          </cell>
          <cell r="M963">
            <v>1.9032921810699589E-2</v>
          </cell>
          <cell r="N963">
            <v>1.9032921810699589E-2</v>
          </cell>
          <cell r="O963">
            <v>0</v>
          </cell>
          <cell r="P963">
            <v>9704861.1111111119</v>
          </cell>
          <cell r="Q963">
            <v>148500000</v>
          </cell>
          <cell r="R963">
            <v>-29</v>
          </cell>
          <cell r="U963" t="str">
            <v>PENDIENTE</v>
          </cell>
        </row>
        <row r="964">
          <cell r="A964" t="str">
            <v>202412</v>
          </cell>
          <cell r="B964" t="str">
            <v>DAVIVIENDA</v>
          </cell>
          <cell r="C964" t="str">
            <v>LAMAR OPTICAL S.A.S</v>
          </cell>
          <cell r="D964" t="str">
            <v>7104046002628157</v>
          </cell>
          <cell r="E964">
            <v>45627</v>
          </cell>
          <cell r="F964">
            <v>15</v>
          </cell>
          <cell r="G964">
            <v>21</v>
          </cell>
          <cell r="H964">
            <v>6750000</v>
          </cell>
          <cell r="I964">
            <v>2826388.888888889</v>
          </cell>
          <cell r="J964">
            <v>0</v>
          </cell>
          <cell r="K964">
            <v>0</v>
          </cell>
          <cell r="L964">
            <v>0</v>
          </cell>
          <cell r="M964">
            <v>1.9032921810699589E-2</v>
          </cell>
          <cell r="N964">
            <v>1.9032921810699589E-2</v>
          </cell>
          <cell r="O964">
            <v>0</v>
          </cell>
          <cell r="P964">
            <v>9576388.8888888881</v>
          </cell>
          <cell r="Q964">
            <v>141750000</v>
          </cell>
          <cell r="R964">
            <v>-60</v>
          </cell>
          <cell r="U964" t="str">
            <v>PENDIENTE</v>
          </cell>
        </row>
        <row r="965">
          <cell r="A965" t="str">
            <v>20251</v>
          </cell>
          <cell r="B965" t="str">
            <v>DAVIVIENDA</v>
          </cell>
          <cell r="C965" t="str">
            <v>LAMAR OPTICAL S.A.S</v>
          </cell>
          <cell r="D965" t="str">
            <v>7104046002628157</v>
          </cell>
          <cell r="E965">
            <v>45658</v>
          </cell>
          <cell r="F965">
            <v>16</v>
          </cell>
          <cell r="G965">
            <v>20</v>
          </cell>
          <cell r="H965">
            <v>6750000</v>
          </cell>
          <cell r="I965">
            <v>2697916.6666666665</v>
          </cell>
          <cell r="J965">
            <v>0</v>
          </cell>
          <cell r="K965">
            <v>0</v>
          </cell>
          <cell r="L965">
            <v>0</v>
          </cell>
          <cell r="M965">
            <v>1.9032921810699589E-2</v>
          </cell>
          <cell r="N965">
            <v>1.9032921810699589E-2</v>
          </cell>
          <cell r="O965">
            <v>0</v>
          </cell>
          <cell r="P965">
            <v>9447916.666666666</v>
          </cell>
          <cell r="Q965">
            <v>135000000</v>
          </cell>
          <cell r="R965">
            <v>-90</v>
          </cell>
          <cell r="U965" t="str">
            <v>PENDIENTE</v>
          </cell>
        </row>
        <row r="966">
          <cell r="A966" t="str">
            <v>20252</v>
          </cell>
          <cell r="B966" t="str">
            <v>DAVIVIENDA</v>
          </cell>
          <cell r="C966" t="str">
            <v>LAMAR OPTICAL S.A.S</v>
          </cell>
          <cell r="D966" t="str">
            <v>7104046002628157</v>
          </cell>
          <cell r="E966">
            <v>45689</v>
          </cell>
          <cell r="F966">
            <v>17</v>
          </cell>
          <cell r="G966">
            <v>19</v>
          </cell>
          <cell r="H966">
            <v>6750000</v>
          </cell>
          <cell r="I966">
            <v>2569444.4444444445</v>
          </cell>
          <cell r="J966">
            <v>0</v>
          </cell>
          <cell r="K966">
            <v>0</v>
          </cell>
          <cell r="L966">
            <v>0</v>
          </cell>
          <cell r="M966">
            <v>1.9032921810699589E-2</v>
          </cell>
          <cell r="N966">
            <v>1.9032921810699589E-2</v>
          </cell>
          <cell r="O966">
            <v>0</v>
          </cell>
          <cell r="P966">
            <v>9319444.444444444</v>
          </cell>
          <cell r="Q966">
            <v>128250000</v>
          </cell>
          <cell r="R966">
            <v>-121</v>
          </cell>
          <cell r="U966" t="str">
            <v>PENDIENTE</v>
          </cell>
        </row>
        <row r="967">
          <cell r="A967" t="str">
            <v>20253</v>
          </cell>
          <cell r="B967" t="str">
            <v>DAVIVIENDA</v>
          </cell>
          <cell r="C967" t="str">
            <v>LAMAR OPTICAL S.A.S</v>
          </cell>
          <cell r="D967" t="str">
            <v>7104046002628157</v>
          </cell>
          <cell r="E967">
            <v>45717</v>
          </cell>
          <cell r="F967">
            <v>18</v>
          </cell>
          <cell r="G967">
            <v>18</v>
          </cell>
          <cell r="H967">
            <v>6750000</v>
          </cell>
          <cell r="I967">
            <v>2440972.222222222</v>
          </cell>
          <cell r="J967">
            <v>0</v>
          </cell>
          <cell r="K967">
            <v>0</v>
          </cell>
          <cell r="L967">
            <v>0</v>
          </cell>
          <cell r="M967">
            <v>1.9032921810699589E-2</v>
          </cell>
          <cell r="N967">
            <v>1.9032921810699589E-2</v>
          </cell>
          <cell r="O967">
            <v>0</v>
          </cell>
          <cell r="P967">
            <v>9190972.222222222</v>
          </cell>
          <cell r="Q967">
            <v>121500000</v>
          </cell>
          <cell r="R967">
            <v>-152</v>
          </cell>
          <cell r="U967" t="str">
            <v>PENDIENTE</v>
          </cell>
        </row>
        <row r="968">
          <cell r="A968" t="str">
            <v>20254</v>
          </cell>
          <cell r="B968" t="str">
            <v>DAVIVIENDA</v>
          </cell>
          <cell r="C968" t="str">
            <v>LAMAR OPTICAL S.A.S</v>
          </cell>
          <cell r="D968" t="str">
            <v>7104046002628157</v>
          </cell>
          <cell r="E968">
            <v>45748</v>
          </cell>
          <cell r="F968">
            <v>19</v>
          </cell>
          <cell r="G968">
            <v>17</v>
          </cell>
          <cell r="H968">
            <v>6750000</v>
          </cell>
          <cell r="I968">
            <v>2312500</v>
          </cell>
          <cell r="J968">
            <v>0</v>
          </cell>
          <cell r="K968">
            <v>0</v>
          </cell>
          <cell r="L968">
            <v>0</v>
          </cell>
          <cell r="M968">
            <v>1.9032921810699589E-2</v>
          </cell>
          <cell r="N968">
            <v>1.9032921810699589E-2</v>
          </cell>
          <cell r="O968">
            <v>0</v>
          </cell>
          <cell r="P968">
            <v>9062500</v>
          </cell>
          <cell r="Q968">
            <v>114750000</v>
          </cell>
          <cell r="R968">
            <v>-180</v>
          </cell>
          <cell r="U968" t="str">
            <v>PENDIENTE</v>
          </cell>
        </row>
        <row r="969">
          <cell r="A969" t="str">
            <v>20255</v>
          </cell>
          <cell r="B969" t="str">
            <v>DAVIVIENDA</v>
          </cell>
          <cell r="C969" t="str">
            <v>LAMAR OPTICAL S.A.S</v>
          </cell>
          <cell r="D969" t="str">
            <v>7104046002628157</v>
          </cell>
          <cell r="E969">
            <v>45778</v>
          </cell>
          <cell r="F969">
            <v>20</v>
          </cell>
          <cell r="G969">
            <v>16</v>
          </cell>
          <cell r="H969">
            <v>6750000</v>
          </cell>
          <cell r="I969">
            <v>2184027.777777778</v>
          </cell>
          <cell r="J969">
            <v>0</v>
          </cell>
          <cell r="K969">
            <v>0</v>
          </cell>
          <cell r="L969">
            <v>0</v>
          </cell>
          <cell r="M969">
            <v>1.9032921810699589E-2</v>
          </cell>
          <cell r="N969">
            <v>1.9032921810699589E-2</v>
          </cell>
          <cell r="O969">
            <v>0</v>
          </cell>
          <cell r="P969">
            <v>8934027.777777778</v>
          </cell>
          <cell r="Q969">
            <v>108000000</v>
          </cell>
          <cell r="R969">
            <v>-211</v>
          </cell>
          <cell r="U969" t="str">
            <v>PENDIENTE</v>
          </cell>
        </row>
        <row r="970">
          <cell r="A970" t="str">
            <v>20256</v>
          </cell>
          <cell r="B970" t="str">
            <v>DAVIVIENDA</v>
          </cell>
          <cell r="C970" t="str">
            <v>LAMAR OPTICAL S.A.S</v>
          </cell>
          <cell r="D970" t="str">
            <v>7104046002628157</v>
          </cell>
          <cell r="E970">
            <v>45809</v>
          </cell>
          <cell r="F970">
            <v>21</v>
          </cell>
          <cell r="G970">
            <v>15</v>
          </cell>
          <cell r="H970">
            <v>6750000</v>
          </cell>
          <cell r="I970">
            <v>2055555.5555555555</v>
          </cell>
          <cell r="J970">
            <v>0</v>
          </cell>
          <cell r="K970">
            <v>0</v>
          </cell>
          <cell r="L970">
            <v>0</v>
          </cell>
          <cell r="M970">
            <v>1.9032921810699589E-2</v>
          </cell>
          <cell r="N970">
            <v>1.9032921810699589E-2</v>
          </cell>
          <cell r="O970">
            <v>0</v>
          </cell>
          <cell r="P970">
            <v>8805555.555555556</v>
          </cell>
          <cell r="Q970">
            <v>101250000</v>
          </cell>
          <cell r="R970">
            <v>-241</v>
          </cell>
          <cell r="U970" t="str">
            <v>PENDIENTE</v>
          </cell>
        </row>
        <row r="971">
          <cell r="A971" t="str">
            <v>20257</v>
          </cell>
          <cell r="B971" t="str">
            <v>DAVIVIENDA</v>
          </cell>
          <cell r="C971" t="str">
            <v>LAMAR OPTICAL S.A.S</v>
          </cell>
          <cell r="D971" t="str">
            <v>7104046002628157</v>
          </cell>
          <cell r="E971">
            <v>45839</v>
          </cell>
          <cell r="F971">
            <v>22</v>
          </cell>
          <cell r="G971">
            <v>14</v>
          </cell>
          <cell r="H971">
            <v>6750000</v>
          </cell>
          <cell r="I971">
            <v>1927083.3333333333</v>
          </cell>
          <cell r="J971">
            <v>0</v>
          </cell>
          <cell r="K971">
            <v>0</v>
          </cell>
          <cell r="L971">
            <v>0</v>
          </cell>
          <cell r="M971">
            <v>1.9032921810699589E-2</v>
          </cell>
          <cell r="N971">
            <v>1.9032921810699589E-2</v>
          </cell>
          <cell r="O971">
            <v>0</v>
          </cell>
          <cell r="P971">
            <v>8677083.333333334</v>
          </cell>
          <cell r="Q971">
            <v>94500000</v>
          </cell>
          <cell r="R971">
            <v>-272</v>
          </cell>
          <cell r="U971" t="str">
            <v>PENDIENTE</v>
          </cell>
        </row>
        <row r="972">
          <cell r="A972" t="str">
            <v>20258</v>
          </cell>
          <cell r="B972" t="str">
            <v>DAVIVIENDA</v>
          </cell>
          <cell r="C972" t="str">
            <v>LAMAR OPTICAL S.A.S</v>
          </cell>
          <cell r="D972" t="str">
            <v>7104046002628157</v>
          </cell>
          <cell r="E972">
            <v>45870</v>
          </cell>
          <cell r="F972">
            <v>23</v>
          </cell>
          <cell r="G972">
            <v>13</v>
          </cell>
          <cell r="H972">
            <v>6750000</v>
          </cell>
          <cell r="I972">
            <v>1798611.111111111</v>
          </cell>
          <cell r="J972">
            <v>0</v>
          </cell>
          <cell r="K972">
            <v>0</v>
          </cell>
          <cell r="L972">
            <v>0</v>
          </cell>
          <cell r="M972">
            <v>1.9032921810699589E-2</v>
          </cell>
          <cell r="N972">
            <v>1.9032921810699589E-2</v>
          </cell>
          <cell r="O972">
            <v>0</v>
          </cell>
          <cell r="P972">
            <v>8548611.1111111119</v>
          </cell>
          <cell r="Q972">
            <v>87750000</v>
          </cell>
          <cell r="R972">
            <v>-302</v>
          </cell>
          <cell r="U972" t="str">
            <v>PENDIENTE</v>
          </cell>
        </row>
        <row r="973">
          <cell r="A973" t="str">
            <v>20259</v>
          </cell>
          <cell r="B973" t="str">
            <v>DAVIVIENDA</v>
          </cell>
          <cell r="C973" t="str">
            <v>LAMAR OPTICAL S.A.S</v>
          </cell>
          <cell r="D973" t="str">
            <v>7104046002628157</v>
          </cell>
          <cell r="E973">
            <v>45901</v>
          </cell>
          <cell r="F973">
            <v>24</v>
          </cell>
          <cell r="G973">
            <v>12</v>
          </cell>
          <cell r="H973">
            <v>6750000</v>
          </cell>
          <cell r="I973">
            <v>1670138.888888889</v>
          </cell>
          <cell r="J973">
            <v>0</v>
          </cell>
          <cell r="K973">
            <v>0</v>
          </cell>
          <cell r="L973">
            <v>0</v>
          </cell>
          <cell r="M973">
            <v>1.9032921810699589E-2</v>
          </cell>
          <cell r="N973">
            <v>1.9032921810699589E-2</v>
          </cell>
          <cell r="O973">
            <v>0</v>
          </cell>
          <cell r="P973">
            <v>8420138.8888888881</v>
          </cell>
          <cell r="Q973">
            <v>81000000</v>
          </cell>
          <cell r="R973">
            <v>-333</v>
          </cell>
          <cell r="U973" t="str">
            <v>PENDIENTE</v>
          </cell>
        </row>
        <row r="974">
          <cell r="A974" t="str">
            <v>202510</v>
          </cell>
          <cell r="B974" t="str">
            <v>DAVIVIENDA</v>
          </cell>
          <cell r="C974" t="str">
            <v>LAMAR OPTICAL S.A.S</v>
          </cell>
          <cell r="D974" t="str">
            <v>7104046002628157</v>
          </cell>
          <cell r="E974">
            <v>45931</v>
          </cell>
          <cell r="F974">
            <v>25</v>
          </cell>
          <cell r="G974">
            <v>11</v>
          </cell>
          <cell r="H974">
            <v>6750000</v>
          </cell>
          <cell r="I974">
            <v>1541666.6666666667</v>
          </cell>
          <cell r="J974">
            <v>0</v>
          </cell>
          <cell r="K974">
            <v>0</v>
          </cell>
          <cell r="L974">
            <v>0</v>
          </cell>
          <cell r="M974">
            <v>1.9032921810699589E-2</v>
          </cell>
          <cell r="N974">
            <v>1.9032921810699589E-2</v>
          </cell>
          <cell r="O974">
            <v>0</v>
          </cell>
          <cell r="P974">
            <v>8291666.666666667</v>
          </cell>
          <cell r="Q974">
            <v>74250000</v>
          </cell>
          <cell r="R974">
            <v>-364</v>
          </cell>
          <cell r="U974" t="str">
            <v>PENDIENTE</v>
          </cell>
        </row>
        <row r="975">
          <cell r="A975" t="str">
            <v>202511</v>
          </cell>
          <cell r="B975" t="str">
            <v>DAVIVIENDA</v>
          </cell>
          <cell r="C975" t="str">
            <v>LAMAR OPTICAL S.A.S</v>
          </cell>
          <cell r="D975" t="str">
            <v>7104046002628157</v>
          </cell>
          <cell r="E975">
            <v>45962</v>
          </cell>
          <cell r="F975">
            <v>26</v>
          </cell>
          <cell r="G975">
            <v>10</v>
          </cell>
          <cell r="H975">
            <v>6750000</v>
          </cell>
          <cell r="I975">
            <v>1413194.4444444445</v>
          </cell>
          <cell r="J975">
            <v>0</v>
          </cell>
          <cell r="K975">
            <v>0</v>
          </cell>
          <cell r="L975">
            <v>0</v>
          </cell>
          <cell r="M975">
            <v>1.9032921810699589E-2</v>
          </cell>
          <cell r="N975">
            <v>1.9032921810699589E-2</v>
          </cell>
          <cell r="O975">
            <v>0</v>
          </cell>
          <cell r="P975">
            <v>8163194.444444444</v>
          </cell>
          <cell r="Q975">
            <v>67500000</v>
          </cell>
          <cell r="R975">
            <v>-394</v>
          </cell>
          <cell r="U975" t="str">
            <v>PENDIENTE</v>
          </cell>
        </row>
        <row r="976">
          <cell r="A976" t="str">
            <v>202512</v>
          </cell>
          <cell r="B976" t="str">
            <v>DAVIVIENDA</v>
          </cell>
          <cell r="C976" t="str">
            <v>LAMAR OPTICAL S.A.S</v>
          </cell>
          <cell r="D976" t="str">
            <v>7104046002628157</v>
          </cell>
          <cell r="E976">
            <v>45992</v>
          </cell>
          <cell r="F976">
            <v>27</v>
          </cell>
          <cell r="G976">
            <v>9</v>
          </cell>
          <cell r="H976">
            <v>6750000</v>
          </cell>
          <cell r="I976">
            <v>1284722.2222222222</v>
          </cell>
          <cell r="J976">
            <v>0</v>
          </cell>
          <cell r="K976">
            <v>0</v>
          </cell>
          <cell r="L976">
            <v>0</v>
          </cell>
          <cell r="M976">
            <v>1.9032921810699589E-2</v>
          </cell>
          <cell r="N976">
            <v>1.9032921810699589E-2</v>
          </cell>
          <cell r="O976">
            <v>0</v>
          </cell>
          <cell r="P976">
            <v>8034722.222222222</v>
          </cell>
          <cell r="Q976">
            <v>60750000</v>
          </cell>
          <cell r="R976">
            <v>-425</v>
          </cell>
          <cell r="U976" t="str">
            <v>PENDIENTE</v>
          </cell>
        </row>
        <row r="977">
          <cell r="A977" t="str">
            <v>20261</v>
          </cell>
          <cell r="B977" t="str">
            <v>DAVIVIENDA</v>
          </cell>
          <cell r="C977" t="str">
            <v>LAMAR OPTICAL S.A.S</v>
          </cell>
          <cell r="D977" t="str">
            <v>7104046002628157</v>
          </cell>
          <cell r="E977">
            <v>46023</v>
          </cell>
          <cell r="F977">
            <v>28</v>
          </cell>
          <cell r="G977">
            <v>8</v>
          </cell>
          <cell r="H977">
            <v>6750000</v>
          </cell>
          <cell r="I977">
            <v>1156250</v>
          </cell>
          <cell r="J977">
            <v>0</v>
          </cell>
          <cell r="K977">
            <v>0</v>
          </cell>
          <cell r="L977">
            <v>0</v>
          </cell>
          <cell r="M977">
            <v>1.9032921810699589E-2</v>
          </cell>
          <cell r="N977">
            <v>1.9032921810699589E-2</v>
          </cell>
          <cell r="O977">
            <v>0</v>
          </cell>
          <cell r="P977">
            <v>7906250</v>
          </cell>
          <cell r="Q977">
            <v>54000000</v>
          </cell>
          <cell r="R977">
            <v>-455</v>
          </cell>
          <cell r="U977" t="str">
            <v>PENDIENTE</v>
          </cell>
        </row>
        <row r="978">
          <cell r="A978" t="str">
            <v>20262</v>
          </cell>
          <cell r="B978" t="str">
            <v>DAVIVIENDA</v>
          </cell>
          <cell r="C978" t="str">
            <v>LAMAR OPTICAL S.A.S</v>
          </cell>
          <cell r="D978" t="str">
            <v>7104046002628157</v>
          </cell>
          <cell r="E978">
            <v>46054</v>
          </cell>
          <cell r="F978">
            <v>29</v>
          </cell>
          <cell r="G978">
            <v>7</v>
          </cell>
          <cell r="H978">
            <v>6750000</v>
          </cell>
          <cell r="I978">
            <v>1027777.7777777778</v>
          </cell>
          <cell r="J978">
            <v>0</v>
          </cell>
          <cell r="K978">
            <v>0</v>
          </cell>
          <cell r="L978">
            <v>0</v>
          </cell>
          <cell r="M978">
            <v>1.9032921810699589E-2</v>
          </cell>
          <cell r="N978">
            <v>1.9032921810699589E-2</v>
          </cell>
          <cell r="O978">
            <v>0</v>
          </cell>
          <cell r="P978">
            <v>7777777.777777778</v>
          </cell>
          <cell r="Q978">
            <v>47250000</v>
          </cell>
          <cell r="R978">
            <v>-486</v>
          </cell>
          <cell r="U978" t="str">
            <v>PENDIENTE</v>
          </cell>
        </row>
        <row r="979">
          <cell r="A979" t="str">
            <v>20263</v>
          </cell>
          <cell r="B979" t="str">
            <v>DAVIVIENDA</v>
          </cell>
          <cell r="C979" t="str">
            <v>LAMAR OPTICAL S.A.S</v>
          </cell>
          <cell r="D979" t="str">
            <v>7104046002628157</v>
          </cell>
          <cell r="E979">
            <v>46082</v>
          </cell>
          <cell r="F979">
            <v>30</v>
          </cell>
          <cell r="G979">
            <v>6</v>
          </cell>
          <cell r="H979">
            <v>6750000</v>
          </cell>
          <cell r="I979">
            <v>899305.5555555555</v>
          </cell>
          <cell r="J979">
            <v>0</v>
          </cell>
          <cell r="K979">
            <v>0</v>
          </cell>
          <cell r="L979">
            <v>0</v>
          </cell>
          <cell r="M979">
            <v>1.9032921810699589E-2</v>
          </cell>
          <cell r="N979">
            <v>1.9032921810699589E-2</v>
          </cell>
          <cell r="O979">
            <v>0</v>
          </cell>
          <cell r="P979">
            <v>7649305.555555556</v>
          </cell>
          <cell r="Q979">
            <v>40500000</v>
          </cell>
          <cell r="R979">
            <v>-517</v>
          </cell>
          <cell r="U979" t="str">
            <v>PENDIENTE</v>
          </cell>
        </row>
        <row r="980">
          <cell r="A980" t="str">
            <v>20264</v>
          </cell>
          <cell r="B980" t="str">
            <v>DAVIVIENDA</v>
          </cell>
          <cell r="C980" t="str">
            <v>LAMAR OPTICAL S.A.S</v>
          </cell>
          <cell r="D980" t="str">
            <v>7104046002628157</v>
          </cell>
          <cell r="E980">
            <v>46113</v>
          </cell>
          <cell r="F980">
            <v>31</v>
          </cell>
          <cell r="G980">
            <v>5</v>
          </cell>
          <cell r="H980">
            <v>6750000</v>
          </cell>
          <cell r="I980">
            <v>770833.33333333337</v>
          </cell>
          <cell r="J980">
            <v>0</v>
          </cell>
          <cell r="K980">
            <v>0</v>
          </cell>
          <cell r="L980">
            <v>0</v>
          </cell>
          <cell r="M980">
            <v>1.9032921810699589E-2</v>
          </cell>
          <cell r="N980">
            <v>1.9032921810699589E-2</v>
          </cell>
          <cell r="O980">
            <v>0</v>
          </cell>
          <cell r="P980">
            <v>7520833.333333333</v>
          </cell>
          <cell r="Q980">
            <v>33750000</v>
          </cell>
          <cell r="R980">
            <v>-545</v>
          </cell>
          <cell r="U980" t="str">
            <v>PENDIENTE</v>
          </cell>
        </row>
        <row r="981">
          <cell r="A981" t="str">
            <v>20265</v>
          </cell>
          <cell r="B981" t="str">
            <v>DAVIVIENDA</v>
          </cell>
          <cell r="C981" t="str">
            <v>LAMAR OPTICAL S.A.S</v>
          </cell>
          <cell r="D981" t="str">
            <v>7104046002628157</v>
          </cell>
          <cell r="E981">
            <v>46143</v>
          </cell>
          <cell r="F981">
            <v>32</v>
          </cell>
          <cell r="G981">
            <v>4</v>
          </cell>
          <cell r="H981">
            <v>6750000</v>
          </cell>
          <cell r="I981">
            <v>642361.11111111112</v>
          </cell>
          <cell r="J981">
            <v>0</v>
          </cell>
          <cell r="K981">
            <v>0</v>
          </cell>
          <cell r="L981">
            <v>0</v>
          </cell>
          <cell r="M981">
            <v>1.9032921810699589E-2</v>
          </cell>
          <cell r="N981">
            <v>1.9032921810699589E-2</v>
          </cell>
          <cell r="O981">
            <v>0</v>
          </cell>
          <cell r="P981">
            <v>7392361.111111111</v>
          </cell>
          <cell r="Q981">
            <v>27000000</v>
          </cell>
          <cell r="R981">
            <v>-576</v>
          </cell>
          <cell r="U981" t="str">
            <v>PENDIENTE</v>
          </cell>
        </row>
        <row r="982">
          <cell r="A982" t="str">
            <v>20266</v>
          </cell>
          <cell r="B982" t="str">
            <v>DAVIVIENDA</v>
          </cell>
          <cell r="C982" t="str">
            <v>LAMAR OPTICAL S.A.S</v>
          </cell>
          <cell r="D982" t="str">
            <v>7104046002628157</v>
          </cell>
          <cell r="E982">
            <v>46174</v>
          </cell>
          <cell r="F982">
            <v>33</v>
          </cell>
          <cell r="G982">
            <v>3</v>
          </cell>
          <cell r="H982">
            <v>6750000</v>
          </cell>
          <cell r="I982">
            <v>513888.88888888888</v>
          </cell>
          <cell r="J982">
            <v>0</v>
          </cell>
          <cell r="K982">
            <v>0</v>
          </cell>
          <cell r="L982">
            <v>0</v>
          </cell>
          <cell r="M982">
            <v>1.9032921810699589E-2</v>
          </cell>
          <cell r="N982">
            <v>1.9032921810699589E-2</v>
          </cell>
          <cell r="O982">
            <v>0</v>
          </cell>
          <cell r="P982">
            <v>7263888.888888889</v>
          </cell>
          <cell r="Q982">
            <v>20250000</v>
          </cell>
          <cell r="R982">
            <v>-606</v>
          </cell>
          <cell r="U982" t="str">
            <v>PENDIENTE</v>
          </cell>
        </row>
        <row r="983">
          <cell r="A983" t="str">
            <v>20267</v>
          </cell>
          <cell r="B983" t="str">
            <v>DAVIVIENDA</v>
          </cell>
          <cell r="C983" t="str">
            <v>LAMAR OPTICAL S.A.S</v>
          </cell>
          <cell r="D983" t="str">
            <v>7104046002628157</v>
          </cell>
          <cell r="E983">
            <v>46204</v>
          </cell>
          <cell r="F983">
            <v>34</v>
          </cell>
          <cell r="G983">
            <v>2</v>
          </cell>
          <cell r="H983">
            <v>6750000</v>
          </cell>
          <cell r="I983">
            <v>385416.66666666669</v>
          </cell>
          <cell r="J983">
            <v>0</v>
          </cell>
          <cell r="K983">
            <v>0</v>
          </cell>
          <cell r="L983">
            <v>0</v>
          </cell>
          <cell r="M983">
            <v>1.9032921810699589E-2</v>
          </cell>
          <cell r="N983">
            <v>1.9032921810699589E-2</v>
          </cell>
          <cell r="O983">
            <v>0</v>
          </cell>
          <cell r="P983">
            <v>7135416.666666667</v>
          </cell>
          <cell r="Q983">
            <v>13500000</v>
          </cell>
          <cell r="R983">
            <v>-637</v>
          </cell>
          <cell r="U983" t="str">
            <v>PENDIENTE</v>
          </cell>
        </row>
        <row r="984">
          <cell r="A984" t="str">
            <v>20268</v>
          </cell>
          <cell r="B984" t="str">
            <v>DAVIVIENDA</v>
          </cell>
          <cell r="C984" t="str">
            <v>LAMAR OPTICAL S.A.S</v>
          </cell>
          <cell r="D984" t="str">
            <v>7104046002628157</v>
          </cell>
          <cell r="E984">
            <v>46235</v>
          </cell>
          <cell r="F984">
            <v>35</v>
          </cell>
          <cell r="G984">
            <v>1</v>
          </cell>
          <cell r="H984">
            <v>6750000</v>
          </cell>
          <cell r="I984">
            <v>256944.44444444444</v>
          </cell>
          <cell r="J984">
            <v>0</v>
          </cell>
          <cell r="K984">
            <v>0</v>
          </cell>
          <cell r="L984">
            <v>0</v>
          </cell>
          <cell r="M984">
            <v>1.9032921810699589E-2</v>
          </cell>
          <cell r="N984">
            <v>1.9032921810699589E-2</v>
          </cell>
          <cell r="O984">
            <v>0</v>
          </cell>
          <cell r="P984">
            <v>7006944.444444444</v>
          </cell>
          <cell r="Q984">
            <v>6750000</v>
          </cell>
          <cell r="R984">
            <v>-667</v>
          </cell>
          <cell r="U984" t="str">
            <v>PENDIENTE</v>
          </cell>
        </row>
        <row r="985">
          <cell r="A985" t="str">
            <v>20269</v>
          </cell>
          <cell r="B985" t="str">
            <v>DAVIVIENDA</v>
          </cell>
          <cell r="C985" t="str">
            <v>LAMAR OPTICAL S.A.S</v>
          </cell>
          <cell r="D985" t="str">
            <v>7104046002628157</v>
          </cell>
          <cell r="E985">
            <v>46266</v>
          </cell>
          <cell r="F985">
            <v>36</v>
          </cell>
          <cell r="G985">
            <v>0</v>
          </cell>
          <cell r="H985">
            <v>6750000</v>
          </cell>
          <cell r="I985">
            <v>128472.22222222222</v>
          </cell>
          <cell r="J985">
            <v>0</v>
          </cell>
          <cell r="K985">
            <v>0</v>
          </cell>
          <cell r="L985">
            <v>0</v>
          </cell>
          <cell r="M985">
            <v>1.9032921810699589E-2</v>
          </cell>
          <cell r="N985">
            <v>1.9032921810699589E-2</v>
          </cell>
          <cell r="O985">
            <v>0</v>
          </cell>
          <cell r="P985">
            <v>6878472.222222222</v>
          </cell>
          <cell r="Q985">
            <v>0</v>
          </cell>
          <cell r="R985">
            <v>-698</v>
          </cell>
          <cell r="U985" t="str">
            <v>PENDIENTE</v>
          </cell>
        </row>
        <row r="986">
          <cell r="A986" t="str">
            <v>20238</v>
          </cell>
          <cell r="B986" t="str">
            <v>DAVIVIENDA</v>
          </cell>
          <cell r="C986" t="str">
            <v>INVERSIONES RUEDA S.A.S</v>
          </cell>
          <cell r="D986" t="str">
            <v>7104046002627555</v>
          </cell>
          <cell r="E986">
            <v>45168</v>
          </cell>
          <cell r="F986">
            <v>0</v>
          </cell>
          <cell r="G986">
            <v>36</v>
          </cell>
          <cell r="H986">
            <v>0</v>
          </cell>
          <cell r="I986">
            <v>0</v>
          </cell>
          <cell r="J986">
            <v>0</v>
          </cell>
          <cell r="K986">
            <v>0</v>
          </cell>
          <cell r="L986">
            <v>0</v>
          </cell>
          <cell r="M986">
            <v>0</v>
          </cell>
          <cell r="N986">
            <v>0</v>
          </cell>
          <cell r="O986">
            <v>0</v>
          </cell>
          <cell r="P986">
            <v>0</v>
          </cell>
          <cell r="Q986">
            <v>103000000</v>
          </cell>
          <cell r="R986" t="str">
            <v>OK</v>
          </cell>
          <cell r="S986">
            <v>0</v>
          </cell>
          <cell r="T986">
            <v>45168</v>
          </cell>
          <cell r="U986" t="str">
            <v>PAGADO</v>
          </cell>
        </row>
        <row r="987">
          <cell r="A987" t="str">
            <v>20239</v>
          </cell>
          <cell r="B987" t="str">
            <v>DAVIVIENDA</v>
          </cell>
          <cell r="C987" t="str">
            <v>INVERSIONES RUEDA S.A.S</v>
          </cell>
          <cell r="D987" t="str">
            <v>7104046002627555</v>
          </cell>
          <cell r="E987">
            <v>45199</v>
          </cell>
          <cell r="F987">
            <v>1</v>
          </cell>
          <cell r="G987">
            <v>35</v>
          </cell>
          <cell r="H987">
            <v>2861111.11</v>
          </cell>
          <cell r="I987">
            <v>2403923.79</v>
          </cell>
          <cell r="J987">
            <v>0</v>
          </cell>
          <cell r="K987">
            <v>0</v>
          </cell>
          <cell r="L987">
            <v>0</v>
          </cell>
          <cell r="M987">
            <v>2.3339065922330097E-2</v>
          </cell>
          <cell r="N987">
            <v>2.3339065922330097E-2</v>
          </cell>
          <cell r="O987">
            <v>0</v>
          </cell>
          <cell r="P987">
            <v>5265034.9000000004</v>
          </cell>
          <cell r="Q987">
            <v>100138888.89</v>
          </cell>
          <cell r="R987" t="str">
            <v>OK</v>
          </cell>
          <cell r="S987">
            <v>5447443</v>
          </cell>
          <cell r="T987">
            <v>45208</v>
          </cell>
          <cell r="U987" t="str">
            <v>PAGADO</v>
          </cell>
        </row>
        <row r="988">
          <cell r="A988" t="str">
            <v>202310</v>
          </cell>
          <cell r="B988" t="str">
            <v>DAVIVIENDA</v>
          </cell>
          <cell r="C988" t="str">
            <v>INVERSIONES RUEDA S.A.S</v>
          </cell>
          <cell r="D988" t="str">
            <v>7104046002627555</v>
          </cell>
          <cell r="E988">
            <v>45229</v>
          </cell>
          <cell r="F988">
            <v>2</v>
          </cell>
          <cell r="G988">
            <v>34</v>
          </cell>
          <cell r="H988">
            <v>2861111.11</v>
          </cell>
          <cell r="I988">
            <v>2337148.1291925991</v>
          </cell>
          <cell r="J988">
            <v>0</v>
          </cell>
          <cell r="K988">
            <v>0</v>
          </cell>
          <cell r="L988">
            <v>0</v>
          </cell>
          <cell r="M988">
            <v>2.3339065922330097E-2</v>
          </cell>
          <cell r="N988">
            <v>2.3339065922330097E-2</v>
          </cell>
          <cell r="O988">
            <v>0</v>
          </cell>
          <cell r="P988">
            <v>5198259.2391925994</v>
          </cell>
          <cell r="Q988">
            <v>97277777.780000001</v>
          </cell>
          <cell r="R988" t="str">
            <v>OK</v>
          </cell>
          <cell r="S988">
            <v>5206587</v>
          </cell>
          <cell r="T988">
            <v>45250</v>
          </cell>
          <cell r="U988" t="str">
            <v>PAGADO</v>
          </cell>
        </row>
        <row r="989">
          <cell r="A989" t="str">
            <v>202311</v>
          </cell>
          <cell r="B989" t="str">
            <v>DAVIVIENDA</v>
          </cell>
          <cell r="C989" t="str">
            <v>INVERSIONES RUEDA S.A.S</v>
          </cell>
          <cell r="D989" t="str">
            <v>7104046002627555</v>
          </cell>
          <cell r="E989">
            <v>45260</v>
          </cell>
          <cell r="F989">
            <v>3</v>
          </cell>
          <cell r="G989">
            <v>33</v>
          </cell>
          <cell r="H989">
            <v>2861111.11</v>
          </cell>
          <cell r="I989">
            <v>2270372.4683851982</v>
          </cell>
          <cell r="J989">
            <v>0</v>
          </cell>
          <cell r="K989">
            <v>0</v>
          </cell>
          <cell r="L989">
            <v>0</v>
          </cell>
          <cell r="M989">
            <v>2.3339065922330097E-2</v>
          </cell>
          <cell r="N989">
            <v>2.33390659223301E-2</v>
          </cell>
          <cell r="O989">
            <v>2.2204460492503131E-16</v>
          </cell>
          <cell r="P989">
            <v>5131483.5783851985</v>
          </cell>
          <cell r="Q989">
            <v>94416666.670000002</v>
          </cell>
          <cell r="R989" t="str">
            <v>OK</v>
          </cell>
          <cell r="S989">
            <v>5470092.5800000001</v>
          </cell>
          <cell r="T989">
            <v>45275</v>
          </cell>
          <cell r="U989" t="str">
            <v>PAGADO</v>
          </cell>
        </row>
        <row r="990">
          <cell r="A990" t="str">
            <v>202312</v>
          </cell>
          <cell r="B990" t="str">
            <v>DAVIVIENDA</v>
          </cell>
          <cell r="C990" t="str">
            <v>INVERSIONES RUEDA S.A.S</v>
          </cell>
          <cell r="D990" t="str">
            <v>7104046002627555</v>
          </cell>
          <cell r="E990">
            <v>45290</v>
          </cell>
          <cell r="F990">
            <v>4</v>
          </cell>
          <cell r="G990">
            <v>32</v>
          </cell>
          <cell r="H990">
            <v>2861111.11</v>
          </cell>
          <cell r="I990">
            <v>2203596.8075777967</v>
          </cell>
          <cell r="J990">
            <v>0</v>
          </cell>
          <cell r="K990">
            <v>0</v>
          </cell>
          <cell r="L990">
            <v>0</v>
          </cell>
          <cell r="M990">
            <v>2.3339065922330097E-2</v>
          </cell>
          <cell r="N990">
            <v>2.3339065922330097E-2</v>
          </cell>
          <cell r="O990">
            <v>0</v>
          </cell>
          <cell r="P990">
            <v>5064707.9175777966</v>
          </cell>
          <cell r="Q990">
            <v>91555555.560000002</v>
          </cell>
          <cell r="R990" t="str">
            <v>OK</v>
          </cell>
          <cell r="S990">
            <v>5190699</v>
          </cell>
          <cell r="T990">
            <v>45320</v>
          </cell>
          <cell r="U990" t="str">
            <v>PAGADO</v>
          </cell>
        </row>
        <row r="991">
          <cell r="A991" t="str">
            <v>20241</v>
          </cell>
          <cell r="B991" t="str">
            <v>DAVIVIENDA</v>
          </cell>
          <cell r="C991" t="str">
            <v>INVERSIONES RUEDA S.A.S</v>
          </cell>
          <cell r="D991" t="str">
            <v>7104046002627555</v>
          </cell>
          <cell r="E991">
            <v>45321</v>
          </cell>
          <cell r="F991">
            <v>5</v>
          </cell>
          <cell r="G991">
            <v>31</v>
          </cell>
          <cell r="H991">
            <v>2861111.11</v>
          </cell>
          <cell r="I991">
            <v>2252888.89</v>
          </cell>
          <cell r="J991">
            <v>0</v>
          </cell>
          <cell r="K991">
            <v>0</v>
          </cell>
          <cell r="L991">
            <v>0</v>
          </cell>
          <cell r="M991">
            <v>2.3339065922330097E-2</v>
          </cell>
          <cell r="N991">
            <v>2.4606796127446273E-2</v>
          </cell>
          <cell r="O991">
            <v>5.4317949541555999E-2</v>
          </cell>
          <cell r="P991">
            <v>5114000</v>
          </cell>
          <cell r="Q991">
            <v>88694444.450000003</v>
          </cell>
          <cell r="R991" t="str">
            <v>OK</v>
          </cell>
          <cell r="S991">
            <v>4895833</v>
          </cell>
          <cell r="T991">
            <v>45341</v>
          </cell>
          <cell r="U991" t="str">
            <v>PAGADO</v>
          </cell>
        </row>
        <row r="992">
          <cell r="A992" t="str">
            <v>20242</v>
          </cell>
          <cell r="B992" t="str">
            <v>DAVIVIENDA</v>
          </cell>
          <cell r="C992" t="str">
            <v>INVERSIONES RUEDA S.A.S</v>
          </cell>
          <cell r="D992" t="str">
            <v>7104046002627555</v>
          </cell>
          <cell r="E992">
            <v>45351</v>
          </cell>
          <cell r="F992">
            <v>6</v>
          </cell>
          <cell r="G992">
            <v>30</v>
          </cell>
          <cell r="H992">
            <v>2861111.11</v>
          </cell>
          <cell r="I992">
            <v>2070045.4859629949</v>
          </cell>
          <cell r="J992">
            <v>0</v>
          </cell>
          <cell r="K992">
            <v>0</v>
          </cell>
          <cell r="L992">
            <v>218167</v>
          </cell>
          <cell r="M992">
            <v>2.3339065922330097E-2</v>
          </cell>
          <cell r="N992">
            <v>2.3339065922330097E-2</v>
          </cell>
          <cell r="O992">
            <v>0</v>
          </cell>
          <cell r="P992">
            <v>5149323.5959629947</v>
          </cell>
          <cell r="Q992">
            <v>85833333.340000004</v>
          </cell>
          <cell r="R992" t="str">
            <v>OK</v>
          </cell>
          <cell r="S992">
            <v>4953417.8499999996</v>
          </cell>
          <cell r="T992">
            <v>45377</v>
          </cell>
          <cell r="U992" t="str">
            <v>PAGADO</v>
          </cell>
        </row>
        <row r="993">
          <cell r="A993" t="str">
            <v>20243</v>
          </cell>
          <cell r="B993" t="str">
            <v>DAVIVIENDA</v>
          </cell>
          <cell r="C993" t="str">
            <v>INVERSIONES RUEDA S.A.S</v>
          </cell>
          <cell r="D993" t="str">
            <v>7104046002627555</v>
          </cell>
          <cell r="E993">
            <v>45381</v>
          </cell>
          <cell r="F993">
            <v>7</v>
          </cell>
          <cell r="G993">
            <v>29</v>
          </cell>
          <cell r="H993">
            <v>2861111.11</v>
          </cell>
          <cell r="I993">
            <v>2003269.8251555939</v>
          </cell>
          <cell r="J993">
            <v>0</v>
          </cell>
          <cell r="K993">
            <v>0</v>
          </cell>
          <cell r="L993">
            <v>195905.7459629951</v>
          </cell>
          <cell r="M993">
            <v>2.3339065922330097E-2</v>
          </cell>
          <cell r="N993">
            <v>2.3339065922330097E-2</v>
          </cell>
          <cell r="O993">
            <v>0</v>
          </cell>
          <cell r="P993">
            <v>5060286.6811185889</v>
          </cell>
          <cell r="Q993">
            <v>82972222.230000004</v>
          </cell>
          <cell r="R993" t="str">
            <v>OK</v>
          </cell>
          <cell r="S993">
            <v>4950000</v>
          </cell>
          <cell r="T993">
            <v>45400</v>
          </cell>
          <cell r="U993" t="str">
            <v>PAGADO</v>
          </cell>
        </row>
        <row r="994">
          <cell r="A994" t="str">
            <v>20244</v>
          </cell>
          <cell r="B994" t="str">
            <v>DAVIVIENDA</v>
          </cell>
          <cell r="C994" t="str">
            <v>INVERSIONES RUEDA S.A.S</v>
          </cell>
          <cell r="D994" t="str">
            <v>7104046002627555</v>
          </cell>
          <cell r="E994">
            <v>45412</v>
          </cell>
          <cell r="F994">
            <v>8</v>
          </cell>
          <cell r="G994">
            <v>28</v>
          </cell>
          <cell r="H994">
            <v>2861111.11</v>
          </cell>
          <cell r="I994">
            <v>1936494.1643481927</v>
          </cell>
          <cell r="J994">
            <v>0</v>
          </cell>
          <cell r="K994">
            <v>0</v>
          </cell>
          <cell r="L994">
            <v>110286.68111858889</v>
          </cell>
          <cell r="M994">
            <v>2.3339065922330097E-2</v>
          </cell>
          <cell r="N994">
            <v>2.3339065922330097E-2</v>
          </cell>
          <cell r="O994">
            <v>0</v>
          </cell>
          <cell r="P994">
            <v>4907891.9554667817</v>
          </cell>
          <cell r="Q994">
            <v>80111111.120000005</v>
          </cell>
          <cell r="R994" t="str">
            <v>OK</v>
          </cell>
          <cell r="S994">
            <v>4566635</v>
          </cell>
          <cell r="T994">
            <v>45422</v>
          </cell>
          <cell r="U994" t="str">
            <v>PAGADO</v>
          </cell>
        </row>
        <row r="995">
          <cell r="A995" t="str">
            <v>20245</v>
          </cell>
          <cell r="B995" t="str">
            <v>DAVIVIENDA</v>
          </cell>
          <cell r="C995" t="str">
            <v>INVERSIONES RUEDA S.A.S</v>
          </cell>
          <cell r="D995" t="str">
            <v>7104046002627555</v>
          </cell>
          <cell r="E995">
            <v>45442</v>
          </cell>
          <cell r="F995">
            <v>9</v>
          </cell>
          <cell r="G995">
            <v>27</v>
          </cell>
          <cell r="H995">
            <v>2861111.11</v>
          </cell>
          <cell r="I995">
            <v>1869718.5035407918</v>
          </cell>
          <cell r="J995">
            <v>0</v>
          </cell>
          <cell r="K995">
            <v>0</v>
          </cell>
          <cell r="L995">
            <v>341256.95546678174</v>
          </cell>
          <cell r="M995">
            <v>2.3339065922330097E-2</v>
          </cell>
          <cell r="N995">
            <v>2.3339065922330097E-2</v>
          </cell>
          <cell r="O995">
            <v>0</v>
          </cell>
          <cell r="P995">
            <v>5072086.5690075736</v>
          </cell>
          <cell r="Q995">
            <v>77250000.010000005</v>
          </cell>
          <cell r="R995" t="str">
            <v>OK</v>
          </cell>
          <cell r="S995">
            <v>4850000</v>
          </cell>
          <cell r="T995">
            <v>45461</v>
          </cell>
          <cell r="U995" t="str">
            <v>PAGADO</v>
          </cell>
        </row>
        <row r="996">
          <cell r="A996" t="str">
            <v>20246</v>
          </cell>
          <cell r="B996" t="str">
            <v>DAVIVIENDA</v>
          </cell>
          <cell r="C996" t="str">
            <v>INVERSIONES RUEDA S.A.S</v>
          </cell>
          <cell r="D996" t="str">
            <v>7104046002627555</v>
          </cell>
          <cell r="E996">
            <v>45473</v>
          </cell>
          <cell r="F996">
            <v>10</v>
          </cell>
          <cell r="G996">
            <v>26</v>
          </cell>
          <cell r="H996">
            <v>2861111.11</v>
          </cell>
          <cell r="I996">
            <v>1802942.8427333909</v>
          </cell>
          <cell r="J996">
            <v>0</v>
          </cell>
          <cell r="K996">
            <v>0</v>
          </cell>
          <cell r="L996">
            <v>222086.56900757365</v>
          </cell>
          <cell r="M996">
            <v>2.3339065922330097E-2</v>
          </cell>
          <cell r="N996">
            <v>2.3339065922330097E-2</v>
          </cell>
          <cell r="O996">
            <v>0</v>
          </cell>
          <cell r="P996">
            <v>4886140.5217409646</v>
          </cell>
          <cell r="Q996">
            <v>74388888.900000006</v>
          </cell>
          <cell r="R996" t="str">
            <v>OK</v>
          </cell>
          <cell r="S996">
            <v>4500000</v>
          </cell>
          <cell r="T996">
            <v>45488</v>
          </cell>
          <cell r="U996" t="str">
            <v>PAGADO</v>
          </cell>
        </row>
        <row r="997">
          <cell r="A997" t="str">
            <v>20247</v>
          </cell>
          <cell r="B997" t="str">
            <v>DAVIVIENDA</v>
          </cell>
          <cell r="C997" t="str">
            <v>INVERSIONES RUEDA S.A.S</v>
          </cell>
          <cell r="D997" t="str">
            <v>7104046002627555</v>
          </cell>
          <cell r="E997">
            <v>45503</v>
          </cell>
          <cell r="F997">
            <v>11</v>
          </cell>
          <cell r="G997">
            <v>25</v>
          </cell>
          <cell r="H997">
            <v>2861111.11</v>
          </cell>
          <cell r="I997">
            <v>1736167.1819259897</v>
          </cell>
          <cell r="J997">
            <v>0</v>
          </cell>
          <cell r="K997">
            <v>0</v>
          </cell>
          <cell r="L997">
            <v>386140.52174096461</v>
          </cell>
          <cell r="M997">
            <v>2.3339065922330097E-2</v>
          </cell>
          <cell r="N997">
            <v>2.3339065922330097E-2</v>
          </cell>
          <cell r="O997">
            <v>0</v>
          </cell>
          <cell r="P997">
            <v>4983418.8136669537</v>
          </cell>
          <cell r="Q997">
            <v>71527777.790000007</v>
          </cell>
          <cell r="R997" t="str">
            <v>OK</v>
          </cell>
          <cell r="S997">
            <v>4032000</v>
          </cell>
          <cell r="T997">
            <v>45516</v>
          </cell>
          <cell r="U997" t="str">
            <v>PAGADO</v>
          </cell>
        </row>
        <row r="998">
          <cell r="A998" t="str">
            <v>20248</v>
          </cell>
          <cell r="B998" t="str">
            <v>DAVIVIENDA</v>
          </cell>
          <cell r="C998" t="str">
            <v>INVERSIONES RUEDA S.A.S</v>
          </cell>
          <cell r="D998" t="str">
            <v>7104046002627555</v>
          </cell>
          <cell r="E998">
            <v>45534</v>
          </cell>
          <cell r="F998">
            <v>12</v>
          </cell>
          <cell r="G998">
            <v>24</v>
          </cell>
          <cell r="H998">
            <v>2861111.11</v>
          </cell>
          <cell r="I998">
            <v>1669391.5211185887</v>
          </cell>
          <cell r="J998">
            <v>0</v>
          </cell>
          <cell r="K998">
            <v>0</v>
          </cell>
          <cell r="L998">
            <v>951418.81366695371</v>
          </cell>
          <cell r="M998">
            <v>2.3339065922330097E-2</v>
          </cell>
          <cell r="N998">
            <v>2.3339065922330097E-2</v>
          </cell>
          <cell r="O998">
            <v>0</v>
          </cell>
          <cell r="P998">
            <v>5481921.4447855419</v>
          </cell>
          <cell r="Q998">
            <v>68666666.680000007</v>
          </cell>
          <cell r="R998">
            <v>3</v>
          </cell>
          <cell r="U998" t="str">
            <v>PENDIENTE</v>
          </cell>
        </row>
        <row r="999">
          <cell r="A999" t="str">
            <v>20249</v>
          </cell>
          <cell r="B999" t="str">
            <v>DAVIVIENDA</v>
          </cell>
          <cell r="C999" t="str">
            <v>INVERSIONES RUEDA S.A.S</v>
          </cell>
          <cell r="D999" t="str">
            <v>7104046002627555</v>
          </cell>
          <cell r="E999">
            <v>45565</v>
          </cell>
          <cell r="F999">
            <v>13</v>
          </cell>
          <cell r="G999">
            <v>23</v>
          </cell>
          <cell r="H999">
            <v>2861111.11</v>
          </cell>
          <cell r="I999">
            <v>1602615.8603111878</v>
          </cell>
          <cell r="J999">
            <v>0</v>
          </cell>
          <cell r="K999">
            <v>0</v>
          </cell>
          <cell r="L999">
            <v>0</v>
          </cell>
          <cell r="M999">
            <v>2.3339065922330097E-2</v>
          </cell>
          <cell r="N999">
            <v>2.3339065922330097E-2</v>
          </cell>
          <cell r="O999">
            <v>0</v>
          </cell>
          <cell r="P999">
            <v>4463726.9703111872</v>
          </cell>
          <cell r="Q999">
            <v>65805555.570000008</v>
          </cell>
          <cell r="R999">
            <v>3</v>
          </cell>
          <cell r="U999" t="str">
            <v>PENDIENTE</v>
          </cell>
        </row>
        <row r="1000">
          <cell r="A1000" t="str">
            <v>202410</v>
          </cell>
          <cell r="B1000" t="str">
            <v>DAVIVIENDA</v>
          </cell>
          <cell r="C1000" t="str">
            <v>INVERSIONES RUEDA S.A.S</v>
          </cell>
          <cell r="D1000" t="str">
            <v>7104046002627555</v>
          </cell>
          <cell r="E1000">
            <v>45595</v>
          </cell>
          <cell r="F1000">
            <v>14</v>
          </cell>
          <cell r="G1000">
            <v>22</v>
          </cell>
          <cell r="H1000">
            <v>2861111.11</v>
          </cell>
          <cell r="I1000">
            <v>1535840.1995037866</v>
          </cell>
          <cell r="J1000">
            <v>0</v>
          </cell>
          <cell r="K1000">
            <v>0</v>
          </cell>
          <cell r="L1000">
            <v>0</v>
          </cell>
          <cell r="M1000">
            <v>2.3339065922330097E-2</v>
          </cell>
          <cell r="N1000">
            <v>2.3339065922330097E-2</v>
          </cell>
          <cell r="O1000">
            <v>0</v>
          </cell>
          <cell r="P1000">
            <v>4396951.3095037863</v>
          </cell>
          <cell r="Q1000">
            <v>62944444.460000008</v>
          </cell>
          <cell r="R1000">
            <v>-28</v>
          </cell>
          <cell r="U1000" t="str">
            <v>PENDIENTE</v>
          </cell>
        </row>
        <row r="1001">
          <cell r="A1001" t="str">
            <v>202411</v>
          </cell>
          <cell r="B1001" t="str">
            <v>DAVIVIENDA</v>
          </cell>
          <cell r="C1001" t="str">
            <v>INVERSIONES RUEDA S.A.S</v>
          </cell>
          <cell r="D1001" t="str">
            <v>7104046002627555</v>
          </cell>
          <cell r="E1001">
            <v>45626</v>
          </cell>
          <cell r="F1001">
            <v>15</v>
          </cell>
          <cell r="G1001">
            <v>21</v>
          </cell>
          <cell r="H1001">
            <v>2861111.11</v>
          </cell>
          <cell r="I1001">
            <v>1469064.5386963857</v>
          </cell>
          <cell r="J1001">
            <v>0</v>
          </cell>
          <cell r="K1001">
            <v>0</v>
          </cell>
          <cell r="L1001">
            <v>0</v>
          </cell>
          <cell r="M1001">
            <v>2.3339065922330097E-2</v>
          </cell>
          <cell r="N1001">
            <v>2.3339065922330097E-2</v>
          </cell>
          <cell r="O1001">
            <v>0</v>
          </cell>
          <cell r="P1001">
            <v>4330175.6486963853</v>
          </cell>
          <cell r="Q1001">
            <v>60083333.350000009</v>
          </cell>
          <cell r="R1001">
            <v>-58</v>
          </cell>
          <cell r="U1001" t="str">
            <v>PENDIENTE</v>
          </cell>
        </row>
        <row r="1002">
          <cell r="A1002" t="str">
            <v>202412</v>
          </cell>
          <cell r="B1002" t="str">
            <v>DAVIVIENDA</v>
          </cell>
          <cell r="C1002" t="str">
            <v>INVERSIONES RUEDA S.A.S</v>
          </cell>
          <cell r="D1002" t="str">
            <v>7104046002627555</v>
          </cell>
          <cell r="E1002">
            <v>45656</v>
          </cell>
          <cell r="F1002">
            <v>16</v>
          </cell>
          <cell r="G1002">
            <v>20</v>
          </cell>
          <cell r="H1002">
            <v>2861111.11</v>
          </cell>
          <cell r="I1002">
            <v>1402288.8778889845</v>
          </cell>
          <cell r="J1002">
            <v>0</v>
          </cell>
          <cell r="K1002">
            <v>0</v>
          </cell>
          <cell r="L1002">
            <v>0</v>
          </cell>
          <cell r="M1002">
            <v>2.3339065922330097E-2</v>
          </cell>
          <cell r="N1002">
            <v>2.3339065922330093E-2</v>
          </cell>
          <cell r="O1002">
            <v>-1.1102230246251565E-16</v>
          </cell>
          <cell r="P1002">
            <v>4263399.9878889844</v>
          </cell>
          <cell r="Q1002">
            <v>57222222.24000001</v>
          </cell>
          <cell r="R1002">
            <v>-89</v>
          </cell>
          <cell r="U1002" t="str">
            <v>PENDIENTE</v>
          </cell>
        </row>
        <row r="1003">
          <cell r="A1003" t="str">
            <v>20251</v>
          </cell>
          <cell r="B1003" t="str">
            <v>DAVIVIENDA</v>
          </cell>
          <cell r="C1003" t="str">
            <v>INVERSIONES RUEDA S.A.S</v>
          </cell>
          <cell r="D1003" t="str">
            <v>7104046002627555</v>
          </cell>
          <cell r="E1003">
            <v>45687</v>
          </cell>
          <cell r="F1003">
            <v>17</v>
          </cell>
          <cell r="G1003">
            <v>19</v>
          </cell>
          <cell r="H1003">
            <v>2861111.11</v>
          </cell>
          <cell r="I1003">
            <v>1335513.2170815836</v>
          </cell>
          <cell r="J1003">
            <v>0</v>
          </cell>
          <cell r="K1003">
            <v>0</v>
          </cell>
          <cell r="L1003">
            <v>0</v>
          </cell>
          <cell r="M1003">
            <v>2.3339065922330097E-2</v>
          </cell>
          <cell r="N1003">
            <v>2.3339065922330097E-2</v>
          </cell>
          <cell r="O1003">
            <v>0</v>
          </cell>
          <cell r="P1003">
            <v>4196624.3270815834</v>
          </cell>
          <cell r="Q1003">
            <v>54361111.13000001</v>
          </cell>
          <cell r="R1003">
            <v>-119</v>
          </cell>
          <cell r="U1003" t="str">
            <v>PENDIENTE</v>
          </cell>
        </row>
        <row r="1004">
          <cell r="A1004" t="str">
            <v>20252</v>
          </cell>
          <cell r="B1004" t="str">
            <v>DAVIVIENDA</v>
          </cell>
          <cell r="C1004" t="str">
            <v>INVERSIONES RUEDA S.A.S</v>
          </cell>
          <cell r="D1004" t="str">
            <v>7104046002627555</v>
          </cell>
          <cell r="E1004">
            <v>45716</v>
          </cell>
          <cell r="F1004">
            <v>18</v>
          </cell>
          <cell r="G1004">
            <v>18</v>
          </cell>
          <cell r="H1004">
            <v>2861111.11</v>
          </cell>
          <cell r="I1004">
            <v>1268737.5562741826</v>
          </cell>
          <cell r="J1004">
            <v>0</v>
          </cell>
          <cell r="K1004">
            <v>0</v>
          </cell>
          <cell r="L1004">
            <v>0</v>
          </cell>
          <cell r="M1004">
            <v>2.3339065922330097E-2</v>
          </cell>
          <cell r="N1004">
            <v>2.3339065922330097E-2</v>
          </cell>
          <cell r="O1004">
            <v>0</v>
          </cell>
          <cell r="P1004">
            <v>4129848.6662741825</v>
          </cell>
          <cell r="Q1004">
            <v>51500000.020000011</v>
          </cell>
          <cell r="R1004">
            <v>-150</v>
          </cell>
          <cell r="U1004" t="str">
            <v>PENDIENTE</v>
          </cell>
        </row>
        <row r="1005">
          <cell r="A1005" t="str">
            <v>20253</v>
          </cell>
          <cell r="B1005" t="str">
            <v>DAVIVIENDA</v>
          </cell>
          <cell r="C1005" t="str">
            <v>INVERSIONES RUEDA S.A.S</v>
          </cell>
          <cell r="D1005" t="str">
            <v>7104046002627555</v>
          </cell>
          <cell r="E1005">
            <v>45746</v>
          </cell>
          <cell r="F1005">
            <v>19</v>
          </cell>
          <cell r="G1005">
            <v>17</v>
          </cell>
          <cell r="H1005">
            <v>2861111.11</v>
          </cell>
          <cell r="I1005">
            <v>1201961.8954667815</v>
          </cell>
          <cell r="J1005">
            <v>0</v>
          </cell>
          <cell r="K1005">
            <v>0</v>
          </cell>
          <cell r="L1005">
            <v>0</v>
          </cell>
          <cell r="M1005">
            <v>2.3339065922330097E-2</v>
          </cell>
          <cell r="N1005">
            <v>2.3339065922330093E-2</v>
          </cell>
          <cell r="O1005">
            <v>-1.1102230246251565E-16</v>
          </cell>
          <cell r="P1005">
            <v>4063073.0054667816</v>
          </cell>
          <cell r="Q1005">
            <v>48638888.910000011</v>
          </cell>
          <cell r="R1005">
            <v>-179</v>
          </cell>
          <cell r="U1005" t="str">
            <v>PENDIENTE</v>
          </cell>
        </row>
        <row r="1006">
          <cell r="A1006" t="str">
            <v>20254</v>
          </cell>
          <cell r="B1006" t="str">
            <v>DAVIVIENDA</v>
          </cell>
          <cell r="C1006" t="str">
            <v>INVERSIONES RUEDA S.A.S</v>
          </cell>
          <cell r="D1006" t="str">
            <v>7104046002627555</v>
          </cell>
          <cell r="E1006">
            <v>45777</v>
          </cell>
          <cell r="F1006">
            <v>20</v>
          </cell>
          <cell r="G1006">
            <v>16</v>
          </cell>
          <cell r="H1006">
            <v>2861111.11</v>
          </cell>
          <cell r="I1006">
            <v>1135186.2346593805</v>
          </cell>
          <cell r="J1006">
            <v>0</v>
          </cell>
          <cell r="K1006">
            <v>0</v>
          </cell>
          <cell r="L1006">
            <v>0</v>
          </cell>
          <cell r="M1006">
            <v>2.3339065922330097E-2</v>
          </cell>
          <cell r="N1006">
            <v>2.3339065922330097E-2</v>
          </cell>
          <cell r="O1006">
            <v>0</v>
          </cell>
          <cell r="P1006">
            <v>3996297.3446593806</v>
          </cell>
          <cell r="Q1006">
            <v>45777777.800000012</v>
          </cell>
          <cell r="R1006">
            <v>-209</v>
          </cell>
          <cell r="U1006" t="str">
            <v>PENDIENTE</v>
          </cell>
        </row>
        <row r="1007">
          <cell r="A1007" t="str">
            <v>20255</v>
          </cell>
          <cell r="B1007" t="str">
            <v>DAVIVIENDA</v>
          </cell>
          <cell r="C1007" t="str">
            <v>INVERSIONES RUEDA S.A.S</v>
          </cell>
          <cell r="D1007" t="str">
            <v>7104046002627555</v>
          </cell>
          <cell r="E1007">
            <v>45807</v>
          </cell>
          <cell r="F1007">
            <v>21</v>
          </cell>
          <cell r="G1007">
            <v>15</v>
          </cell>
          <cell r="H1007">
            <v>2861111.11</v>
          </cell>
          <cell r="I1007">
            <v>1068410.5738519796</v>
          </cell>
          <cell r="J1007">
            <v>0</v>
          </cell>
          <cell r="K1007">
            <v>0</v>
          </cell>
          <cell r="L1007">
            <v>0</v>
          </cell>
          <cell r="M1007">
            <v>2.3339065922330097E-2</v>
          </cell>
          <cell r="N1007">
            <v>2.3339065922330097E-2</v>
          </cell>
          <cell r="O1007">
            <v>0</v>
          </cell>
          <cell r="P1007">
            <v>3929521.6838519797</v>
          </cell>
          <cell r="Q1007">
            <v>42916666.690000013</v>
          </cell>
          <cell r="R1007">
            <v>-240</v>
          </cell>
          <cell r="U1007" t="str">
            <v>PENDIENTE</v>
          </cell>
        </row>
        <row r="1008">
          <cell r="A1008" t="str">
            <v>20256</v>
          </cell>
          <cell r="B1008" t="str">
            <v>DAVIVIENDA</v>
          </cell>
          <cell r="C1008" t="str">
            <v>INVERSIONES RUEDA S.A.S</v>
          </cell>
          <cell r="D1008" t="str">
            <v>7104046002627555</v>
          </cell>
          <cell r="E1008">
            <v>45838</v>
          </cell>
          <cell r="F1008">
            <v>22</v>
          </cell>
          <cell r="G1008">
            <v>14</v>
          </cell>
          <cell r="H1008">
            <v>2861111.11</v>
          </cell>
          <cell r="I1008">
            <v>1001634.9130445785</v>
          </cell>
          <cell r="J1008">
            <v>0</v>
          </cell>
          <cell r="K1008">
            <v>0</v>
          </cell>
          <cell r="L1008">
            <v>0</v>
          </cell>
          <cell r="M1008">
            <v>2.3339065922330097E-2</v>
          </cell>
          <cell r="N1008">
            <v>2.3339065922330097E-2</v>
          </cell>
          <cell r="O1008">
            <v>0</v>
          </cell>
          <cell r="P1008">
            <v>3862746.0230445783</v>
          </cell>
          <cell r="Q1008">
            <v>40055555.580000013</v>
          </cell>
          <cell r="R1008">
            <v>-270</v>
          </cell>
          <cell r="U1008" t="str">
            <v>PENDIENTE</v>
          </cell>
        </row>
        <row r="1009">
          <cell r="A1009" t="str">
            <v>20257</v>
          </cell>
          <cell r="B1009" t="str">
            <v>DAVIVIENDA</v>
          </cell>
          <cell r="C1009" t="str">
            <v>INVERSIONES RUEDA S.A.S</v>
          </cell>
          <cell r="D1009" t="str">
            <v>7104046002627555</v>
          </cell>
          <cell r="E1009">
            <v>45868</v>
          </cell>
          <cell r="F1009">
            <v>23</v>
          </cell>
          <cell r="G1009">
            <v>13</v>
          </cell>
          <cell r="H1009">
            <v>2861111.11</v>
          </cell>
          <cell r="I1009">
            <v>934859.25223717745</v>
          </cell>
          <cell r="J1009">
            <v>0</v>
          </cell>
          <cell r="K1009">
            <v>0</v>
          </cell>
          <cell r="L1009">
            <v>0</v>
          </cell>
          <cell r="M1009">
            <v>2.3339065922330097E-2</v>
          </cell>
          <cell r="N1009">
            <v>2.3339065922330097E-2</v>
          </cell>
          <cell r="O1009">
            <v>0</v>
          </cell>
          <cell r="P1009">
            <v>3795970.3622371773</v>
          </cell>
          <cell r="Q1009">
            <v>37194444.470000014</v>
          </cell>
          <cell r="R1009">
            <v>-301</v>
          </cell>
          <cell r="U1009" t="str">
            <v>PENDIENTE</v>
          </cell>
        </row>
        <row r="1010">
          <cell r="A1010" t="str">
            <v>20258</v>
          </cell>
          <cell r="B1010" t="str">
            <v>DAVIVIENDA</v>
          </cell>
          <cell r="C1010" t="str">
            <v>INVERSIONES RUEDA S.A.S</v>
          </cell>
          <cell r="D1010" t="str">
            <v>7104046002627555</v>
          </cell>
          <cell r="E1010">
            <v>45899</v>
          </cell>
          <cell r="F1010">
            <v>24</v>
          </cell>
          <cell r="G1010">
            <v>12</v>
          </cell>
          <cell r="H1010">
            <v>2861111.11</v>
          </cell>
          <cell r="I1010">
            <v>868083.5914297764</v>
          </cell>
          <cell r="J1010">
            <v>0</v>
          </cell>
          <cell r="K1010">
            <v>0</v>
          </cell>
          <cell r="L1010">
            <v>0</v>
          </cell>
          <cell r="M1010">
            <v>2.3339065922330097E-2</v>
          </cell>
          <cell r="N1010">
            <v>2.3339065922330097E-2</v>
          </cell>
          <cell r="O1010">
            <v>0</v>
          </cell>
          <cell r="P1010">
            <v>3729194.7014297764</v>
          </cell>
          <cell r="Q1010">
            <v>34333333.360000014</v>
          </cell>
          <cell r="R1010">
            <v>-331</v>
          </cell>
          <cell r="U1010" t="str">
            <v>PENDIENTE</v>
          </cell>
        </row>
        <row r="1011">
          <cell r="A1011" t="str">
            <v>20259</v>
          </cell>
          <cell r="B1011" t="str">
            <v>DAVIVIENDA</v>
          </cell>
          <cell r="C1011" t="str">
            <v>INVERSIONES RUEDA S.A.S</v>
          </cell>
          <cell r="D1011" t="str">
            <v>7104046002627555</v>
          </cell>
          <cell r="E1011">
            <v>45930</v>
          </cell>
          <cell r="F1011">
            <v>25</v>
          </cell>
          <cell r="G1011">
            <v>11</v>
          </cell>
          <cell r="H1011">
            <v>2861111.11</v>
          </cell>
          <cell r="I1011">
            <v>801307.93062237545</v>
          </cell>
          <cell r="J1011">
            <v>0</v>
          </cell>
          <cell r="K1011">
            <v>0</v>
          </cell>
          <cell r="L1011">
            <v>0</v>
          </cell>
          <cell r="M1011">
            <v>2.3339065922330097E-2</v>
          </cell>
          <cell r="N1011">
            <v>2.3339065922330097E-2</v>
          </cell>
          <cell r="O1011">
            <v>0</v>
          </cell>
          <cell r="P1011">
            <v>3662419.0406223754</v>
          </cell>
          <cell r="Q1011">
            <v>31472222.250000015</v>
          </cell>
          <cell r="R1011">
            <v>-362</v>
          </cell>
          <cell r="U1011" t="str">
            <v>PENDIENTE</v>
          </cell>
        </row>
        <row r="1012">
          <cell r="A1012" t="str">
            <v>202510</v>
          </cell>
          <cell r="B1012" t="str">
            <v>DAVIVIENDA</v>
          </cell>
          <cell r="C1012" t="str">
            <v>INVERSIONES RUEDA S.A.S</v>
          </cell>
          <cell r="D1012" t="str">
            <v>7104046002627555</v>
          </cell>
          <cell r="E1012">
            <v>45960</v>
          </cell>
          <cell r="F1012">
            <v>26</v>
          </cell>
          <cell r="G1012">
            <v>10</v>
          </cell>
          <cell r="H1012">
            <v>2861111.11</v>
          </cell>
          <cell r="I1012">
            <v>734532.2698149744</v>
          </cell>
          <cell r="J1012">
            <v>0</v>
          </cell>
          <cell r="K1012">
            <v>0</v>
          </cell>
          <cell r="L1012">
            <v>0</v>
          </cell>
          <cell r="M1012">
            <v>2.3339065922330097E-2</v>
          </cell>
          <cell r="N1012">
            <v>2.3339065922330097E-2</v>
          </cell>
          <cell r="O1012">
            <v>0</v>
          </cell>
          <cell r="P1012">
            <v>3595643.379814974</v>
          </cell>
          <cell r="Q1012">
            <v>28611111.140000015</v>
          </cell>
          <cell r="R1012">
            <v>-393</v>
          </cell>
          <cell r="U1012" t="str">
            <v>PENDIENTE</v>
          </cell>
        </row>
        <row r="1013">
          <cell r="A1013" t="str">
            <v>202511</v>
          </cell>
          <cell r="B1013" t="str">
            <v>DAVIVIENDA</v>
          </cell>
          <cell r="C1013" t="str">
            <v>INVERSIONES RUEDA S.A.S</v>
          </cell>
          <cell r="D1013" t="str">
            <v>7104046002627555</v>
          </cell>
          <cell r="E1013">
            <v>45991</v>
          </cell>
          <cell r="F1013">
            <v>27</v>
          </cell>
          <cell r="G1013">
            <v>9</v>
          </cell>
          <cell r="H1013">
            <v>2861111.11</v>
          </cell>
          <cell r="I1013">
            <v>667756.60900757334</v>
          </cell>
          <cell r="J1013">
            <v>0</v>
          </cell>
          <cell r="K1013">
            <v>0</v>
          </cell>
          <cell r="L1013">
            <v>0</v>
          </cell>
          <cell r="M1013">
            <v>2.3339065922330097E-2</v>
          </cell>
          <cell r="N1013">
            <v>2.3339065922330097E-2</v>
          </cell>
          <cell r="O1013">
            <v>0</v>
          </cell>
          <cell r="P1013">
            <v>3528867.7190075731</v>
          </cell>
          <cell r="Q1013">
            <v>25750000.030000016</v>
          </cell>
          <cell r="R1013">
            <v>-423</v>
          </cell>
          <cell r="U1013" t="str">
            <v>PENDIENTE</v>
          </cell>
        </row>
        <row r="1014">
          <cell r="A1014" t="str">
            <v>202512</v>
          </cell>
          <cell r="B1014" t="str">
            <v>DAVIVIENDA</v>
          </cell>
          <cell r="C1014" t="str">
            <v>INVERSIONES RUEDA S.A.S</v>
          </cell>
          <cell r="D1014" t="str">
            <v>7104046002627555</v>
          </cell>
          <cell r="E1014">
            <v>46021</v>
          </cell>
          <cell r="F1014">
            <v>28</v>
          </cell>
          <cell r="G1014">
            <v>8</v>
          </cell>
          <cell r="H1014">
            <v>2861111.11</v>
          </cell>
          <cell r="I1014">
            <v>600980.9482001724</v>
          </cell>
          <cell r="J1014">
            <v>0</v>
          </cell>
          <cell r="K1014">
            <v>0</v>
          </cell>
          <cell r="L1014">
            <v>0</v>
          </cell>
          <cell r="M1014">
            <v>2.3339065922330097E-2</v>
          </cell>
          <cell r="N1014">
            <v>2.33390659223301E-2</v>
          </cell>
          <cell r="O1014">
            <v>2.2204460492503131E-16</v>
          </cell>
          <cell r="P1014">
            <v>3462092.0582001721</v>
          </cell>
          <cell r="Q1014">
            <v>22888888.920000017</v>
          </cell>
          <cell r="R1014">
            <v>-454</v>
          </cell>
          <cell r="U1014" t="str">
            <v>PENDIENTE</v>
          </cell>
        </row>
        <row r="1015">
          <cell r="A1015" t="str">
            <v>20261</v>
          </cell>
          <cell r="B1015" t="str">
            <v>DAVIVIENDA</v>
          </cell>
          <cell r="C1015" t="str">
            <v>INVERSIONES RUEDA S.A.S</v>
          </cell>
          <cell r="D1015" t="str">
            <v>7104046002627555</v>
          </cell>
          <cell r="E1015">
            <v>46052</v>
          </cell>
          <cell r="F1015">
            <v>29</v>
          </cell>
          <cell r="G1015">
            <v>7</v>
          </cell>
          <cell r="H1015">
            <v>2861111.11</v>
          </cell>
          <cell r="I1015">
            <v>534205.28739277134</v>
          </cell>
          <cell r="J1015">
            <v>0</v>
          </cell>
          <cell r="K1015">
            <v>0</v>
          </cell>
          <cell r="L1015">
            <v>0</v>
          </cell>
          <cell r="M1015">
            <v>2.3339065922330097E-2</v>
          </cell>
          <cell r="N1015">
            <v>2.3339065922330097E-2</v>
          </cell>
          <cell r="O1015">
            <v>0</v>
          </cell>
          <cell r="P1015">
            <v>3395316.3973927712</v>
          </cell>
          <cell r="Q1015">
            <v>20027777.810000017</v>
          </cell>
          <cell r="R1015">
            <v>-484</v>
          </cell>
          <cell r="U1015" t="str">
            <v>PENDIENTE</v>
          </cell>
        </row>
        <row r="1016">
          <cell r="A1016" t="str">
            <v>20262</v>
          </cell>
          <cell r="B1016" t="str">
            <v>DAVIVIENDA</v>
          </cell>
          <cell r="C1016" t="str">
            <v>INVERSIONES RUEDA S.A.S</v>
          </cell>
          <cell r="D1016" t="str">
            <v>7104046002627555</v>
          </cell>
          <cell r="E1016">
            <v>46081</v>
          </cell>
          <cell r="F1016">
            <v>30</v>
          </cell>
          <cell r="G1016">
            <v>6</v>
          </cell>
          <cell r="H1016">
            <v>2861111.11</v>
          </cell>
          <cell r="I1016">
            <v>467429.62658537028</v>
          </cell>
          <cell r="J1016">
            <v>0</v>
          </cell>
          <cell r="K1016">
            <v>0</v>
          </cell>
          <cell r="L1016">
            <v>0</v>
          </cell>
          <cell r="M1016">
            <v>2.3339065922330097E-2</v>
          </cell>
          <cell r="N1016">
            <v>2.3339065922330097E-2</v>
          </cell>
          <cell r="O1016">
            <v>0</v>
          </cell>
          <cell r="P1016">
            <v>3328540.7365853703</v>
          </cell>
          <cell r="Q1016">
            <v>17166666.700000018</v>
          </cell>
          <cell r="R1016">
            <v>-515</v>
          </cell>
          <cell r="U1016" t="str">
            <v>PENDIENTE</v>
          </cell>
        </row>
        <row r="1017">
          <cell r="A1017" t="str">
            <v>20263</v>
          </cell>
          <cell r="B1017" t="str">
            <v>DAVIVIENDA</v>
          </cell>
          <cell r="C1017" t="str">
            <v>INVERSIONES RUEDA S.A.S</v>
          </cell>
          <cell r="D1017" t="str">
            <v>7104046002627555</v>
          </cell>
          <cell r="E1017">
            <v>46111</v>
          </cell>
          <cell r="F1017">
            <v>31</v>
          </cell>
          <cell r="G1017">
            <v>5</v>
          </cell>
          <cell r="H1017">
            <v>2861111.11</v>
          </cell>
          <cell r="I1017">
            <v>400653.96577796928</v>
          </cell>
          <cell r="J1017">
            <v>0</v>
          </cell>
          <cell r="K1017">
            <v>0</v>
          </cell>
          <cell r="L1017">
            <v>0</v>
          </cell>
          <cell r="M1017">
            <v>2.3339065922330097E-2</v>
          </cell>
          <cell r="N1017">
            <v>2.3339065922330097E-2</v>
          </cell>
          <cell r="O1017">
            <v>0</v>
          </cell>
          <cell r="P1017">
            <v>3261765.0757779693</v>
          </cell>
          <cell r="Q1017">
            <v>14305555.590000018</v>
          </cell>
          <cell r="R1017">
            <v>-544</v>
          </cell>
          <cell r="U1017" t="str">
            <v>PENDIENTE</v>
          </cell>
        </row>
        <row r="1018">
          <cell r="A1018" t="str">
            <v>20264</v>
          </cell>
          <cell r="B1018" t="str">
            <v>DAVIVIENDA</v>
          </cell>
          <cell r="C1018" t="str">
            <v>INVERSIONES RUEDA S.A.S</v>
          </cell>
          <cell r="D1018" t="str">
            <v>7104046002627555</v>
          </cell>
          <cell r="E1018">
            <v>46142</v>
          </cell>
          <cell r="F1018">
            <v>32</v>
          </cell>
          <cell r="G1018">
            <v>4</v>
          </cell>
          <cell r="H1018">
            <v>2861111.11</v>
          </cell>
          <cell r="I1018">
            <v>333878.30497056828</v>
          </cell>
          <cell r="J1018">
            <v>0</v>
          </cell>
          <cell r="K1018">
            <v>0</v>
          </cell>
          <cell r="L1018">
            <v>0</v>
          </cell>
          <cell r="M1018">
            <v>2.3339065922330097E-2</v>
          </cell>
          <cell r="N1018">
            <v>2.33390659223301E-2</v>
          </cell>
          <cell r="O1018">
            <v>2.2204460492503131E-16</v>
          </cell>
          <cell r="P1018">
            <v>3194989.4149705684</v>
          </cell>
          <cell r="Q1018">
            <v>11444444.480000019</v>
          </cell>
          <cell r="R1018">
            <v>-574</v>
          </cell>
          <cell r="U1018" t="str">
            <v>PENDIENTE</v>
          </cell>
        </row>
        <row r="1019">
          <cell r="A1019" t="str">
            <v>20265</v>
          </cell>
          <cell r="B1019" t="str">
            <v>DAVIVIENDA</v>
          </cell>
          <cell r="C1019" t="str">
            <v>INVERSIONES RUEDA S.A.S</v>
          </cell>
          <cell r="D1019" t="str">
            <v>7104046002627555</v>
          </cell>
          <cell r="E1019">
            <v>46172</v>
          </cell>
          <cell r="F1019">
            <v>33</v>
          </cell>
          <cell r="G1019">
            <v>3</v>
          </cell>
          <cell r="H1019">
            <v>2861111.11</v>
          </cell>
          <cell r="I1019">
            <v>267102.64416316722</v>
          </cell>
          <cell r="J1019">
            <v>0</v>
          </cell>
          <cell r="K1019">
            <v>0</v>
          </cell>
          <cell r="L1019">
            <v>0</v>
          </cell>
          <cell r="M1019">
            <v>2.3339065922330097E-2</v>
          </cell>
          <cell r="N1019">
            <v>2.3339065922330097E-2</v>
          </cell>
          <cell r="O1019">
            <v>0</v>
          </cell>
          <cell r="P1019">
            <v>3128213.754163167</v>
          </cell>
          <cell r="Q1019">
            <v>8583333.3700000197</v>
          </cell>
          <cell r="R1019">
            <v>-605</v>
          </cell>
          <cell r="U1019" t="str">
            <v>PENDIENTE</v>
          </cell>
        </row>
        <row r="1020">
          <cell r="A1020" t="str">
            <v>20266</v>
          </cell>
          <cell r="B1020" t="str">
            <v>DAVIVIENDA</v>
          </cell>
          <cell r="C1020" t="str">
            <v>INVERSIONES RUEDA S.A.S</v>
          </cell>
          <cell r="D1020" t="str">
            <v>7104046002627555</v>
          </cell>
          <cell r="E1020">
            <v>46203</v>
          </cell>
          <cell r="F1020">
            <v>34</v>
          </cell>
          <cell r="G1020">
            <v>2</v>
          </cell>
          <cell r="H1020">
            <v>2861111.11</v>
          </cell>
          <cell r="I1020">
            <v>200326.98335576622</v>
          </cell>
          <cell r="J1020">
            <v>0</v>
          </cell>
          <cell r="K1020">
            <v>0</v>
          </cell>
          <cell r="L1020">
            <v>0</v>
          </cell>
          <cell r="M1020">
            <v>2.3339065922330097E-2</v>
          </cell>
          <cell r="N1020">
            <v>2.3339065922330097E-2</v>
          </cell>
          <cell r="O1020">
            <v>0</v>
          </cell>
          <cell r="P1020">
            <v>3061438.093355766</v>
          </cell>
          <cell r="Q1020">
            <v>5722222.2600000203</v>
          </cell>
          <cell r="R1020">
            <v>-635</v>
          </cell>
          <cell r="U1020" t="str">
            <v>PENDIENTE</v>
          </cell>
        </row>
        <row r="1021">
          <cell r="A1021" t="str">
            <v>20267</v>
          </cell>
          <cell r="B1021" t="str">
            <v>DAVIVIENDA</v>
          </cell>
          <cell r="C1021" t="str">
            <v>INVERSIONES RUEDA S.A.S</v>
          </cell>
          <cell r="D1021" t="str">
            <v>7104046002627555</v>
          </cell>
          <cell r="E1021">
            <v>46233</v>
          </cell>
          <cell r="F1021">
            <v>35</v>
          </cell>
          <cell r="G1021">
            <v>1</v>
          </cell>
          <cell r="H1021">
            <v>2861111.11</v>
          </cell>
          <cell r="I1021">
            <v>133551.32254836519</v>
          </cell>
          <cell r="J1021">
            <v>0</v>
          </cell>
          <cell r="K1021">
            <v>0</v>
          </cell>
          <cell r="L1021">
            <v>0</v>
          </cell>
          <cell r="M1021">
            <v>2.3339065922330097E-2</v>
          </cell>
          <cell r="N1021">
            <v>2.3339065922330097E-2</v>
          </cell>
          <cell r="O1021">
            <v>0</v>
          </cell>
          <cell r="P1021">
            <v>2994662.4325483651</v>
          </cell>
          <cell r="Q1021">
            <v>2861111.1500000204</v>
          </cell>
          <cell r="R1021">
            <v>-666</v>
          </cell>
          <cell r="U1021" t="str">
            <v>PENDIENTE</v>
          </cell>
        </row>
        <row r="1022">
          <cell r="A1022" t="str">
            <v>20268</v>
          </cell>
          <cell r="B1022" t="str">
            <v>DAVIVIENDA</v>
          </cell>
          <cell r="C1022" t="str">
            <v>INVERSIONES RUEDA S.A.S</v>
          </cell>
          <cell r="D1022" t="str">
            <v>7104046002627555</v>
          </cell>
          <cell r="E1022">
            <v>46264</v>
          </cell>
          <cell r="F1022">
            <v>36</v>
          </cell>
          <cell r="G1022">
            <v>0</v>
          </cell>
          <cell r="H1022">
            <v>2861111.11</v>
          </cell>
          <cell r="I1022">
            <v>66775.661740964148</v>
          </cell>
          <cell r="J1022">
            <v>0</v>
          </cell>
          <cell r="K1022">
            <v>0</v>
          </cell>
          <cell r="L1022">
            <v>0</v>
          </cell>
          <cell r="M1022">
            <v>2.3339065922330097E-2</v>
          </cell>
          <cell r="N1022">
            <v>2.3339065922330097E-2</v>
          </cell>
          <cell r="O1022">
            <v>0</v>
          </cell>
          <cell r="P1022">
            <v>2927886.7717409641</v>
          </cell>
          <cell r="Q1022">
            <v>4.0000020526349545E-2</v>
          </cell>
          <cell r="R1022">
            <v>-696</v>
          </cell>
          <cell r="U1022" t="str">
            <v>PENDIENTE</v>
          </cell>
        </row>
        <row r="1023">
          <cell r="A1023" t="str">
            <v>202311</v>
          </cell>
          <cell r="B1023" t="str">
            <v>BANCOLOMBIA</v>
          </cell>
          <cell r="C1023" t="str">
            <v>LAMAR OPTICAL S.A.S</v>
          </cell>
          <cell r="D1023" t="str">
            <v>8140098987</v>
          </cell>
          <cell r="E1023">
            <v>45259</v>
          </cell>
          <cell r="F1023">
            <v>0</v>
          </cell>
          <cell r="G1023">
            <v>12</v>
          </cell>
          <cell r="H1023">
            <v>0</v>
          </cell>
          <cell r="I1023">
            <v>0</v>
          </cell>
          <cell r="J1023">
            <v>0</v>
          </cell>
          <cell r="K1023">
            <v>0</v>
          </cell>
          <cell r="L1023">
            <v>0</v>
          </cell>
          <cell r="M1023">
            <v>0</v>
          </cell>
          <cell r="N1023">
            <v>0</v>
          </cell>
          <cell r="O1023">
            <v>0</v>
          </cell>
          <cell r="P1023">
            <v>0</v>
          </cell>
          <cell r="Q1023">
            <v>60000000</v>
          </cell>
          <cell r="R1023" t="str">
            <v>OK</v>
          </cell>
          <cell r="S1023">
            <v>0</v>
          </cell>
          <cell r="T1023">
            <v>45259</v>
          </cell>
          <cell r="U1023" t="str">
            <v>PAGADO</v>
          </cell>
        </row>
        <row r="1024">
          <cell r="A1024" t="str">
            <v>202312</v>
          </cell>
          <cell r="B1024" t="str">
            <v>BANCOLOMBIA</v>
          </cell>
          <cell r="C1024" t="str">
            <v>LAMAR OPTICAL S.A.S</v>
          </cell>
          <cell r="D1024" t="str">
            <v>8140098987</v>
          </cell>
          <cell r="E1024">
            <v>45289</v>
          </cell>
          <cell r="F1024">
            <v>1</v>
          </cell>
          <cell r="G1024">
            <v>11</v>
          </cell>
          <cell r="H1024">
            <v>5000000</v>
          </cell>
          <cell r="I1024">
            <v>965900</v>
          </cell>
          <cell r="J1024">
            <v>0</v>
          </cell>
          <cell r="K1024">
            <v>0</v>
          </cell>
          <cell r="L1024">
            <v>0</v>
          </cell>
          <cell r="M1024">
            <v>1.6098333333333333E-2</v>
          </cell>
          <cell r="N1024">
            <v>1.6098333333333333E-2</v>
          </cell>
          <cell r="O1024">
            <v>0</v>
          </cell>
          <cell r="P1024">
            <v>5965900</v>
          </cell>
          <cell r="Q1024">
            <v>55000000</v>
          </cell>
          <cell r="R1024" t="str">
            <v>OK</v>
          </cell>
          <cell r="S1024">
            <v>5976077</v>
          </cell>
          <cell r="T1024">
            <v>45294</v>
          </cell>
          <cell r="U1024" t="str">
            <v>PAGADO</v>
          </cell>
        </row>
        <row r="1025">
          <cell r="A1025" t="str">
            <v>20241</v>
          </cell>
          <cell r="B1025" t="str">
            <v>BANCOLOMBIA</v>
          </cell>
          <cell r="C1025" t="str">
            <v>LAMAR OPTICAL S.A.S</v>
          </cell>
          <cell r="D1025" t="str">
            <v>8140098987</v>
          </cell>
          <cell r="E1025">
            <v>45320</v>
          </cell>
          <cell r="F1025">
            <v>2</v>
          </cell>
          <cell r="G1025">
            <v>10</v>
          </cell>
          <cell r="H1025">
            <v>5000000</v>
          </cell>
          <cell r="I1025">
            <v>885408.33333333326</v>
          </cell>
          <cell r="J1025">
            <v>0</v>
          </cell>
          <cell r="K1025">
            <v>0</v>
          </cell>
          <cell r="L1025">
            <v>0</v>
          </cell>
          <cell r="M1025">
            <v>1.6098333333333333E-2</v>
          </cell>
          <cell r="N1025">
            <v>1.6098333333333333E-2</v>
          </cell>
          <cell r="O1025">
            <v>0</v>
          </cell>
          <cell r="P1025">
            <v>5885408.333333333</v>
          </cell>
          <cell r="Q1025">
            <v>50000000</v>
          </cell>
          <cell r="R1025" t="str">
            <v>OK</v>
          </cell>
          <cell r="S1025">
            <v>5909430</v>
          </cell>
          <cell r="T1025">
            <v>45322</v>
          </cell>
          <cell r="U1025" t="str">
            <v>PAGADO</v>
          </cell>
        </row>
        <row r="1026">
          <cell r="A1026" t="str">
            <v>20242</v>
          </cell>
          <cell r="B1026" t="str">
            <v>BANCOLOMBIA</v>
          </cell>
          <cell r="C1026" t="str">
            <v>LAMAR OPTICAL S.A.S</v>
          </cell>
          <cell r="D1026" t="str">
            <v>8140098987</v>
          </cell>
          <cell r="E1026">
            <v>45351</v>
          </cell>
          <cell r="F1026">
            <v>3</v>
          </cell>
          <cell r="G1026">
            <v>9</v>
          </cell>
          <cell r="H1026">
            <v>5000000</v>
          </cell>
          <cell r="I1026">
            <v>804916.66666666663</v>
          </cell>
          <cell r="J1026">
            <v>0</v>
          </cell>
          <cell r="K1026">
            <v>0</v>
          </cell>
          <cell r="L1026">
            <v>0</v>
          </cell>
          <cell r="M1026">
            <v>1.6098333333333333E-2</v>
          </cell>
          <cell r="N1026">
            <v>1.6098333333333333E-2</v>
          </cell>
          <cell r="O1026">
            <v>0</v>
          </cell>
          <cell r="P1026">
            <v>5804916.666666667</v>
          </cell>
          <cell r="Q1026">
            <v>45000000</v>
          </cell>
          <cell r="R1026" t="str">
            <v>OK</v>
          </cell>
          <cell r="S1026">
            <v>5818560</v>
          </cell>
          <cell r="T1026">
            <v>45359</v>
          </cell>
          <cell r="U1026" t="str">
            <v>PAGADO</v>
          </cell>
        </row>
        <row r="1027">
          <cell r="A1027" t="str">
            <v>20243</v>
          </cell>
          <cell r="B1027" t="str">
            <v>BANCOLOMBIA</v>
          </cell>
          <cell r="C1027" t="str">
            <v>LAMAR OPTICAL S.A.S</v>
          </cell>
          <cell r="D1027" t="str">
            <v>8140098987</v>
          </cell>
          <cell r="E1027">
            <v>45380</v>
          </cell>
          <cell r="F1027">
            <v>4</v>
          </cell>
          <cell r="G1027">
            <v>8</v>
          </cell>
          <cell r="H1027">
            <v>5000000</v>
          </cell>
          <cell r="I1027">
            <v>724425</v>
          </cell>
          <cell r="J1027">
            <v>0</v>
          </cell>
          <cell r="K1027">
            <v>0</v>
          </cell>
          <cell r="L1027">
            <v>0</v>
          </cell>
          <cell r="M1027">
            <v>1.6098333333333333E-2</v>
          </cell>
          <cell r="N1027">
            <v>1.6098333333333333E-2</v>
          </cell>
          <cell r="O1027">
            <v>0</v>
          </cell>
          <cell r="P1027">
            <v>5724425</v>
          </cell>
          <cell r="Q1027">
            <v>40000000</v>
          </cell>
          <cell r="R1027" t="str">
            <v>OK</v>
          </cell>
          <cell r="S1027">
            <v>5682334</v>
          </cell>
          <cell r="T1027">
            <v>45383</v>
          </cell>
          <cell r="U1027" t="str">
            <v>PAGADO</v>
          </cell>
        </row>
        <row r="1028">
          <cell r="A1028" t="str">
            <v>20244</v>
          </cell>
          <cell r="B1028" t="str">
            <v>BANCOLOMBIA</v>
          </cell>
          <cell r="C1028" t="str">
            <v>LAMAR OPTICAL S.A.S</v>
          </cell>
          <cell r="D1028" t="str">
            <v>8140098987</v>
          </cell>
          <cell r="E1028">
            <v>45411</v>
          </cell>
          <cell r="F1028">
            <v>5</v>
          </cell>
          <cell r="G1028">
            <v>7</v>
          </cell>
          <cell r="H1028">
            <v>5000000</v>
          </cell>
          <cell r="I1028">
            <v>643933.33333333326</v>
          </cell>
          <cell r="J1028">
            <v>0</v>
          </cell>
          <cell r="K1028">
            <v>0</v>
          </cell>
          <cell r="L1028">
            <v>42091</v>
          </cell>
          <cell r="M1028">
            <v>1.6098333333333333E-2</v>
          </cell>
          <cell r="N1028">
            <v>1.6098333333333333E-2</v>
          </cell>
          <cell r="O1028">
            <v>0</v>
          </cell>
          <cell r="P1028">
            <v>5686024.333333333</v>
          </cell>
          <cell r="Q1028">
            <v>35000000</v>
          </cell>
          <cell r="R1028" t="str">
            <v>OK</v>
          </cell>
          <cell r="S1028">
            <v>6011278</v>
          </cell>
          <cell r="T1028">
            <v>45441</v>
          </cell>
          <cell r="U1028" t="str">
            <v>PAGADO</v>
          </cell>
        </row>
        <row r="1029">
          <cell r="A1029" t="str">
            <v>20245</v>
          </cell>
          <cell r="B1029" t="str">
            <v>BANCOLOMBIA</v>
          </cell>
          <cell r="C1029" t="str">
            <v>LAMAR OPTICAL S.A.S</v>
          </cell>
          <cell r="D1029" t="str">
            <v>8140098987</v>
          </cell>
          <cell r="E1029">
            <v>45441</v>
          </cell>
          <cell r="F1029">
            <v>6</v>
          </cell>
          <cell r="G1029">
            <v>6</v>
          </cell>
          <cell r="H1029">
            <v>5000000</v>
          </cell>
          <cell r="I1029">
            <v>563441.66666666663</v>
          </cell>
          <cell r="J1029">
            <v>0</v>
          </cell>
          <cell r="K1029">
            <v>0</v>
          </cell>
          <cell r="L1029">
            <v>0</v>
          </cell>
          <cell r="M1029">
            <v>1.6098333333333333E-2</v>
          </cell>
          <cell r="N1029">
            <v>1.6098333333333333E-2</v>
          </cell>
          <cell r="O1029">
            <v>0</v>
          </cell>
          <cell r="P1029">
            <v>5563441.666666667</v>
          </cell>
          <cell r="Q1029">
            <v>30000000</v>
          </cell>
          <cell r="R1029" t="str">
            <v>OK</v>
          </cell>
          <cell r="S1029">
            <v>5455478</v>
          </cell>
          <cell r="T1029">
            <v>45455</v>
          </cell>
          <cell r="U1029" t="str">
            <v>PAGADO</v>
          </cell>
        </row>
        <row r="1030">
          <cell r="A1030" t="str">
            <v>20246</v>
          </cell>
          <cell r="B1030" t="str">
            <v>BANCOLOMBIA</v>
          </cell>
          <cell r="C1030" t="str">
            <v>LAMAR OPTICAL S.A.S</v>
          </cell>
          <cell r="D1030" t="str">
            <v>8140098987</v>
          </cell>
          <cell r="E1030">
            <v>45472</v>
          </cell>
          <cell r="F1030">
            <v>7</v>
          </cell>
          <cell r="G1030">
            <v>5</v>
          </cell>
          <cell r="H1030">
            <v>5000000</v>
          </cell>
          <cell r="I1030">
            <v>482950</v>
          </cell>
          <cell r="J1030">
            <v>0</v>
          </cell>
          <cell r="K1030">
            <v>0</v>
          </cell>
          <cell r="L1030">
            <v>107963.66666666698</v>
          </cell>
          <cell r="M1030">
            <v>1.6098333333333333E-2</v>
          </cell>
          <cell r="N1030">
            <v>1.6098333333333333E-2</v>
          </cell>
          <cell r="O1030">
            <v>0</v>
          </cell>
          <cell r="P1030">
            <v>5590913.666666667</v>
          </cell>
          <cell r="Q1030">
            <v>25000000</v>
          </cell>
          <cell r="R1030" t="str">
            <v>OK</v>
          </cell>
          <cell r="S1030">
            <v>5455478</v>
          </cell>
          <cell r="T1030">
            <v>45471</v>
          </cell>
          <cell r="U1030" t="str">
            <v>PAGADO</v>
          </cell>
        </row>
        <row r="1031">
          <cell r="A1031" t="str">
            <v>20247</v>
          </cell>
          <cell r="B1031" t="str">
            <v>BANCOLOMBIA</v>
          </cell>
          <cell r="C1031" t="str">
            <v>LAMAR OPTICAL S.A.S</v>
          </cell>
          <cell r="D1031" t="str">
            <v>8140098987</v>
          </cell>
          <cell r="E1031">
            <v>45502</v>
          </cell>
          <cell r="F1031">
            <v>8</v>
          </cell>
          <cell r="G1031">
            <v>4</v>
          </cell>
          <cell r="H1031">
            <v>5000000</v>
          </cell>
          <cell r="I1031">
            <v>402458.33333333331</v>
          </cell>
          <cell r="J1031">
            <v>0</v>
          </cell>
          <cell r="K1031">
            <v>0</v>
          </cell>
          <cell r="L1031">
            <v>135435.66666666698</v>
          </cell>
          <cell r="M1031">
            <v>1.6098333333333333E-2</v>
          </cell>
          <cell r="N1031">
            <v>1.6098333333333333E-2</v>
          </cell>
          <cell r="O1031">
            <v>0</v>
          </cell>
          <cell r="P1031">
            <v>5537894</v>
          </cell>
          <cell r="Q1031">
            <v>20000000</v>
          </cell>
          <cell r="R1031" t="str">
            <v>OK</v>
          </cell>
          <cell r="S1031">
            <v>5369530</v>
          </cell>
          <cell r="T1031">
            <v>45502</v>
          </cell>
          <cell r="U1031" t="str">
            <v>PAGADO</v>
          </cell>
        </row>
        <row r="1032">
          <cell r="A1032" t="str">
            <v>20248</v>
          </cell>
          <cell r="B1032" t="str">
            <v>BANCOLOMBIA</v>
          </cell>
          <cell r="C1032" t="str">
            <v>LAMAR OPTICAL S.A.S</v>
          </cell>
          <cell r="D1032" t="str">
            <v>8140098987</v>
          </cell>
          <cell r="E1032">
            <v>45533</v>
          </cell>
          <cell r="F1032">
            <v>9</v>
          </cell>
          <cell r="G1032">
            <v>3</v>
          </cell>
          <cell r="H1032">
            <v>5000000</v>
          </cell>
          <cell r="I1032">
            <v>321966.66666666663</v>
          </cell>
          <cell r="J1032">
            <v>0</v>
          </cell>
          <cell r="K1032">
            <v>0</v>
          </cell>
          <cell r="L1032">
            <v>168364</v>
          </cell>
          <cell r="M1032">
            <v>1.6098333333333333E-2</v>
          </cell>
          <cell r="N1032">
            <v>1.6098333333333333E-2</v>
          </cell>
          <cell r="O1032">
            <v>0</v>
          </cell>
          <cell r="P1032">
            <v>5490330.666666667</v>
          </cell>
          <cell r="Q1032">
            <v>15000000</v>
          </cell>
          <cell r="R1032" t="str">
            <v>OK</v>
          </cell>
          <cell r="S1032">
            <v>5285825</v>
          </cell>
          <cell r="T1032">
            <v>45533</v>
          </cell>
          <cell r="U1032" t="str">
            <v>PAGADO</v>
          </cell>
        </row>
        <row r="1033">
          <cell r="A1033" t="str">
            <v>20249</v>
          </cell>
          <cell r="B1033" t="str">
            <v>BANCOLOMBIA</v>
          </cell>
          <cell r="C1033" t="str">
            <v>LAMAR OPTICAL S.A.S</v>
          </cell>
          <cell r="D1033" t="str">
            <v>8140098987</v>
          </cell>
          <cell r="E1033">
            <v>45564</v>
          </cell>
          <cell r="F1033">
            <v>10</v>
          </cell>
          <cell r="G1033">
            <v>2</v>
          </cell>
          <cell r="H1033">
            <v>5000000</v>
          </cell>
          <cell r="I1033">
            <v>241475</v>
          </cell>
          <cell r="J1033">
            <v>0</v>
          </cell>
          <cell r="K1033">
            <v>0</v>
          </cell>
          <cell r="L1033">
            <v>204505.66666666698</v>
          </cell>
          <cell r="M1033">
            <v>1.6098333333333333E-2</v>
          </cell>
          <cell r="N1033">
            <v>1.6098333333333333E-2</v>
          </cell>
          <cell r="O1033">
            <v>0</v>
          </cell>
          <cell r="P1033">
            <v>5445980.666666667</v>
          </cell>
          <cell r="Q1033">
            <v>10000000</v>
          </cell>
          <cell r="R1033">
            <v>-27</v>
          </cell>
          <cell r="U1033" t="str">
            <v>PENDIENTE</v>
          </cell>
        </row>
        <row r="1034">
          <cell r="A1034" t="str">
            <v>202410</v>
          </cell>
          <cell r="B1034" t="str">
            <v>BANCOLOMBIA</v>
          </cell>
          <cell r="C1034" t="str">
            <v>LAMAR OPTICAL S.A.S</v>
          </cell>
          <cell r="D1034" t="str">
            <v>8140098987</v>
          </cell>
          <cell r="E1034">
            <v>45594</v>
          </cell>
          <cell r="F1034">
            <v>11</v>
          </cell>
          <cell r="G1034">
            <v>1</v>
          </cell>
          <cell r="H1034">
            <v>5000000</v>
          </cell>
          <cell r="I1034">
            <v>160983.33333333331</v>
          </cell>
          <cell r="J1034">
            <v>0</v>
          </cell>
          <cell r="K1034">
            <v>0</v>
          </cell>
          <cell r="L1034">
            <v>0</v>
          </cell>
          <cell r="M1034">
            <v>1.6098333333333333E-2</v>
          </cell>
          <cell r="N1034">
            <v>1.6098333333333333E-2</v>
          </cell>
          <cell r="O1034">
            <v>0</v>
          </cell>
          <cell r="P1034">
            <v>5160983.333333333</v>
          </cell>
          <cell r="Q1034">
            <v>5000000</v>
          </cell>
          <cell r="R1034">
            <v>-27</v>
          </cell>
          <cell r="U1034" t="str">
            <v>PENDIENTE</v>
          </cell>
        </row>
        <row r="1035">
          <cell r="A1035" t="str">
            <v>202411</v>
          </cell>
          <cell r="B1035" t="str">
            <v>BANCOLOMBIA</v>
          </cell>
          <cell r="C1035" t="str">
            <v>LAMAR OPTICAL S.A.S</v>
          </cell>
          <cell r="D1035" t="str">
            <v>8140098987</v>
          </cell>
          <cell r="E1035">
            <v>45625</v>
          </cell>
          <cell r="F1035">
            <v>12</v>
          </cell>
          <cell r="G1035">
            <v>0</v>
          </cell>
          <cell r="H1035">
            <v>5000000</v>
          </cell>
          <cell r="I1035">
            <v>80491.666666666657</v>
          </cell>
          <cell r="J1035">
            <v>0</v>
          </cell>
          <cell r="K1035">
            <v>0</v>
          </cell>
          <cell r="L1035">
            <v>0</v>
          </cell>
          <cell r="M1035">
            <v>1.6098333333333333E-2</v>
          </cell>
          <cell r="N1035">
            <v>1.6098333333333333E-2</v>
          </cell>
          <cell r="O1035">
            <v>0</v>
          </cell>
          <cell r="P1035">
            <v>5080491.666666667</v>
          </cell>
          <cell r="Q1035">
            <v>0</v>
          </cell>
          <cell r="R1035">
            <v>-57</v>
          </cell>
          <cell r="U1035" t="str">
            <v>PENDIENTE</v>
          </cell>
        </row>
      </sheetData>
    </sheetDataSet>
  </externalBook>
</externalLink>
</file>

<file path=xl/persons/person.xml><?xml version="1.0" encoding="utf-8"?>
<personList xmlns="http://schemas.microsoft.com/office/spreadsheetml/2018/threadedcomments" xmlns:x="http://schemas.openxmlformats.org/spreadsheetml/2006/main">
  <person displayName="cris7james10@gmail.com" id="{DAB19782-E5D7-4295-BF83-D01A4AD4DBC8}" userId="7d917b1042b8e89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1D2C68-42A4-42DA-A5B9-3E4C81A00B57}" name="Tabla1" displayName="Tabla1" ref="D1:U1035" totalsRowShown="0" dataDxfId="10" headerRowBorderDxfId="30" tableBorderDxfId="31" totalsRowBorderDxfId="29">
  <autoFilter ref="D1:U1035" xr:uid="{2E1D2C68-42A4-42DA-A5B9-3E4C81A00B57}"/>
  <tableColumns count="18">
    <tableColumn id="1" xr3:uid="{C719EA3E-5584-43F7-B9C7-9476D2F6159B}" name="N° PRODUCTO" dataDxfId="28"/>
    <tableColumn id="2" xr3:uid="{AB8E8465-7385-49C6-BE6B-5A6271269860}" name="FECHA MAX PARA PAGAR" dataDxfId="27"/>
    <tableColumn id="3" xr3:uid="{D54D4FD7-0191-4E1D-A882-823AF9401BC2}" name="CUOTA IN" dataDxfId="26"/>
    <tableColumn id="4" xr3:uid="{350B7CD9-D0C6-4B46-B027-0FF714CF7339}" name="CUOTA FIN" dataDxfId="25"/>
    <tableColumn id="5" xr3:uid="{163C7D13-FEF3-49A6-9A73-616E7758D300}" name="CUOTA CAPITAL" dataDxfId="24"/>
    <tableColumn id="6" xr3:uid="{3A06E4B1-174F-4C76-9060-86452B9BA3BB}" name="INTERES" dataDxfId="23">
      <calculatedColumnFormula>Q1*M2</calculatedColumnFormula>
    </tableColumn>
    <tableColumn id="7" xr3:uid="{CD724BB8-D937-4713-AC1D-9CEF8C8F3E45}" name="SEGURO" dataDxfId="22"/>
    <tableColumn id="8" xr3:uid="{C6CDDEAF-7711-4DC5-9307-26C61FD7E0E9}" name="OTROS GASTOS" dataDxfId="21"/>
    <tableColumn id="9" xr3:uid="{09B8957C-899A-4AE5-B060-0860530ED344}" name="MORA" dataDxfId="20">
      <calculatedColumnFormula>IF(S1="",0,IF(S1&lt;=P1,P1-S1,0))</calculatedColumnFormula>
    </tableColumn>
    <tableColumn id="10" xr3:uid="{07F285B5-34EF-4052-BE2C-72EEDD09D769}" name="INTERES PACTADO" dataDxfId="19" dataCellStyle="Porcentaje"/>
    <tableColumn id="11" xr3:uid="{8A5173A9-ADCB-49DA-A46C-B6C212D12BCB}" name="INTERES MENSUAL" dataDxfId="18" dataCellStyle="Porcentaje"/>
    <tableColumn id="12" xr3:uid="{040D7CFD-F987-444C-9CFE-49D954536951}" name="INCREMENTO INTERES" dataDxfId="17" dataCellStyle="Porcentaje">
      <calculatedColumnFormula>IF(N2="","",(N2/M2)-1)</calculatedColumnFormula>
    </tableColumn>
    <tableColumn id="13" xr3:uid="{24DFCB04-5689-4F41-9FEF-C1D059D459E4}" name="TOTAL A PAGAR" dataDxfId="16">
      <calculatedColumnFormula>IFERROR(H2+I2+J2+K2+L2,"")</calculatedColumnFormula>
    </tableColumn>
    <tableColumn id="14" xr3:uid="{4071CA7A-CA6C-44D0-8B25-E9DC794894E3}" name="SALDO CAPITAL" dataDxfId="15">
      <calculatedColumnFormula>Q1-H2</calculatedColumnFormula>
    </tableColumn>
    <tableColumn id="15" xr3:uid="{7D34679B-81F0-4E4F-89EF-5214D10D166A}" name="DIAS VENCIDO" dataDxfId="14">
      <calculatedColumnFormula>IF(B1="","",IF(T1="",TODAY()-E1,IF(T2="",TODAY()-E2,"OK")))</calculatedColumnFormula>
    </tableColumn>
    <tableColumn id="16" xr3:uid="{1C20E7D3-EC1A-4509-B1C1-9FE07C925A5E}" name="VALOR PAGADO" dataDxfId="13"/>
    <tableColumn id="17" xr3:uid="{D72B0656-1610-4A54-82C9-1D226B377404}" name="FECHA DE PAGO" dataDxfId="12"/>
    <tableColumn id="18" xr3:uid="{5D06651A-0253-4A47-BDC5-D7651A744EEC}" name="ESTADO" dataDxfId="11">
      <calculatedColumnFormula>IF(AND(S2="",T2=""),"PENDIENTE",IF(AND(S2&lt;&gt;"",T2&lt;&gt;""),"PAGADO","ABONADO"))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9-03T01:51:09.59" personId="{DAB19782-E5D7-4295-BF83-D01A4AD4DBC8}" id="{861D8519-2D8B-4EDC-8194-50BDB154BF36}">
    <text>Esta fecha, posiblemente se determinó sumando 60 días al primer mes de pago, asi llega a un maximo de 30 días vencido</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AE51-9DE0-4907-AEBA-308842CB9F3E}">
  <dimension ref="A1:Q41"/>
  <sheetViews>
    <sheetView tabSelected="1" topLeftCell="D12" zoomScaleNormal="100" workbookViewId="0">
      <selection activeCell="G38" sqref="G38"/>
    </sheetView>
  </sheetViews>
  <sheetFormatPr baseColWidth="10" defaultColWidth="0" defaultRowHeight="15" zeroHeight="1" x14ac:dyDescent="0.25"/>
  <cols>
    <col min="1" max="1" width="31.28515625" style="1" bestFit="1" customWidth="1"/>
    <col min="2" max="2" width="22" style="1" customWidth="1"/>
    <col min="3" max="3" width="31.85546875" style="1" customWidth="1"/>
    <col min="4" max="4" width="17.28515625" style="1" customWidth="1"/>
    <col min="5" max="5" width="14.28515625" style="1" bestFit="1" customWidth="1"/>
    <col min="6" max="6" width="10" style="1" customWidth="1"/>
    <col min="7" max="8" width="27.85546875" style="1" bestFit="1" customWidth="1"/>
    <col min="9" max="9" width="22" style="1" customWidth="1"/>
    <col min="10" max="10" width="21.42578125" style="1" bestFit="1" customWidth="1"/>
    <col min="11" max="12" width="22" style="1" customWidth="1"/>
    <col min="13" max="13" width="16.140625" style="12" bestFit="1" customWidth="1"/>
    <col min="14" max="14" width="22" style="11" customWidth="1"/>
    <col min="15" max="15" width="13.140625" style="3" customWidth="1"/>
    <col min="16" max="16" width="17.28515625" style="1" customWidth="1"/>
    <col min="17" max="17" width="0" style="1" hidden="1" customWidth="1"/>
    <col min="18" max="16384" width="22" style="1" hidden="1"/>
  </cols>
  <sheetData>
    <row r="1" spans="1:16" s="9" customFormat="1" ht="30" x14ac:dyDescent="0.25">
      <c r="A1" s="16" t="s">
        <v>1</v>
      </c>
      <c r="B1" s="16" t="s">
        <v>0</v>
      </c>
      <c r="C1" s="16" t="s">
        <v>2</v>
      </c>
      <c r="D1" s="17" t="s">
        <v>3</v>
      </c>
      <c r="E1" s="16" t="s">
        <v>4</v>
      </c>
      <c r="F1" s="16" t="s">
        <v>5</v>
      </c>
      <c r="G1" s="18" t="s">
        <v>56</v>
      </c>
      <c r="H1" s="18" t="s">
        <v>15</v>
      </c>
      <c r="I1" s="18" t="s">
        <v>6</v>
      </c>
      <c r="J1" s="18" t="s">
        <v>7</v>
      </c>
      <c r="K1" s="18" t="s">
        <v>10</v>
      </c>
      <c r="L1" s="18" t="s">
        <v>14</v>
      </c>
      <c r="M1" s="16" t="s">
        <v>16</v>
      </c>
      <c r="N1" s="18" t="s">
        <v>17</v>
      </c>
      <c r="O1" s="17" t="s">
        <v>18</v>
      </c>
      <c r="P1" s="16" t="s">
        <v>19</v>
      </c>
    </row>
    <row r="2" spans="1:16" x14ac:dyDescent="0.25">
      <c r="A2" s="1" t="s">
        <v>21</v>
      </c>
      <c r="B2" s="1" t="s">
        <v>36</v>
      </c>
      <c r="C2" s="10" t="s">
        <v>37</v>
      </c>
      <c r="D2" s="3" cm="1">
        <f t="array" aca="1" ref="D2" ca="1">IFERROR(INDEX(DATA!$E$2:$E$1036, MATCH(CONCATENATE(YEAR(TODAY()), MONTH(TODAY()), Metrica!$C2), CONCATENATE(DATA!$A$2:$A$1036, DATA!$D$2:$D$1036), 0)), "")</f>
        <v>45559</v>
      </c>
      <c r="E2" s="1" cm="1">
        <f t="array" aca="1" ref="E2" ca="1">IFERROR(INDEX(DATA!$F$2:$F$1036,
MATCH(CONCATENATE(YEAR(TODAY()), MONTH(TODAY()), Metrica!$C2), CONCATENATE(DATA!$A$2:$A$1036, DATA!$D$2:$D$1036), 0)), "")</f>
        <v>35</v>
      </c>
      <c r="F2" s="1" cm="1">
        <f t="array" aca="1" ref="F2" ca="1">IFERROR(INDEX(DATA!$G$2:$G$1036,
MATCH(CONCATENATE(YEAR(TODAY()), MONTH(TODAY()), Metrica!$C2), CONCATENATE(DATA!$A$2:$A$1036, DATA!$D$2:$D$1036), 0)), "")</f>
        <v>0</v>
      </c>
      <c r="G2" s="11" cm="1">
        <f t="array" aca="1" ref="G2" ca="1">IFERROR(INDEX(DATA!$Q$2:$Q$1036,
MATCH(CONCATENATE(YEAR(TODAY()), MONTH(TODAY()-31), Metrica!$C2), CONCATENATE(DATA!$A$2:$A$1036, DATA!$D$2:$D$1036), 0)), 0)</f>
        <v>1944444.6000000341</v>
      </c>
      <c r="H2" s="11" cm="1">
        <f t="array" aca="1" ref="H2" ca="1">IFERROR(INDEX(DATA!$Q$2:$Q$1036,
MATCH(CONCATENATE(YEAR(TODAY()), MONTH(TODAY()), Metrica!$C2), CONCATENATE(DATA!$A$2:$A$1036, DATA!$D$2:$D$1036), 0)), 0)</f>
        <v>0.16000003414228559</v>
      </c>
      <c r="I2" s="11" cm="1">
        <f t="array" aca="1" ref="I2" ca="1">IFERROR(INDEX(DATA!$H$2:$H$1036,
MATCH(CONCATENATE(YEAR(TODAY()), MONTH(TODAY()), Metrica!$C2), CONCATENATE(DATA!$A$2:$A$1036, DATA!$D$2:$D$1036), 0)), 0)</f>
        <v>1944444.44</v>
      </c>
      <c r="J2" s="11" cm="1">
        <f t="array" aca="1" ref="J2" ca="1">IFERROR(INDEX(DATA!$I$2:$I$1036,
MATCH(CONCATENATE(YEAR(TODAY()), MONTH(TODAY()), Metrica!$C2), CONCATENATE(DATA!$A$2:$A$1036, DATA!$D$2:$D$1036), 0)), 0)</f>
        <v>82115.612197758397</v>
      </c>
      <c r="K2" s="11" cm="1">
        <f t="array" aca="1" ref="K2" ca="1">IFERROR(INDEX(DATA!$L$2:$L$1036,
MATCH(CONCATENATE(YEAR(TODAY()), MONTH(TODAY()), Metrica!$C2), CONCATENATE(DATA!$A$2:$A$1036, DATA!$D$2:$D$1036), 0)), 0)</f>
        <v>280638.89353497047</v>
      </c>
      <c r="L2" s="11" cm="1">
        <f t="array" aca="1" ref="L2" ca="1">IFERROR(INDEX(DATA!$P$2:$P$1036,
MATCH(CONCATENATE(YEAR(TODAY()), MONTH(TODAY()), Metrica!$C2), CONCATENATE(DATA!$A$2:$A$1036, DATA!$D$2:$D$1036), 0)), 0)</f>
        <v>2307436.9457327286</v>
      </c>
      <c r="M2" s="12" cm="1">
        <f t="array" aca="1" ref="M2" ca="1">IFERROR(INDEX(DATA!$R$2:$R$1036,
MATCH(CONCATENATE(YEAR(TODAY()), MONTH(TODAY()), Metrica!$C2), CONCATENATE(DATA!$A$2:$A$1036, DATA!$D$2:$D$1036), 0)), 0)</f>
        <v>-21</v>
      </c>
      <c r="N2" s="11" cm="1">
        <f t="array" aca="1" ref="N2" ca="1">IFERROR(INDEX(DATA!$S$2:$S$1036,
MATCH(CONCATENATE(YEAR(TODAY()), MONTH(TODAY()), Metrica!$C2), CONCATENATE(DATA!$A$2:$A$1036, DATA!$D$2:$D$1036), 0)), 0)</f>
        <v>0</v>
      </c>
      <c r="O2" s="3" t="str" cm="1">
        <f t="array" aca="1" ref="O2" ca="1">IFERROR(IF(INDEX(DATA!$O$2:$O$1036,MATCH(CONCATENATE(YEAR(TODAY()), MONTH(TODAY()), Metrica!$C2), CONCATENATE(DATA!$A$2 $A$1036, DATA!$D$2:$D$1036), 0)) = 0,"",INDEX(DATA!$O$2:$O$1036,MATCH(CONCATENATE(YEAR(TODAY()), MONTH(TODAY()), Metrica!$C2), CONCATENATE(DATA!$A$2:$A$1036, DATA!$D$2:$D$1036), 0))),"")</f>
        <v/>
      </c>
      <c r="P2" s="11" t="str" cm="1">
        <f t="array" aca="1" ref="P2" ca="1">IFERROR(INDEX(DATA!$U$2:$U$1036,
MATCH(CONCATENATE(YEAR(TODAY()), MONTH(TODAY()), Metrica!$C2), CONCATENATE(DATA!$A$2:$A$1036, DATA!$D$2:$D$1036), 0)), 0)</f>
        <v>PENDIENTE</v>
      </c>
    </row>
    <row r="3" spans="1:16" x14ac:dyDescent="0.25">
      <c r="A3" s="1" t="s">
        <v>25</v>
      </c>
      <c r="B3" s="1" t="s">
        <v>24</v>
      </c>
      <c r="C3" s="10" t="s">
        <v>29</v>
      </c>
      <c r="D3" s="3" cm="1">
        <f t="array" aca="1" ref="D3" ca="1">IFERROR(INDEX(DATA!$E$2:$E$1036, MATCH(CONCATENATE(YEAR(TODAY()), MONTH(TODAY()), Metrica!$C3), CONCATENATE(DATA!$A$2:$A$1036, DATA!$D$2:$D$1036), 0)), "")</f>
        <v>45561</v>
      </c>
      <c r="E3" s="1" cm="1">
        <f t="array" aca="1" ref="E3" ca="1">IFERROR(INDEX(DATA!$F$2:$F$1036,
MATCH(CONCATENATE(YEAR(TODAY()), MONTH(TODAY()), Metrica!$C3), CONCATENATE(DATA!$A$2:$A$1036, DATA!$D$2:$D$1036), 0)), "")</f>
        <v>28</v>
      </c>
      <c r="F3" s="1" cm="1">
        <f t="array" aca="1" ref="F3" ca="1">IFERROR(INDEX(DATA!$G$2:$G$1036,
MATCH(CONCATENATE(YEAR(TODAY()), MONTH(TODAY()), Metrica!$C3), CONCATENATE(DATA!$A$2:$A$1036, DATA!$D$2:$D$1036), 0)), "")</f>
        <v>8</v>
      </c>
      <c r="G3" s="11" cm="1">
        <f t="array" aca="1" ref="G3" ca="1">IFERROR(INDEX(DATA!$Q$2:$Q$1036,
MATCH(CONCATENATE(YEAR(TODAY()), MONTH(TODAY()-31), Metrica!$C3), CONCATENATE(DATA!$A$2:$A$1036, DATA!$D$2:$D$1036), 0)), 0)</f>
        <v>5134675.4970108904</v>
      </c>
      <c r="H3" s="11" cm="1">
        <f t="array" aca="1" ref="H3" ca="1">IFERROR(INDEX(DATA!$Q$2:$Q$1036,
MATCH(CONCATENATE(YEAR(TODAY()), MONTH(TODAY()), Metrica!$C3), CONCATENATE(DATA!$A$2:$A$1036, DATA!$D$2:$D$1036), 0)), 0)</f>
        <v>4612962.5709866043</v>
      </c>
      <c r="I3" s="11" cm="1">
        <f t="array" aca="1" ref="I3" ca="1">IFERROR(INDEX(DATA!$H$2:$H$1036,
MATCH(CONCATENATE(YEAR(TODAY()), MONTH(TODAY()), Metrica!$C3), CONCATENATE(DATA!$A$2:$A$1036, DATA!$D$2:$D$1036), 0)), 0)</f>
        <v>521712.92602428637</v>
      </c>
      <c r="J3" s="11" cm="1">
        <f t="array" aca="1" ref="J3" ca="1">IFERROR(INDEX(DATA!$I$2:$I$1036,
MATCH(CONCATENATE(YEAR(TODAY()), MONTH(TODAY()), Metrica!$C3), CONCATENATE(DATA!$A$2:$A$1036, DATA!$D$2:$D$1036), 0)), 0)</f>
        <v>84085.088181936124</v>
      </c>
      <c r="K3" s="11" cm="1">
        <f t="array" aca="1" ref="K3" ca="1">IFERROR(INDEX(DATA!$L$2:$L$1036,
MATCH(CONCATENATE(YEAR(TODAY()), MONTH(TODAY()), Metrica!$C3), CONCATENATE(DATA!$A$2:$A$1036, DATA!$D$2:$D$1036), 0)), 0)</f>
        <v>0</v>
      </c>
      <c r="L3" s="11" cm="1">
        <f t="array" aca="1" ref="L3" ca="1">IFERROR(INDEX(DATA!$P$2:$P$1036,
MATCH(CONCATENATE(YEAR(TODAY()), MONTH(TODAY()), Metrica!$C3), CONCATENATE(DATA!$A$2:$A$1036, DATA!$D$2:$D$1036), 0)), 0)</f>
        <v>605798.01420622249</v>
      </c>
      <c r="M3" s="12" cm="1">
        <f t="array" aca="1" ref="M3" ca="1">IFERROR(INDEX(DATA!$R$2:$R$1036,
MATCH(CONCATENATE(YEAR(TODAY()), MONTH(TODAY()), Metrica!$C3), CONCATENATE(DATA!$A$2:$A$1036, DATA!$D$2:$D$1036), 0)), 0)</f>
        <v>8</v>
      </c>
      <c r="N3" s="11" cm="1">
        <f t="array" aca="1" ref="N3" ca="1">IFERROR(INDEX(DATA!$S$2:$S$1036,
MATCH(CONCATENATE(YEAR(TODAY()), MONTH(TODAY()), Metrica!$C3), CONCATENATE(DATA!$A$2:$A$1036, DATA!$D$2:$D$1036), 0)), 0)</f>
        <v>0</v>
      </c>
      <c r="O3" s="3" t="str" cm="1">
        <f t="array" aca="1" ref="O3" ca="1">IFERROR(IF(INDEX(DATA!$O$2:$O$1036,MATCH(CONCATENATE(YEAR(TODAY()), MONTH(TODAY()), Metrica!$C3), CONCATENATE(DATA!$A$2 $A$1036, DATA!$D$2:$D$1036), 0)) = 0,"",INDEX(DATA!$O$2:$O$1036,MATCH(CONCATENATE(YEAR(TODAY()), MONTH(TODAY()), Metrica!$C3), CONCATENATE(DATA!$A$2:$A$1036, DATA!$D$2:$D$1036), 0))),"")</f>
        <v/>
      </c>
      <c r="P3" s="11" t="str" cm="1">
        <f t="array" aca="1" ref="P3" ca="1">IFERROR(INDEX(DATA!$U$2:$U$1036,
MATCH(CONCATENATE(YEAR(TODAY()), MONTH(TODAY()), Metrica!$C3), CONCATENATE(DATA!$A$2:$A$1036, DATA!$D$2:$D$1036), 0)), 0)</f>
        <v>PENDIENTE</v>
      </c>
    </row>
    <row r="4" spans="1:16" x14ac:dyDescent="0.25">
      <c r="A4" s="1" t="s">
        <v>25</v>
      </c>
      <c r="B4" s="1" t="s">
        <v>24</v>
      </c>
      <c r="C4" s="10" t="s">
        <v>43</v>
      </c>
      <c r="D4" s="3" cm="1">
        <f t="array" aca="1" ref="D4" ca="1">IFERROR(INDEX(DATA!$E$2:$E$1036, MATCH(CONCATENATE(YEAR(TODAY()), MONTH(TODAY()), Metrica!$C4), CONCATENATE(DATA!$A$2:$A$1036, DATA!$D$2:$D$1036), 0)), "")</f>
        <v>45565</v>
      </c>
      <c r="E4" s="1" cm="1">
        <f t="array" aca="1" ref="E4" ca="1">IFERROR(INDEX(DATA!$F$2:$F$1036,
MATCH(CONCATENATE(YEAR(TODAY()), MONTH(TODAY()), Metrica!$C4), CONCATENATE(DATA!$A$2:$A$1036, DATA!$D$2:$D$1036), 0)), "")</f>
        <v>20</v>
      </c>
      <c r="F4" s="1" cm="1">
        <f t="array" aca="1" ref="F4" ca="1">IFERROR(INDEX(DATA!$G$2:$G$1036,
MATCH(CONCATENATE(YEAR(TODAY()), MONTH(TODAY()), Metrica!$C4), CONCATENATE(DATA!$A$2:$A$1036, DATA!$D$2:$D$1036), 0)), "")</f>
        <v>16</v>
      </c>
      <c r="G4" s="11" cm="1">
        <f t="array" aca="1" ref="G4" ca="1">IFERROR(INDEX(DATA!$Q$2:$Q$1036,
MATCH(CONCATENATE(YEAR(TODAY()), MONTH(TODAY()-31), Metrica!$C4), CONCATENATE(DATA!$A$2:$A$1036, DATA!$D$2:$D$1036), 0)), 0)</f>
        <v>5650159.4816538962</v>
      </c>
      <c r="H4" s="11" cm="1">
        <f t="array" aca="1" ref="H4" ca="1">IFERROR(INDEX(DATA!$Q$2:$Q$1036,
MATCH(CONCATENATE(YEAR(TODAY()), MONTH(TODAY()), Metrica!$C4), CONCATENATE(DATA!$A$2:$A$1036, DATA!$D$2:$D$1036), 0)), 0)</f>
        <v>5384474.8787442725</v>
      </c>
      <c r="I4" s="11" cm="1">
        <f t="array" aca="1" ref="I4" ca="1">IFERROR(INDEX(DATA!$H$2:$H$1036,
MATCH(CONCATENATE(YEAR(TODAY()), MONTH(TODAY()), Metrica!$C4), CONCATENATE(DATA!$A$2:$A$1036, DATA!$D$2:$D$1036), 0)), 0)</f>
        <v>265684.60290962335</v>
      </c>
      <c r="J4" s="11" cm="1">
        <f t="array" aca="1" ref="J4" ca="1">IFERROR(INDEX(DATA!$I$2:$I$1036,
MATCH(CONCATENATE(YEAR(TODAY()), MONTH(TODAY()), Metrica!$C4), CONCATENATE(DATA!$A$2:$A$1036, DATA!$D$2:$D$1036), 0)), 0)</f>
        <v>119291.7622305331</v>
      </c>
      <c r="K4" s="11" cm="1">
        <f t="array" aca="1" ref="K4" ca="1">IFERROR(INDEX(DATA!$L$2:$L$1036,
MATCH(CONCATENATE(YEAR(TODAY()), MONTH(TODAY()), Metrica!$C4), CONCATENATE(DATA!$A$2:$A$1036, DATA!$D$2:$D$1036), 0)), 0)</f>
        <v>0</v>
      </c>
      <c r="L4" s="11" cm="1">
        <f t="array" aca="1" ref="L4" ca="1">IFERROR(INDEX(DATA!$P$2:$P$1036,
MATCH(CONCATENATE(YEAR(TODAY()), MONTH(TODAY()), Metrica!$C4), CONCATENATE(DATA!$A$2:$A$1036, DATA!$D$2:$D$1036), 0)), 0)</f>
        <v>384976.36514015647</v>
      </c>
      <c r="M4" s="12" cm="1">
        <f t="array" aca="1" ref="M4" ca="1">IFERROR(INDEX(DATA!$R$2:$R$1036,
MATCH(CONCATENATE(YEAR(TODAY()), MONTH(TODAY()), Metrica!$C4), CONCATENATE(DATA!$A$2:$A$1036, DATA!$D$2:$D$1036), 0)), 0)</f>
        <v>4</v>
      </c>
      <c r="N4" s="11" cm="1">
        <f t="array" aca="1" ref="N4" ca="1">IFERROR(INDEX(DATA!$S$2:$S$1036,
MATCH(CONCATENATE(YEAR(TODAY()), MONTH(TODAY()), Metrica!$C4), CONCATENATE(DATA!$A$2:$A$1036, DATA!$D$2:$D$1036), 0)), 0)</f>
        <v>0</v>
      </c>
      <c r="O4" s="3" t="str" cm="1">
        <f t="array" aca="1" ref="O4" ca="1">IFERROR(IF(INDEX(DATA!$O$2:$O$1036,MATCH(CONCATENATE(YEAR(TODAY()), MONTH(TODAY()), Metrica!$C4), CONCATENATE(DATA!$A$2 $A$1036, DATA!$D$2:$D$1036), 0)) = 0,"",INDEX(DATA!$O$2:$O$1036,MATCH(CONCATENATE(YEAR(TODAY()), MONTH(TODAY()), Metrica!$C4), CONCATENATE(DATA!$A$2:$A$1036, DATA!$D$2:$D$1036), 0))),"")</f>
        <v/>
      </c>
      <c r="P4" s="11" t="str" cm="1">
        <f t="array" aca="1" ref="P4" ca="1">IFERROR(INDEX(DATA!$U$2:$U$1036,
MATCH(CONCATENATE(YEAR(TODAY()), MONTH(TODAY()), Metrica!$C4), CONCATENATE(DATA!$A$2:$A$1036, DATA!$D$2:$D$1036), 0)), 0)</f>
        <v>PENDIENTE</v>
      </c>
    </row>
    <row r="5" spans="1:16" x14ac:dyDescent="0.25">
      <c r="A5" s="1" t="s">
        <v>25</v>
      </c>
      <c r="B5" s="1" t="s">
        <v>24</v>
      </c>
      <c r="C5" s="10" t="s">
        <v>30</v>
      </c>
      <c r="D5" s="3" cm="1">
        <f t="array" aca="1" ref="D5" ca="1">IFERROR(INDEX(DATA!$E$2:$E$1036, MATCH(CONCATENATE(YEAR(TODAY()), MONTH(TODAY()), Metrica!$C5), CONCATENATE(DATA!$A$2:$A$1036, DATA!$D$2:$D$1036), 0)), "")</f>
        <v>45560</v>
      </c>
      <c r="E5" s="1" cm="1">
        <f t="array" aca="1" ref="E5" ca="1">IFERROR(INDEX(DATA!$F$2:$F$1036,
MATCH(CONCATENATE(YEAR(TODAY()), MONTH(TODAY()), Metrica!$C5), CONCATENATE(DATA!$A$2:$A$1036, DATA!$D$2:$D$1036), 0)), "")</f>
        <v>23</v>
      </c>
      <c r="F5" s="1" cm="1">
        <f t="array" aca="1" ref="F5" ca="1">IFERROR(INDEX(DATA!$G$2:$G$1036,
MATCH(CONCATENATE(YEAR(TODAY()), MONTH(TODAY()), Metrica!$C5), CONCATENATE(DATA!$A$2:$A$1036, DATA!$D$2:$D$1036), 0)), "")</f>
        <v>13</v>
      </c>
      <c r="G5" s="11" cm="1">
        <f t="array" aca="1" ref="G5" ca="1">IFERROR(INDEX(DATA!$Q$2:$Q$1036,
MATCH(CONCATENATE(YEAR(TODAY()), MONTH(TODAY()-31), Metrica!$C5), CONCATENATE(DATA!$A$2:$A$1036, DATA!$D$2:$D$1036), 0)), 0)</f>
        <v>6220317.6768105095</v>
      </c>
      <c r="H5" s="11" cm="1">
        <f t="array" aca="1" ref="H5" ca="1">IFERROR(INDEX(DATA!$Q$2:$Q$1036,
MATCH(CONCATENATE(YEAR(TODAY()), MONTH(TODAY()), Metrica!$C5), CONCATENATE(DATA!$A$2:$A$1036, DATA!$D$2:$D$1036), 0)), 0)</f>
        <v>5825194.0741079189</v>
      </c>
      <c r="I5" s="11" cm="1">
        <f t="array" aca="1" ref="I5" ca="1">IFERROR(INDEX(DATA!$H$2:$H$1036,
MATCH(CONCATENATE(YEAR(TODAY()), MONTH(TODAY()), Metrica!$C5), CONCATENATE(DATA!$A$2:$A$1036, DATA!$D$2:$D$1036), 0)), 0)</f>
        <v>395123.6027025904</v>
      </c>
      <c r="J5" s="11" cm="1">
        <f t="array" aca="1" ref="J5" ca="1">IFERROR(INDEX(DATA!$I$2:$I$1036,
MATCH(CONCATENATE(YEAR(TODAY()), MONTH(TODAY()), Metrica!$C5), CONCATENATE(DATA!$A$2:$A$1036, DATA!$D$2:$D$1036), 0)), 0)</f>
        <v>110824.25729740961</v>
      </c>
      <c r="K5" s="11" cm="1">
        <f t="array" aca="1" ref="K5" ca="1">IFERROR(INDEX(DATA!$L$2:$L$1036,
MATCH(CONCATENATE(YEAR(TODAY()), MONTH(TODAY()), Metrica!$C5), CONCATENATE(DATA!$A$2:$A$1036, DATA!$D$2:$D$1036), 0)), 0)</f>
        <v>0</v>
      </c>
      <c r="L5" s="11" cm="1">
        <f t="array" aca="1" ref="L5" ca="1">IFERROR(INDEX(DATA!$P$2:$P$1036,
MATCH(CONCATENATE(YEAR(TODAY()), MONTH(TODAY()), Metrica!$C5), CONCATENATE(DATA!$A$2:$A$1036, DATA!$D$2:$D$1036), 0)), 0)</f>
        <v>505947.86</v>
      </c>
      <c r="M5" s="12" cm="1">
        <f t="array" aca="1" ref="M5" ca="1">IFERROR(INDEX(DATA!$R$2:$R$1036,
MATCH(CONCATENATE(YEAR(TODAY()), MONTH(TODAY()), Metrica!$C5), CONCATENATE(DATA!$A$2:$A$1036, DATA!$D$2:$D$1036), 0)), 0)</f>
        <v>9</v>
      </c>
      <c r="N5" s="11" cm="1">
        <f t="array" aca="1" ref="N5" ca="1">IFERROR(INDEX(DATA!$S$2:$S$1036,
MATCH(CONCATENATE(YEAR(TODAY()), MONTH(TODAY()), Metrica!$C5), CONCATENATE(DATA!$A$2:$A$1036, DATA!$D$2:$D$1036), 0)), 0)</f>
        <v>0</v>
      </c>
      <c r="O5" s="3" t="str" cm="1">
        <f t="array" aca="1" ref="O5" ca="1">IFERROR(IF(INDEX(DATA!$O$2:$O$1036,MATCH(CONCATENATE(YEAR(TODAY()), MONTH(TODAY()), Metrica!$C5), CONCATENATE(DATA!$A$2 $A$1036, DATA!$D$2:$D$1036), 0)) = 0,"",INDEX(DATA!$O$2:$O$1036,MATCH(CONCATENATE(YEAR(TODAY()), MONTH(TODAY()), Metrica!$C5), CONCATENATE(DATA!$A$2:$A$1036, DATA!$D$2:$D$1036), 0))),"")</f>
        <v/>
      </c>
      <c r="P5" s="11" t="str" cm="1">
        <f t="array" aca="1" ref="P5" ca="1">IFERROR(INDEX(DATA!$U$2:$U$1036,
MATCH(CONCATENATE(YEAR(TODAY()), MONTH(TODAY()), Metrica!$C5), CONCATENATE(DATA!$A$2:$A$1036, DATA!$D$2:$D$1036), 0)), 0)</f>
        <v>PENDIENTE</v>
      </c>
    </row>
    <row r="6" spans="1:16" x14ac:dyDescent="0.25">
      <c r="A6" s="1" t="s">
        <v>21</v>
      </c>
      <c r="B6" s="1" t="s">
        <v>20</v>
      </c>
      <c r="C6" s="2" t="s">
        <v>22</v>
      </c>
      <c r="D6" s="3" cm="1">
        <f t="array" aca="1" ref="D6" ca="1">IFERROR(INDEX(DATA!$E$2:$E$1036, MATCH(CONCATENATE(YEAR(TODAY()), MONTH(TODAY()), Metrica!$C6), CONCATENATE(DATA!$A$2:$A$1036, DATA!$D$2:$D$1036), 0)), "")</f>
        <v>45548</v>
      </c>
      <c r="E6" s="1" cm="1">
        <f t="array" aca="1" ref="E6" ca="1">IFERROR(INDEX(DATA!$F$2:$F$1036,
MATCH(CONCATENATE(YEAR(TODAY()), MONTH(TODAY()), Metrica!$C6), CONCATENATE(DATA!$A$2:$A$1036, DATA!$D$2:$D$1036), 0)), "")</f>
        <v>7</v>
      </c>
      <c r="F6" s="1" cm="1">
        <f t="array" aca="1" ref="F6" ca="1">IFERROR(INDEX(DATA!$G$2:$G$1036,
MATCH(CONCATENATE(YEAR(TODAY()), MONTH(TODAY()), Metrica!$C6), CONCATENATE(DATA!$A$2:$A$1036, DATA!$D$2:$D$1036), 0)), "")</f>
        <v>5</v>
      </c>
      <c r="G6" s="11" cm="1">
        <f t="array" aca="1" ref="G6" ca="1">IFERROR(INDEX(DATA!$Q$2:$Q$1036,
MATCH(CONCATENATE(YEAR(TODAY()), MONTH(TODAY()-31), Metrica!$C6), CONCATENATE(DATA!$A$2:$A$1036, DATA!$D$2:$D$1036), 0)), 0)</f>
        <v>8861046</v>
      </c>
      <c r="H6" s="11" cm="1">
        <f t="array" aca="1" ref="H6" ca="1">IFERROR(INDEX(DATA!$Q$2:$Q$1036,
MATCH(CONCATENATE(YEAR(TODAY()), MONTH(TODAY()), Metrica!$C6), CONCATENATE(DATA!$A$2:$A$1036, DATA!$D$2:$D$1036), 0)), 0)</f>
        <v>7384205</v>
      </c>
      <c r="I6" s="11" cm="1">
        <f t="array" aca="1" ref="I6" ca="1">IFERROR(INDEX(DATA!$H$2:$H$1036,
MATCH(CONCATENATE(YEAR(TODAY()), MONTH(TODAY()), Metrica!$C6), CONCATENATE(DATA!$A$2:$A$1036, DATA!$D$2:$D$1036), 0)), 0)</f>
        <v>1476841</v>
      </c>
      <c r="J6" s="11" cm="1">
        <f t="array" aca="1" ref="J6" ca="1">IFERROR(INDEX(DATA!$I$2:$I$1036,
MATCH(CONCATENATE(YEAR(TODAY()), MONTH(TODAY()), Metrica!$C6), CONCATENATE(DATA!$A$2:$A$1036, DATA!$D$2:$D$1036), 0)), 0)</f>
        <v>120510.22559999999</v>
      </c>
      <c r="K6" s="11" cm="1">
        <f t="array" aca="1" ref="K6" ca="1">IFERROR(INDEX(DATA!$L$2:$L$1036,
MATCH(CONCATENATE(YEAR(TODAY()), MONTH(TODAY()), Metrica!$C6), CONCATENATE(DATA!$A$2:$A$1036, DATA!$D$2:$D$1036), 0)), 0)</f>
        <v>8727.564000000013</v>
      </c>
      <c r="L6" s="11" cm="1">
        <f t="array" aca="1" ref="L6" ca="1">IFERROR(INDEX(DATA!$P$2:$P$1036,
MATCH(CONCATENATE(YEAR(TODAY()), MONTH(TODAY()), Metrica!$C6), CONCATENATE(DATA!$A$2:$A$1036, DATA!$D$2:$D$1036), 0)), 0)</f>
        <v>1606078.7896</v>
      </c>
      <c r="M6" s="12" cm="1">
        <f t="array" aca="1" ref="M6" ca="1">IFERROR(INDEX(DATA!$R$2:$R$1036,
MATCH(CONCATENATE(YEAR(TODAY()), MONTH(TODAY()), Metrica!$C6), CONCATENATE(DATA!$A$2:$A$1036, DATA!$D$2:$D$1036), 0)), 0)</f>
        <v>-10</v>
      </c>
      <c r="N6" s="11" cm="1">
        <f t="array" aca="1" ref="N6" ca="1">IFERROR(INDEX(DATA!$S$2:$S$1036,
MATCH(CONCATENATE(YEAR(TODAY()), MONTH(TODAY()), Metrica!$C6), CONCATENATE(DATA!$A$2:$A$1036, DATA!$D$2:$D$1036), 0)), 0)</f>
        <v>0</v>
      </c>
      <c r="O6" s="3" t="str" cm="1">
        <f t="array" aca="1" ref="O6" ca="1">IFERROR(IF(INDEX(DATA!$O$2:$O$1036,MATCH(CONCATENATE(YEAR(TODAY()), MONTH(TODAY()), Metrica!$C6), CONCATENATE(DATA!$A$2 $A$1036, DATA!$D$2:$D$1036), 0)) = 0,"",INDEX(DATA!$O$2:$O$1036,MATCH(CONCATENATE(YEAR(TODAY()), MONTH(TODAY()), Metrica!$C6), CONCATENATE(DATA!$A$2:$A$1036, DATA!$D$2:$D$1036), 0))),"")</f>
        <v/>
      </c>
      <c r="P6" s="11" t="str" cm="1">
        <f t="array" aca="1" ref="P6" ca="1">IFERROR(INDEX(DATA!$U$2:$U$1036,
MATCH(CONCATENATE(YEAR(TODAY()), MONTH(TODAY()), Metrica!$C6), CONCATENATE(DATA!$A$2:$A$1036, DATA!$D$2:$D$1036), 0)), 0)</f>
        <v>PENDIENTE</v>
      </c>
    </row>
    <row r="7" spans="1:16" x14ac:dyDescent="0.25">
      <c r="A7" s="1" t="s">
        <v>40</v>
      </c>
      <c r="B7" s="1" t="s">
        <v>24</v>
      </c>
      <c r="C7" s="10" t="s">
        <v>47</v>
      </c>
      <c r="D7" s="3" cm="1">
        <f t="array" aca="1" ref="D7" ca="1">IFERROR(INDEX(DATA!$E$2:$E$1036, MATCH(CONCATENATE(YEAR(TODAY()), MONTH(TODAY()), Metrica!$C7), CONCATENATE(DATA!$A$2:$A$1036, DATA!$D$2:$D$1036), 0)), "")</f>
        <v>45540</v>
      </c>
      <c r="E7" s="1" cm="1">
        <f t="array" aca="1" ref="E7" ca="1">IFERROR(INDEX(DATA!$F$2:$F$1036,
MATCH(CONCATENATE(YEAR(TODAY()), MONTH(TODAY()), Metrica!$C7), CONCATENATE(DATA!$A$2:$A$1036, DATA!$D$2:$D$1036), 0)), "")</f>
        <v>21</v>
      </c>
      <c r="F7" s="1" cm="1">
        <f t="array" aca="1" ref="F7" ca="1">IFERROR(INDEX(DATA!$G$2:$G$1036,
MATCH(CONCATENATE(YEAR(TODAY()), MONTH(TODAY()), Metrica!$C7), CONCATENATE(DATA!$A$2:$A$1036, DATA!$D$2:$D$1036), 0)), "")</f>
        <v>27</v>
      </c>
      <c r="G7" s="11" cm="1">
        <f t="array" aca="1" ref="G7" ca="1">IFERROR(INDEX(DATA!$Q$2:$Q$1036,
MATCH(CONCATENATE(YEAR(TODAY()), MONTH(TODAY()-31), Metrica!$C7), CONCATENATE(DATA!$A$2:$A$1036, DATA!$D$2:$D$1036), 0)), 0)</f>
        <v>9537523.9227509499</v>
      </c>
      <c r="H7" s="11" cm="1">
        <f t="array" aca="1" ref="H7" ca="1">IFERROR(INDEX(DATA!$Q$2:$Q$1036,
MATCH(CONCATENATE(YEAR(TODAY()), MONTH(TODAY()), Metrica!$C7), CONCATENATE(DATA!$A$2:$A$1036, DATA!$D$2:$D$1036), 0)), 0)</f>
        <v>9074953.0668567065</v>
      </c>
      <c r="I7" s="11" cm="1">
        <f t="array" aca="1" ref="I7" ca="1">IFERROR(INDEX(DATA!$H$2:$H$1036,
MATCH(CONCATENATE(YEAR(TODAY()), MONTH(TODAY()), Metrica!$C7), CONCATENATE(DATA!$A$2:$A$1036, DATA!$D$2:$D$1036), 0)), 0)</f>
        <v>462570.8558942434</v>
      </c>
      <c r="J7" s="11" cm="1">
        <f t="array" aca="1" ref="J7" ca="1">IFERROR(INDEX(DATA!$I$2:$I$1036,
MATCH(CONCATENATE(YEAR(TODAY()), MONTH(TODAY()), Metrica!$C7), CONCATENATE(DATA!$A$2:$A$1036, DATA!$D$2:$D$1036), 0)), 0)</f>
        <v>68670.172243806839</v>
      </c>
      <c r="K7" s="11" cm="1">
        <f t="array" aca="1" ref="K7" ca="1">IFERROR(INDEX(DATA!$L$2:$L$1036,
MATCH(CONCATENATE(YEAR(TODAY()), MONTH(TODAY()), Metrica!$C7), CONCATENATE(DATA!$A$2:$A$1036, DATA!$D$2:$D$1036), 0)), 0)</f>
        <v>2073122.2812632464</v>
      </c>
      <c r="L7" s="11" cm="1">
        <f t="array" aca="1" ref="L7" ca="1">IFERROR(INDEX(DATA!$P$2:$P$1036,
MATCH(CONCATENATE(YEAR(TODAY()), MONTH(TODAY()), Metrica!$C7), CONCATENATE(DATA!$A$2:$A$1036, DATA!$D$2:$D$1036), 0)), 0)</f>
        <v>2630263.3094012965</v>
      </c>
      <c r="M7" s="12" cm="1">
        <f t="array" aca="1" ref="M7" ca="1">IFERROR(INDEX(DATA!$R$2:$R$1036,
MATCH(CONCATENATE(YEAR(TODAY()), MONTH(TODAY()), Metrica!$C7), CONCATENATE(DATA!$A$2:$A$1036, DATA!$D$2:$D$1036), 0)), 0)</f>
        <v>-2</v>
      </c>
      <c r="N7" s="11" cm="1">
        <f t="array" aca="1" ref="N7" ca="1">IFERROR(INDEX(DATA!$S$2:$S$1036,
MATCH(CONCATENATE(YEAR(TODAY()), MONTH(TODAY()), Metrica!$C7), CONCATENATE(DATA!$A$2:$A$1036, DATA!$D$2:$D$1036), 0)), 0)</f>
        <v>0</v>
      </c>
      <c r="O7" s="3" t="str" cm="1">
        <f t="array" aca="1" ref="O7" ca="1">IFERROR(IF(INDEX(DATA!$O$2:$O$1036,MATCH(CONCATENATE(YEAR(TODAY()), MONTH(TODAY()), Metrica!$C7), CONCATENATE(DATA!$A$2 $A$1036, DATA!$D$2:$D$1036), 0)) = 0,"",INDEX(DATA!$O$2:$O$1036,MATCH(CONCATENATE(YEAR(TODAY()), MONTH(TODAY()), Metrica!$C7), CONCATENATE(DATA!$A$2:$A$1036, DATA!$D$2:$D$1036), 0))),"")</f>
        <v/>
      </c>
      <c r="P7" s="11" t="str" cm="1">
        <f t="array" aca="1" ref="P7" ca="1">IFERROR(INDEX(DATA!$U$2:$U$1036,
MATCH(CONCATENATE(YEAR(TODAY()), MONTH(TODAY()), Metrica!$C7), CONCATENATE(DATA!$A$2:$A$1036, DATA!$D$2:$D$1036), 0)), 0)</f>
        <v>PENDIENTE</v>
      </c>
    </row>
    <row r="8" spans="1:16" x14ac:dyDescent="0.25">
      <c r="A8" s="1" t="s">
        <v>21</v>
      </c>
      <c r="B8" s="1" t="s">
        <v>20</v>
      </c>
      <c r="C8" s="10" t="s">
        <v>57</v>
      </c>
      <c r="D8" s="3" cm="1">
        <f t="array" aca="1" ref="D8" ca="1">IFERROR(INDEX(DATA!$E$2:$E$1036, MATCH(CONCATENATE(YEAR(TODAY()), MONTH(TODAY()), Metrica!$C8), CONCATENATE(DATA!$A$2:$A$1036, DATA!$D$2:$D$1036), 0)), "")</f>
        <v>45543</v>
      </c>
      <c r="E8" s="1" cm="1">
        <f t="array" aca="1" ref="E8" ca="1">IFERROR(INDEX(DATA!$F$2:$F$1036,
MATCH(CONCATENATE(YEAR(TODAY()), MONTH(TODAY()), Metrica!$C8), CONCATENATE(DATA!$A$2:$A$1036, DATA!$D$2:$D$1036), 0)), "")</f>
        <v>22</v>
      </c>
      <c r="F8" s="1" cm="1">
        <f t="array" aca="1" ref="F8" ca="1">IFERROR(INDEX(DATA!$G$2:$G$1036,
MATCH(CONCATENATE(YEAR(TODAY()), MONTH(TODAY()), Metrica!$C8), CONCATENATE(DATA!$A$2:$A$1036, DATA!$D$2:$D$1036), 0)), "")</f>
        <v>14</v>
      </c>
      <c r="G8" s="11" cm="1">
        <f t="array" aca="1" ref="G8" ca="1">IFERROR(INDEX(DATA!$Q$2:$Q$1036,
MATCH(CONCATENATE(YEAR(TODAY()), MONTH(TODAY()-31), Metrica!$C8), CONCATENATE(DATA!$A$2:$A$1036, DATA!$D$2:$D$1036), 0)), 0)</f>
        <v>9568352</v>
      </c>
      <c r="H8" s="11" cm="1">
        <f t="array" aca="1" ref="H8" ca="1">IFERROR(INDEX(DATA!$Q$2:$Q$1036,
MATCH(CONCATENATE(YEAR(TODAY()), MONTH(TODAY()), Metrica!$C8), CONCATENATE(DATA!$A$2:$A$1036, DATA!$D$2:$D$1036), 0)), 0)</f>
        <v>8930464</v>
      </c>
      <c r="I8" s="11" cm="1">
        <f t="array" aca="1" ref="I8" ca="1">IFERROR(INDEX(DATA!$H$2:$H$1036,
MATCH(CONCATENATE(YEAR(TODAY()), MONTH(TODAY()), Metrica!$C8), CONCATENATE(DATA!$A$2:$A$1036, DATA!$D$2:$D$1036), 0)), 0)</f>
        <v>637888</v>
      </c>
      <c r="J8" s="11" cm="1">
        <f t="array" aca="1" ref="J8" ca="1">IFERROR(INDEX(DATA!$I$2:$I$1036,
MATCH(CONCATENATE(YEAR(TODAY()), MONTH(TODAY()), Metrica!$C8), CONCATENATE(DATA!$A$2:$A$1036, DATA!$D$2:$D$1036), 0)), 0)</f>
        <v>194603.38584174027</v>
      </c>
      <c r="K8" s="11" cm="1">
        <f t="array" aca="1" ref="K8" ca="1">IFERROR(INDEX(DATA!$L$2:$L$1036,
MATCH(CONCATENATE(YEAR(TODAY()), MONTH(TODAY()), Metrica!$C8), CONCATENATE(DATA!$A$2:$A$1036, DATA!$D$2:$D$1036), 0)), 0)</f>
        <v>17579.144075976801</v>
      </c>
      <c r="L8" s="11" cm="1">
        <f t="array" aca="1" ref="L8" ca="1">IFERROR(INDEX(DATA!$P$2:$P$1036,
MATCH(CONCATENATE(YEAR(TODAY()), MONTH(TODAY()), Metrica!$C8), CONCATENATE(DATA!$A$2:$A$1036, DATA!$D$2:$D$1036), 0)), 0)</f>
        <v>850070.5299177171</v>
      </c>
      <c r="M8" s="12" cm="1">
        <f t="array" aca="1" ref="M8" ca="1">IFERROR(INDEX(DATA!$R$2:$R$1036,
MATCH(CONCATENATE(YEAR(TODAY()), MONTH(TODAY()), Metrica!$C8), CONCATENATE(DATA!$A$2:$A$1036, DATA!$D$2:$D$1036), 0)), 0)</f>
        <v>-5</v>
      </c>
      <c r="N8" s="11" cm="1">
        <f t="array" aca="1" ref="N8" ca="1">IFERROR(INDEX(DATA!$S$2:$S$1036,
MATCH(CONCATENATE(YEAR(TODAY()), MONTH(TODAY()), Metrica!$C8), CONCATENATE(DATA!$A$2:$A$1036, DATA!$D$2:$D$1036), 0)), 0)</f>
        <v>0</v>
      </c>
      <c r="O8" s="3" t="str" cm="1">
        <f t="array" aca="1" ref="O8" ca="1">IFERROR(IF(INDEX(DATA!$O$2:$O$1036,MATCH(CONCATENATE(YEAR(TODAY()), MONTH(TODAY()), Metrica!$C8), CONCATENATE(DATA!$A$2 $A$1036, DATA!$D$2:$D$1036), 0)) = 0,"",INDEX(DATA!$O$2:$O$1036,MATCH(CONCATENATE(YEAR(TODAY()), MONTH(TODAY()), Metrica!$C8), CONCATENATE(DATA!$A$2:$A$1036, DATA!$D$2:$D$1036), 0))),"")</f>
        <v/>
      </c>
      <c r="P8" s="11" t="str" cm="1">
        <f t="array" aca="1" ref="P8" ca="1">IFERROR(INDEX(DATA!$U$2:$U$1036,
MATCH(CONCATENATE(YEAR(TODAY()), MONTH(TODAY()), Metrica!$C8), CONCATENATE(DATA!$A$2:$A$1036, DATA!$D$2:$D$1036), 0)), 0)</f>
        <v>PENDIENTE</v>
      </c>
    </row>
    <row r="9" spans="1:16" x14ac:dyDescent="0.25">
      <c r="A9" s="1" t="s">
        <v>21</v>
      </c>
      <c r="B9" s="1" t="s">
        <v>24</v>
      </c>
      <c r="C9" s="10" t="s">
        <v>28</v>
      </c>
      <c r="D9" s="3" cm="1">
        <f t="array" aca="1" ref="D9" ca="1">IFERROR(INDEX(DATA!$E$2:$E$1036, MATCH(CONCATENATE(YEAR(TODAY()), MONTH(TODAY()), Metrica!$C9), CONCATENATE(DATA!$A$2:$A$1036, DATA!$D$2:$D$1036), 0)), "")</f>
        <v>45561</v>
      </c>
      <c r="E9" s="1" cm="1">
        <f t="array" aca="1" ref="E9" ca="1">IFERROR(INDEX(DATA!$F$2:$F$1036,
MATCH(CONCATENATE(YEAR(TODAY()), MONTH(TODAY()), Metrica!$C9), CONCATENATE(DATA!$A$2:$A$1036, DATA!$D$2:$D$1036), 0)), "")</f>
        <v>28</v>
      </c>
      <c r="F9" s="1" cm="1">
        <f t="array" aca="1" ref="F9" ca="1">IFERROR(INDEX(DATA!$G$2:$G$1036,
MATCH(CONCATENATE(YEAR(TODAY()), MONTH(TODAY()), Metrica!$C9), CONCATENATE(DATA!$A$2:$A$1036, DATA!$D$2:$D$1036), 0)), "")</f>
        <v>8</v>
      </c>
      <c r="G9" s="11" cm="1">
        <f t="array" aca="1" ref="G9" ca="1">IFERROR(INDEX(DATA!$Q$2:$Q$1036,
MATCH(CONCATENATE(YEAR(TODAY()), MONTH(TODAY()-31), Metrica!$C9), CONCATENATE(DATA!$A$2:$A$1036, DATA!$D$2:$D$1036), 0)), 0)</f>
        <v>9746814.0184881296</v>
      </c>
      <c r="H9" s="11" cm="1">
        <f t="array" aca="1" ref="H9" ca="1">IFERROR(INDEX(DATA!$Q$2:$Q$1036,
MATCH(CONCATENATE(YEAR(TODAY()), MONTH(TODAY()), Metrica!$C9), CONCATENATE(DATA!$A$2:$A$1036, DATA!$D$2:$D$1036), 0)), 0)</f>
        <v>8702970.9702727627</v>
      </c>
      <c r="I9" s="11" cm="1">
        <f t="array" aca="1" ref="I9" ca="1">IFERROR(INDEX(DATA!$H$2:$H$1036,
MATCH(CONCATENATE(YEAR(TODAY()), MONTH(TODAY()), Metrica!$C9), CONCATENATE(DATA!$A$2:$A$1036, DATA!$D$2:$D$1036), 0)), 0)</f>
        <v>1043843.0482153675</v>
      </c>
      <c r="J9" s="11" cm="1">
        <f t="array" aca="1" ref="J9" ca="1">IFERROR(INDEX(DATA!$I$2:$I$1036,
MATCH(CONCATENATE(YEAR(TODAY()), MONTH(TODAY()), Metrica!$C9), CONCATENATE(DATA!$A$2:$A$1036, DATA!$D$2:$D$1036), 0)), 0)</f>
        <v>185580.90419369098</v>
      </c>
      <c r="K9" s="11" cm="1">
        <f t="array" aca="1" ref="K9" ca="1">IFERROR(INDEX(DATA!$L$2:$L$1036,
MATCH(CONCATENATE(YEAR(TODAY()), MONTH(TODAY()), Metrica!$C9), CONCATENATE(DATA!$A$2:$A$1036, DATA!$D$2:$D$1036), 0)), 0)</f>
        <v>0</v>
      </c>
      <c r="L9" s="11" cm="1">
        <f t="array" aca="1" ref="L9" ca="1">IFERROR(INDEX(DATA!$P$2:$P$1036,
MATCH(CONCATENATE(YEAR(TODAY()), MONTH(TODAY()), Metrica!$C9), CONCATENATE(DATA!$A$2:$A$1036, DATA!$D$2:$D$1036), 0)), 0)</f>
        <v>1229423.9524090583</v>
      </c>
      <c r="M9" s="12" cm="1">
        <f t="array" aca="1" ref="M9" ca="1">IFERROR(INDEX(DATA!$R$2:$R$1036,
MATCH(CONCATENATE(YEAR(TODAY()), MONTH(TODAY()), Metrica!$C9), CONCATENATE(DATA!$A$2:$A$1036, DATA!$D$2:$D$1036), 0)), 0)</f>
        <v>8</v>
      </c>
      <c r="N9" s="11" cm="1">
        <f t="array" aca="1" ref="N9" ca="1">IFERROR(INDEX(DATA!$S$2:$S$1036,
MATCH(CONCATENATE(YEAR(TODAY()), MONTH(TODAY()), Metrica!$C9), CONCATENATE(DATA!$A$2:$A$1036, DATA!$D$2:$D$1036), 0)), 0)</f>
        <v>0</v>
      </c>
      <c r="O9" s="3" t="str" cm="1">
        <f t="array" aca="1" ref="O9" ca="1">IFERROR(IF(INDEX(DATA!$O$2:$O$1036,MATCH(CONCATENATE(YEAR(TODAY()), MONTH(TODAY()), Metrica!$C9), CONCATENATE(DATA!$A$2 $A$1036, DATA!$D$2:$D$1036), 0)) = 0,"",INDEX(DATA!$O$2:$O$1036,MATCH(CONCATENATE(YEAR(TODAY()), MONTH(TODAY()), Metrica!$C9), CONCATENATE(DATA!$A$2:$A$1036, DATA!$D$2:$D$1036), 0))),"")</f>
        <v/>
      </c>
      <c r="P9" s="11" t="str" cm="1">
        <f t="array" aca="1" ref="P9" ca="1">IFERROR(INDEX(DATA!$U$2:$U$1036,
MATCH(CONCATENATE(YEAR(TODAY()), MONTH(TODAY()), Metrica!$C9), CONCATENATE(DATA!$A$2:$A$1036, DATA!$D$2:$D$1036), 0)), 0)</f>
        <v>PENDIENTE</v>
      </c>
    </row>
    <row r="10" spans="1:16" x14ac:dyDescent="0.25">
      <c r="A10" s="1" t="s">
        <v>25</v>
      </c>
      <c r="B10" s="1" t="s">
        <v>24</v>
      </c>
      <c r="C10" s="13" t="s">
        <v>26</v>
      </c>
      <c r="D10" s="3" cm="1">
        <f t="array" aca="1" ref="D10" ca="1">IFERROR(INDEX(DATA!$E$2:$E$1036, MATCH(CONCATENATE(YEAR(TODAY()), MONTH(TODAY()), Metrica!$C10), CONCATENATE(DATA!$A$2:$A$1036, DATA!$D$2:$D$1036), 0)), "")</f>
        <v>45548</v>
      </c>
      <c r="E10" s="1" cm="1">
        <f t="array" aca="1" ref="E10" ca="1">IFERROR(INDEX(DATA!$F$2:$F$1036,
MATCH(CONCATENATE(YEAR(TODAY()), MONTH(TODAY()), Metrica!$C10), CONCATENATE(DATA!$A$2:$A$1036, DATA!$D$2:$D$1036), 0)), "")</f>
        <v>35</v>
      </c>
      <c r="F10" s="1" cm="1">
        <f t="array" aca="1" ref="F10" ca="1">IFERROR(INDEX(DATA!$G$2:$G$1036,
MATCH(CONCATENATE(YEAR(TODAY()), MONTH(TODAY()), Metrica!$C10), CONCATENATE(DATA!$A$2:$A$1036, DATA!$D$2:$D$1036), 0)), "")</f>
        <v>1</v>
      </c>
      <c r="G10" s="11" cm="1">
        <f t="array" aca="1" ref="G10" ca="1">IFERROR(INDEX(DATA!$Q$2:$Q$1036,
MATCH(CONCATENATE(YEAR(TODAY()), MONTH(TODAY()-31), Metrica!$C10), CONCATENATE(DATA!$A$2:$A$1036, DATA!$D$2:$D$1036), 0)), 0)</f>
        <v>10053091.78064047</v>
      </c>
      <c r="H10" s="11" cm="1">
        <f t="array" aca="1" ref="H10" ca="1">IFERROR(INDEX(DATA!$Q$2:$Q$1036,
MATCH(CONCATENATE(YEAR(TODAY()), MONTH(TODAY()), Metrica!$C10), CONCATENATE(DATA!$A$2:$A$1036, DATA!$D$2:$D$1036), 0)), 0)</f>
        <v>6827147.901391604</v>
      </c>
      <c r="I10" s="11" cm="1">
        <f t="array" aca="1" ref="I10" ca="1">IFERROR(INDEX(DATA!$H$2:$H$1036,
MATCH(CONCATENATE(YEAR(TODAY()), MONTH(TODAY()), Metrica!$C10), CONCATENATE(DATA!$A$2:$A$1036, DATA!$D$2:$D$1036), 0)), 0)</f>
        <v>3225943.8792488659</v>
      </c>
      <c r="J10" s="11" cm="1">
        <f t="array" aca="1" ref="J10" ca="1">IFERROR(INDEX(DATA!$I$2:$I$1036,
MATCH(CONCATENATE(YEAR(TODAY()), MONTH(TODAY()), Metrica!$C10), CONCATENATE(DATA!$A$2:$A$1036, DATA!$D$2:$D$1036), 0)), 0)</f>
        <v>167068.20250611263</v>
      </c>
      <c r="K10" s="11" cm="1">
        <f t="array" aca="1" ref="K10" ca="1">IFERROR(INDEX(DATA!$L$2:$L$1036,
MATCH(CONCATENATE(YEAR(TODAY()), MONTH(TODAY()), Metrica!$C10), CONCATENATE(DATA!$A$2:$A$1036, DATA!$D$2:$D$1036), 0)), 0)</f>
        <v>0</v>
      </c>
      <c r="L10" s="11" cm="1">
        <f t="array" aca="1" ref="L10" ca="1">IFERROR(INDEX(DATA!$P$2:$P$1036,
MATCH(CONCATENATE(YEAR(TODAY()), MONTH(TODAY()), Metrica!$C10), CONCATENATE(DATA!$A$2:$A$1036, DATA!$D$2:$D$1036), 0)), 0)</f>
        <v>3393012.0817549787</v>
      </c>
      <c r="M10" s="12" cm="1">
        <f t="array" aca="1" ref="M10" ca="1">IFERROR(INDEX(DATA!$R$2:$R$1036,
MATCH(CONCATENATE(YEAR(TODAY()), MONTH(TODAY()), Metrica!$C10), CONCATENATE(DATA!$A$2:$A$1036, DATA!$D$2:$D$1036), 0)), 0)</f>
        <v>21</v>
      </c>
      <c r="N10" s="11" cm="1">
        <f t="array" aca="1" ref="N10" ca="1">IFERROR(INDEX(DATA!$S$2:$S$1036,
MATCH(CONCATENATE(YEAR(TODAY()), MONTH(TODAY()), Metrica!$C10), CONCATENATE(DATA!$A$2:$A$1036, DATA!$D$2:$D$1036), 0)), 0)</f>
        <v>0</v>
      </c>
      <c r="O10" s="3" t="str" cm="1">
        <f t="array" aca="1" ref="O10" ca="1">IFERROR(IF(INDEX(DATA!$O$2:$O$1036,MATCH(CONCATENATE(YEAR(TODAY()), MONTH(TODAY()), Metrica!$C10), CONCATENATE(DATA!$A$2 $A$1036, DATA!$D$2:$D$1036), 0)) = 0,"",INDEX(DATA!$O$2:$O$1036,MATCH(CONCATENATE(YEAR(TODAY()), MONTH(TODAY()), Metrica!$C10), CONCATENATE(DATA!$A$2:$A$1036, DATA!$D$2:$D$1036), 0))),"")</f>
        <v/>
      </c>
      <c r="P10" s="11" t="str" cm="1">
        <f t="array" aca="1" ref="P10" ca="1">IFERROR(INDEX(DATA!$U$2:$U$1036,
MATCH(CONCATENATE(YEAR(TODAY()), MONTH(TODAY()), Metrica!$C10), CONCATENATE(DATA!$A$2:$A$1036, DATA!$D$2:$D$1036), 0)), 0)</f>
        <v>PENDIENTE</v>
      </c>
    </row>
    <row r="11" spans="1:16" x14ac:dyDescent="0.25">
      <c r="A11" s="1" t="s">
        <v>21</v>
      </c>
      <c r="B11" s="1" t="s">
        <v>24</v>
      </c>
      <c r="C11" s="10" t="s">
        <v>42</v>
      </c>
      <c r="D11" s="3" cm="1">
        <f t="array" aca="1" ref="D11" ca="1">IFERROR(INDEX(DATA!$E$2:$E$1036, MATCH(CONCATENATE(YEAR(TODAY()), MONTH(TODAY()), Metrica!$C11), CONCATENATE(DATA!$A$2:$A$1036, DATA!$D$2:$D$1036), 0)), "")</f>
        <v>45565</v>
      </c>
      <c r="E11" s="1" cm="1">
        <f t="array" aca="1" ref="E11" ca="1">IFERROR(INDEX(DATA!$F$2:$F$1036,
MATCH(CONCATENATE(YEAR(TODAY()), MONTH(TODAY()), Metrica!$C11), CONCATENATE(DATA!$A$2:$A$1036, DATA!$D$2:$D$1036), 0)), "")</f>
        <v>20</v>
      </c>
      <c r="F11" s="1" cm="1">
        <f t="array" aca="1" ref="F11" ca="1">IFERROR(INDEX(DATA!$G$2:$G$1036,
MATCH(CONCATENATE(YEAR(TODAY()), MONTH(TODAY()), Metrica!$C11), CONCATENATE(DATA!$A$2:$A$1036, DATA!$D$2:$D$1036), 0)), "")</f>
        <v>16</v>
      </c>
      <c r="G11" s="11" cm="1">
        <f t="array" aca="1" ref="G11" ca="1">IFERROR(INDEX(DATA!$Q$2:$Q$1036,
MATCH(CONCATENATE(YEAR(TODAY()), MONTH(TODAY()-31), Metrica!$C11), CONCATENATE(DATA!$A$2:$A$1036, DATA!$D$2:$D$1036), 0)), 0)</f>
        <v>12482227.372926835</v>
      </c>
      <c r="H11" s="11" cm="1">
        <f t="array" aca="1" ref="H11" ca="1">IFERROR(INDEX(DATA!$Q$2:$Q$1036,
MATCH(CONCATENATE(YEAR(TODAY()), MONTH(TODAY()), Metrica!$C11), CONCATENATE(DATA!$A$2:$A$1036, DATA!$D$2:$D$1036), 0)), 0)</f>
        <v>11830101.766376307</v>
      </c>
      <c r="I11" s="11" cm="1">
        <f t="array" aca="1" ref="I11" ca="1">IFERROR(INDEX(DATA!$H$2:$H$1036,
MATCH(CONCATENATE(YEAR(TODAY()), MONTH(TODAY()), Metrica!$C11), CONCATENATE(DATA!$A$2:$A$1036, DATA!$D$2:$D$1036), 0)), 0)</f>
        <v>652125.60655052774</v>
      </c>
      <c r="J11" s="11" cm="1">
        <f t="array" aca="1" ref="J11" ca="1">IFERROR(INDEX(DATA!$I$2:$I$1036,
MATCH(CONCATENATE(YEAR(TODAY()), MONTH(TODAY()), Metrica!$C11), CONCATENATE(DATA!$A$2:$A$1036, DATA!$D$2:$D$1036), 0)), 0)</f>
        <v>261137.74728889752</v>
      </c>
      <c r="K11" s="11" cm="1">
        <f t="array" aca="1" ref="K11" ca="1">IFERROR(INDEX(DATA!$L$2:$L$1036,
MATCH(CONCATENATE(YEAR(TODAY()), MONTH(TODAY()), Metrica!$C11), CONCATENATE(DATA!$A$2:$A$1036, DATA!$D$2:$D$1036), 0)), 0)</f>
        <v>0</v>
      </c>
      <c r="L11" s="11" cm="1">
        <f t="array" aca="1" ref="L11" ca="1">IFERROR(INDEX(DATA!$P$2:$P$1036,
MATCH(CONCATENATE(YEAR(TODAY()), MONTH(TODAY()), Metrica!$C11), CONCATENATE(DATA!$A$2:$A$1036, DATA!$D$2:$D$1036), 0)), 0)</f>
        <v>913263.35383942525</v>
      </c>
      <c r="M11" s="12" cm="1">
        <f t="array" aca="1" ref="M11" ca="1">IFERROR(INDEX(DATA!$R$2:$R$1036,
MATCH(CONCATENATE(YEAR(TODAY()), MONTH(TODAY()), Metrica!$C11), CONCATENATE(DATA!$A$2:$A$1036, DATA!$D$2:$D$1036), 0)), 0)</f>
        <v>4</v>
      </c>
      <c r="N11" s="11" cm="1">
        <f t="array" aca="1" ref="N11" ca="1">IFERROR(INDEX(DATA!$S$2:$S$1036,
MATCH(CONCATENATE(YEAR(TODAY()), MONTH(TODAY()), Metrica!$C11), CONCATENATE(DATA!$A$2:$A$1036, DATA!$D$2:$D$1036), 0)), 0)</f>
        <v>0</v>
      </c>
      <c r="O11" s="3" t="str" cm="1">
        <f t="array" aca="1" ref="O11" ca="1">IFERROR(IF(INDEX(DATA!$O$2:$O$1036,MATCH(CONCATENATE(YEAR(TODAY()), MONTH(TODAY()), Metrica!$C11), CONCATENATE(DATA!$A$2 $A$1036, DATA!$D$2:$D$1036), 0)) = 0,"",INDEX(DATA!$O$2:$O$1036,MATCH(CONCATENATE(YEAR(TODAY()), MONTH(TODAY()), Metrica!$C11), CONCATENATE(DATA!$A$2:$A$1036, DATA!$D$2:$D$1036), 0))),"")</f>
        <v/>
      </c>
      <c r="P11" s="11" t="str" cm="1">
        <f t="array" aca="1" ref="P11" ca="1">IFERROR(INDEX(DATA!$U$2:$U$1036,
MATCH(CONCATENATE(YEAR(TODAY()), MONTH(TODAY()), Metrica!$C11), CONCATENATE(DATA!$A$2:$A$1036, DATA!$D$2:$D$1036), 0)), 0)</f>
        <v>PENDIENTE</v>
      </c>
    </row>
    <row r="12" spans="1:16" x14ac:dyDescent="0.25">
      <c r="A12" s="1" t="s">
        <v>21</v>
      </c>
      <c r="B12" s="1" t="s">
        <v>20</v>
      </c>
      <c r="C12" s="2" t="s">
        <v>55</v>
      </c>
      <c r="D12" s="3" cm="1">
        <f t="array" aca="1" ref="D12" ca="1">IFERROR(INDEX(DATA!$E$2:$E$1036, MATCH(CONCATENATE(YEAR(TODAY()), MONTH(TODAY()), Metrica!$C12), CONCATENATE(DATA!$A$2:$A$1036, DATA!$D$2:$D$1036), 0)), "")</f>
        <v>45564</v>
      </c>
      <c r="E12" s="1" cm="1">
        <f t="array" aca="1" ref="E12" ca="1">IFERROR(INDEX(DATA!$F$2:$F$1036,
MATCH(CONCATENATE(YEAR(TODAY()), MONTH(TODAY()), Metrica!$C12), CONCATENATE(DATA!$A$2:$A$1036, DATA!$D$2:$D$1036), 0)), "")</f>
        <v>10</v>
      </c>
      <c r="F12" s="1" cm="1">
        <f t="array" aca="1" ref="F12" ca="1">IFERROR(INDEX(DATA!$G$2:$G$1036,
MATCH(CONCATENATE(YEAR(TODAY()), MONTH(TODAY()), Metrica!$C12), CONCATENATE(DATA!$A$2:$A$1036, DATA!$D$2:$D$1036), 0)), "")</f>
        <v>2</v>
      </c>
      <c r="G12" s="11" cm="1">
        <f t="array" aca="1" ref="G12" ca="1">IFERROR(INDEX(DATA!$Q$2:$Q$1036,
MATCH(CONCATENATE(YEAR(TODAY()), MONTH(TODAY()-31), Metrica!$C12), CONCATENATE(DATA!$A$2:$A$1036, DATA!$D$2:$D$1036), 0)), 0)</f>
        <v>15000000</v>
      </c>
      <c r="H12" s="11" cm="1">
        <f t="array" aca="1" ref="H12" ca="1">IFERROR(INDEX(DATA!$Q$2:$Q$1036,
MATCH(CONCATENATE(YEAR(TODAY()), MONTH(TODAY()), Metrica!$C12), CONCATENATE(DATA!$A$2:$A$1036, DATA!$D$2:$D$1036), 0)), 0)</f>
        <v>10000000</v>
      </c>
      <c r="I12" s="11" cm="1">
        <f t="array" aca="1" ref="I12" ca="1">IFERROR(INDEX(DATA!$H$2:$H$1036,
MATCH(CONCATENATE(YEAR(TODAY()), MONTH(TODAY()), Metrica!$C12), CONCATENATE(DATA!$A$2:$A$1036, DATA!$D$2:$D$1036), 0)), 0)</f>
        <v>5000000</v>
      </c>
      <c r="J12" s="11" cm="1">
        <f t="array" aca="1" ref="J12" ca="1">IFERROR(INDEX(DATA!$I$2:$I$1036,
MATCH(CONCATENATE(YEAR(TODAY()), MONTH(TODAY()), Metrica!$C12), CONCATENATE(DATA!$A$2:$A$1036, DATA!$D$2:$D$1036), 0)), 0)</f>
        <v>241475</v>
      </c>
      <c r="K12" s="11" cm="1">
        <f t="array" aca="1" ref="K12" ca="1">IFERROR(INDEX(DATA!$L$2:$L$1036,
MATCH(CONCATENATE(YEAR(TODAY()), MONTH(TODAY()), Metrica!$C12), CONCATENATE(DATA!$A$2:$A$1036, DATA!$D$2:$D$1036), 0)), 0)</f>
        <v>204505.66666666698</v>
      </c>
      <c r="L12" s="11" cm="1">
        <f t="array" aca="1" ref="L12" ca="1">IFERROR(INDEX(DATA!$P$2:$P$1036,
MATCH(CONCATENATE(YEAR(TODAY()), MONTH(TODAY()), Metrica!$C12), CONCATENATE(DATA!$A$2:$A$1036, DATA!$D$2:$D$1036), 0)), 0)</f>
        <v>5445980.666666667</v>
      </c>
      <c r="M12" s="12" cm="1">
        <f t="array" aca="1" ref="M12" ca="1">IFERROR(INDEX(DATA!$R$2:$R$1036,
MATCH(CONCATENATE(YEAR(TODAY()), MONTH(TODAY()), Metrica!$C12), CONCATENATE(DATA!$A$2:$A$1036, DATA!$D$2:$D$1036), 0)), 0)</f>
        <v>-26</v>
      </c>
      <c r="N12" s="11" cm="1">
        <f t="array" aca="1" ref="N12" ca="1">IFERROR(INDEX(DATA!$S$2:$S$1036,
MATCH(CONCATENATE(YEAR(TODAY()), MONTH(TODAY()), Metrica!$C12), CONCATENATE(DATA!$A$2:$A$1036, DATA!$D$2:$D$1036), 0)), 0)</f>
        <v>0</v>
      </c>
      <c r="O12" s="3" t="str" cm="1">
        <f t="array" aca="1" ref="O12" ca="1">IFERROR(IF(INDEX(DATA!$O$2:$O$1036,MATCH(CONCATENATE(YEAR(TODAY()), MONTH(TODAY()), Metrica!$C12), CONCATENATE(DATA!$A$2 $A$1036, DATA!$D$2:$D$1036), 0)) = 0,"",INDEX(DATA!$O$2:$O$1036,MATCH(CONCATENATE(YEAR(TODAY()), MONTH(TODAY()), Metrica!$C12), CONCATENATE(DATA!$A$2:$A$1036, DATA!$D$2:$D$1036), 0))),"")</f>
        <v/>
      </c>
      <c r="P12" s="11" t="str" cm="1">
        <f t="array" aca="1" ref="P12" ca="1">IFERROR(INDEX(DATA!$U$2:$U$1036,
MATCH(CONCATENATE(YEAR(TODAY()), MONTH(TODAY()), Metrica!$C12), CONCATENATE(DATA!$A$2:$A$1036, DATA!$D$2:$D$1036), 0)), 0)</f>
        <v>PENDIENTE</v>
      </c>
    </row>
    <row r="13" spans="1:16" x14ac:dyDescent="0.25">
      <c r="A13" s="1" t="s">
        <v>25</v>
      </c>
      <c r="B13" s="1" t="s">
        <v>20</v>
      </c>
      <c r="C13" s="13">
        <v>8140098556</v>
      </c>
      <c r="D13" s="3" cm="1">
        <f t="array" aca="1" ref="D13" ca="1">IFERROR(INDEX(DATA!$E$2:$E$1036, MATCH(CONCATENATE(YEAR(TODAY()), MONTH(TODAY()), Metrica!$C13), CONCATENATE(DATA!$A$2:$A$1036, DATA!$D$2:$D$1036), 0)), "")</f>
        <v>45565</v>
      </c>
      <c r="E13" s="1" cm="1">
        <f t="array" aca="1" ref="E13" ca="1">IFERROR(INDEX(DATA!$F$2:$F$1036,
MATCH(CONCATENATE(YEAR(TODAY()), MONTH(TODAY()), Metrica!$C13), CONCATENATE(DATA!$A$2:$A$1036, DATA!$D$2:$D$1036), 0)), "")</f>
        <v>13</v>
      </c>
      <c r="F13" s="1" cm="1">
        <f t="array" aca="1" ref="F13" ca="1">IFERROR(INDEX(DATA!$G$2:$G$1036,
MATCH(CONCATENATE(YEAR(TODAY()), MONTH(TODAY()), Metrica!$C13), CONCATENATE(DATA!$A$2:$A$1036, DATA!$D$2:$D$1036), 0)), "")</f>
        <v>9</v>
      </c>
      <c r="G13" s="11" cm="1">
        <f t="array" aca="1" ref="G13" ca="1">IFERROR(INDEX(DATA!$Q$2:$Q$1036,
MATCH(CONCATENATE(YEAR(TODAY()), MONTH(TODAY()-31), Metrica!$C13), CONCATENATE(DATA!$A$2:$A$1036, DATA!$D$2:$D$1036), 0)), 0)</f>
        <v>16859504</v>
      </c>
      <c r="H13" s="11" cm="1">
        <f t="array" aca="1" ref="H13" ca="1">IFERROR(INDEX(DATA!$Q$2:$Q$1036,
MATCH(CONCATENATE(YEAR(TODAY()), MONTH(TODAY()), Metrica!$C13), CONCATENATE(DATA!$A$2:$A$1036, DATA!$D$2:$D$1036), 0)), 0)</f>
        <v>15173582</v>
      </c>
      <c r="I13" s="11" cm="1">
        <f t="array" aca="1" ref="I13" ca="1">IFERROR(INDEX(DATA!$H$2:$H$1036,
MATCH(CONCATENATE(YEAR(TODAY()), MONTH(TODAY()), Metrica!$C13), CONCATENATE(DATA!$A$2:$A$1036, DATA!$D$2:$D$1036), 0)), 0)</f>
        <v>1685922</v>
      </c>
      <c r="J13" s="11" cm="1">
        <f t="array" aca="1" ref="J13" ca="1">IFERROR(INDEX(DATA!$I$2:$I$1036,
MATCH(CONCATENATE(YEAR(TODAY()), MONTH(TODAY()), Metrica!$C13), CONCATENATE(DATA!$A$2:$A$1036, DATA!$D$2:$D$1036), 0)), 0)</f>
        <v>257568.73023848006</v>
      </c>
      <c r="K13" s="11" cm="1">
        <f t="array" aca="1" ref="K13" ca="1">IFERROR(INDEX(DATA!$L$2:$L$1036,
MATCH(CONCATENATE(YEAR(TODAY()), MONTH(TODAY()), Metrica!$C13), CONCATENATE(DATA!$A$2:$A$1036, DATA!$D$2:$D$1036), 0)), 0)</f>
        <v>0</v>
      </c>
      <c r="L13" s="11" cm="1">
        <f t="array" aca="1" ref="L13" ca="1">IFERROR(INDEX(DATA!$P$2:$P$1036,
MATCH(CONCATENATE(YEAR(TODAY()), MONTH(TODAY()), Metrica!$C13), CONCATENATE(DATA!$A$2:$A$1036, DATA!$D$2:$D$1036), 0)), 0)</f>
        <v>1943490.73023848</v>
      </c>
      <c r="M13" s="12" cm="1">
        <f t="array" aca="1" ref="M13" ca="1">IFERROR(INDEX(DATA!$R$2:$R$1036,
MATCH(CONCATENATE(YEAR(TODAY()), MONTH(TODAY()), Metrica!$C13), CONCATENATE(DATA!$A$2:$A$1036, DATA!$D$2:$D$1036), 0)), 0)</f>
        <v>3</v>
      </c>
      <c r="N13" s="11" cm="1">
        <f t="array" aca="1" ref="N13" ca="1">IFERROR(INDEX(DATA!$S$2:$S$1036,
MATCH(CONCATENATE(YEAR(TODAY()), MONTH(TODAY()), Metrica!$C13), CONCATENATE(DATA!$A$2:$A$1036, DATA!$D$2:$D$1036), 0)), 0)</f>
        <v>0</v>
      </c>
      <c r="O13" s="3" t="str" cm="1">
        <f t="array" aca="1" ref="O13" ca="1">IFERROR(IF(INDEX(DATA!$O$2:$O$1036,MATCH(CONCATENATE(YEAR(TODAY()), MONTH(TODAY()), Metrica!$C13), CONCATENATE(DATA!$A$2 $A$1036, DATA!$D$2:$D$1036), 0)) = 0,"",INDEX(DATA!$O$2:$O$1036,MATCH(CONCATENATE(YEAR(TODAY()), MONTH(TODAY()), Metrica!$C13), CONCATENATE(DATA!$A$2:$A$1036, DATA!$D$2:$D$1036), 0))),"")</f>
        <v/>
      </c>
      <c r="P13" s="11" t="str" cm="1">
        <f t="array" aca="1" ref="P13" ca="1">IFERROR(INDEX(DATA!$U$2:$U$1036,
MATCH(CONCATENATE(YEAR(TODAY()), MONTH(TODAY()), Metrica!$C13), CONCATENATE(DATA!$A$2:$A$1036, DATA!$D$2:$D$1036), 0)), 0)</f>
        <v>PENDIENTE</v>
      </c>
    </row>
    <row r="14" spans="1:16" x14ac:dyDescent="0.25">
      <c r="A14" s="1" t="s">
        <v>40</v>
      </c>
      <c r="B14" s="1" t="s">
        <v>24</v>
      </c>
      <c r="C14" s="10" t="s">
        <v>46</v>
      </c>
      <c r="D14" s="3" cm="1">
        <f t="array" aca="1" ref="D14" ca="1">IFERROR(INDEX(DATA!$E$2:$E$1036, MATCH(CONCATENATE(YEAR(TODAY()), MONTH(TODAY()), Metrica!$C14), CONCATENATE(DATA!$A$2:$A$1036, DATA!$D$2:$D$1036), 0)), "")</f>
        <v>45545</v>
      </c>
      <c r="E14" s="1" cm="1">
        <f t="array" aca="1" ref="E14" ca="1">IFERROR(INDEX(DATA!$F$2:$F$1036,
MATCH(CONCATENATE(YEAR(TODAY()), MONTH(TODAY()), Metrica!$C14), CONCATENATE(DATA!$A$2:$A$1036, DATA!$D$2:$D$1036), 0)), "")</f>
        <v>30</v>
      </c>
      <c r="F14" s="1" cm="1">
        <f t="array" aca="1" ref="F14" ca="1">IFERROR(INDEX(DATA!$G$2:$G$1036,
MATCH(CONCATENATE(YEAR(TODAY()), MONTH(TODAY()), Metrica!$C14), CONCATENATE(DATA!$A$2:$A$1036, DATA!$D$2:$D$1036), 0)), "")</f>
        <v>30</v>
      </c>
      <c r="G14" s="11" cm="1">
        <f t="array" aca="1" ref="G14" ca="1">IFERROR(INDEX(DATA!$Q$2:$Q$1036,
MATCH(CONCATENATE(YEAR(TODAY()), MONTH(TODAY()-31), Metrica!$C14), CONCATENATE(DATA!$A$2:$A$1036, DATA!$D$2:$D$1036), 0)), 0)</f>
        <v>19644720.904379617</v>
      </c>
      <c r="H14" s="11" cm="1">
        <f t="array" aca="1" ref="H14" ca="1">IFERROR(INDEX(DATA!$Q$2:$Q$1036,
MATCH(CONCATENATE(YEAR(TODAY()), MONTH(TODAY()), Metrica!$C14), CONCATENATE(DATA!$A$2:$A$1036, DATA!$D$2:$D$1036), 0)), 0)</f>
        <v>19155132.49535403</v>
      </c>
      <c r="I14" s="11" cm="1">
        <f t="array" aca="1" ref="I14" ca="1">IFERROR(INDEX(DATA!$H$2:$H$1036,
MATCH(CONCATENATE(YEAR(TODAY()), MONTH(TODAY()), Metrica!$C14), CONCATENATE(DATA!$A$2:$A$1036, DATA!$D$2:$D$1036), 0)), 0)</f>
        <v>489588.40902558819</v>
      </c>
      <c r="J14" s="11" cm="1">
        <f t="array" aca="1" ref="J14" ca="1">IFERROR(INDEX(DATA!$I$2:$I$1036,
MATCH(CONCATENATE(YEAR(TODAY()), MONTH(TODAY()), Metrica!$C14), CONCATENATE(DATA!$A$2:$A$1036, DATA!$D$2:$D$1036), 0)), 0)</f>
        <v>371285.22509277478</v>
      </c>
      <c r="K14" s="11" cm="1">
        <f t="array" aca="1" ref="K14" ca="1">IFERROR(INDEX(DATA!$L$2:$L$1036,
MATCH(CONCATENATE(YEAR(TODAY()), MONTH(TODAY()), Metrica!$C14), CONCATENATE(DATA!$A$2:$A$1036, DATA!$D$2:$D$1036), 0)), 0)</f>
        <v>0</v>
      </c>
      <c r="L14" s="11" cm="1">
        <f t="array" aca="1" ref="L14" ca="1">IFERROR(INDEX(DATA!$P$2:$P$1036,
MATCH(CONCATENATE(YEAR(TODAY()), MONTH(TODAY()), Metrica!$C14), CONCATENATE(DATA!$A$2:$A$1036, DATA!$D$2:$D$1036), 0)), 0)</f>
        <v>860873.63411836303</v>
      </c>
      <c r="M14" s="12" cm="1">
        <f t="array" aca="1" ref="M14" ca="1">IFERROR(INDEX(DATA!$R$2:$R$1036,
MATCH(CONCATENATE(YEAR(TODAY()), MONTH(TODAY()), Metrica!$C14), CONCATENATE(DATA!$A$2:$A$1036, DATA!$D$2:$D$1036), 0)), 0)</f>
        <v>24</v>
      </c>
      <c r="N14" s="11" cm="1">
        <f t="array" aca="1" ref="N14" ca="1">IFERROR(INDEX(DATA!$S$2:$S$1036,
MATCH(CONCATENATE(YEAR(TODAY()), MONTH(TODAY()), Metrica!$C14), CONCATENATE(DATA!$A$2:$A$1036, DATA!$D$2:$D$1036), 0)), 0)</f>
        <v>0</v>
      </c>
      <c r="O14" s="3" t="str" cm="1">
        <f t="array" aca="1" ref="O14" ca="1">IFERROR(IF(INDEX(DATA!$O$2:$O$1036,MATCH(CONCATENATE(YEAR(TODAY()), MONTH(TODAY()), Metrica!$C14), CONCATENATE(DATA!$A$2 $A$1036, DATA!$D$2:$D$1036), 0)) = 0,"",INDEX(DATA!$O$2:$O$1036,MATCH(CONCATENATE(YEAR(TODAY()), MONTH(TODAY()), Metrica!$C14), CONCATENATE(DATA!$A$2:$A$1036, DATA!$D$2:$D$1036), 0))),"")</f>
        <v/>
      </c>
      <c r="P14" s="11" t="str" cm="1">
        <f t="array" aca="1" ref="P14" ca="1">IFERROR(INDEX(DATA!$U$2:$U$1036,
MATCH(CONCATENATE(YEAR(TODAY()), MONTH(TODAY()), Metrica!$C14), CONCATENATE(DATA!$A$2:$A$1036, DATA!$D$2:$D$1036), 0)), 0)</f>
        <v>PENDIENTE</v>
      </c>
    </row>
    <row r="15" spans="1:16" x14ac:dyDescent="0.25">
      <c r="A15" s="1" t="s">
        <v>21</v>
      </c>
      <c r="B15" s="1" t="s">
        <v>24</v>
      </c>
      <c r="C15" s="10">
        <v>111000149294</v>
      </c>
      <c r="D15" s="3" cm="1">
        <f t="array" aca="1" ref="D15" ca="1">IFERROR(INDEX(DATA!$E$2:$E$1036, MATCH(CONCATENATE(YEAR(TODAY()), MONTH(TODAY()), Metrica!$C15), CONCATENATE(DATA!$A$2:$A$1036, DATA!$D$2:$D$1036), 0)), "")</f>
        <v>45547</v>
      </c>
      <c r="E15" s="1" cm="1">
        <f t="array" aca="1" ref="E15" ca="1">IFERROR(INDEX(DATA!$F$2:$F$1036,
MATCH(CONCATENATE(YEAR(TODAY()), MONTH(TODAY()), Metrica!$C15), CONCATENATE(DATA!$A$2:$A$1036, DATA!$D$2:$D$1036), 0)), "")</f>
        <v>35</v>
      </c>
      <c r="F15" s="1" cm="1">
        <f t="array" aca="1" ref="F15" ca="1">IFERROR(INDEX(DATA!$G$2:$G$1036,
MATCH(CONCATENATE(YEAR(TODAY()), MONTH(TODAY()), Metrica!$C15), CONCATENATE(DATA!$A$2:$A$1036, DATA!$D$2:$D$1036), 0)), "")</f>
        <v>1</v>
      </c>
      <c r="G15" s="11" cm="1">
        <f t="array" aca="1" ref="G15" ca="1">IFERROR(INDEX(DATA!$Q$2:$Q$1036,
MATCH(CONCATENATE(YEAR(TODAY()), MONTH(TODAY()-31), Metrica!$C15), CONCATENATE(DATA!$A$2:$A$1036, DATA!$D$2:$D$1036), 0)), 0)</f>
        <v>27948784.589999974</v>
      </c>
      <c r="H15" s="11" cm="1">
        <f t="array" aca="1" ref="H15" ca="1">IFERROR(INDEX(DATA!$Q$2:$Q$1036,
MATCH(CONCATENATE(YEAR(TODAY()), MONTH(TODAY()), Metrica!$C15), CONCATENATE(DATA!$A$2:$A$1036, DATA!$D$2:$D$1036), 0)), 0)</f>
        <v>22998688.169999972</v>
      </c>
      <c r="I15" s="11" cm="1">
        <f t="array" aca="1" ref="I15" ca="1">IFERROR(INDEX(DATA!$H$2:$H$1036,
MATCH(CONCATENATE(YEAR(TODAY()), MONTH(TODAY()), Metrica!$C15), CONCATENATE(DATA!$A$2:$A$1036, DATA!$D$2:$D$1036), 0)), 0)</f>
        <v>4950096.42</v>
      </c>
      <c r="J15" s="11" cm="1">
        <f t="array" aca="1" ref="J15" ca="1">IFERROR(INDEX(DATA!$I$2:$I$1036,
MATCH(CONCATENATE(YEAR(TODAY()), MONTH(TODAY()), Metrica!$C15), CONCATENATE(DATA!$A$2:$A$1036, DATA!$D$2:$D$1036), 0)), 0)</f>
        <v>146692.96335894632</v>
      </c>
      <c r="K15" s="11" cm="1">
        <f t="array" aca="1" ref="K15" ca="1">IFERROR(INDEX(DATA!$L$2:$L$1036,
MATCH(CONCATENATE(YEAR(TODAY()), MONTH(TODAY()), Metrica!$C15), CONCATENATE(DATA!$A$2:$A$1036, DATA!$D$2:$D$1036), 0)), 0)</f>
        <v>0</v>
      </c>
      <c r="L15" s="11" cm="1">
        <f t="array" aca="1" ref="L15" ca="1">IFERROR(INDEX(DATA!$P$2:$P$1036,
MATCH(CONCATENATE(YEAR(TODAY()), MONTH(TODAY()), Metrica!$C15), CONCATENATE(DATA!$A$2:$A$1036, DATA!$D$2:$D$1036), 0)), 0)</f>
        <v>5096789.3833589461</v>
      </c>
      <c r="M15" s="12" cm="1">
        <f t="array" aca="1" ref="M15" ca="1">IFERROR(INDEX(DATA!$R$2:$R$1036,
MATCH(CONCATENATE(YEAR(TODAY()), MONTH(TODAY()), Metrica!$C15), CONCATENATE(DATA!$A$2:$A$1036, DATA!$D$2:$D$1036), 0)), 0)</f>
        <v>22</v>
      </c>
      <c r="N15" s="11" cm="1">
        <f t="array" aca="1" ref="N15" ca="1">IFERROR(INDEX(DATA!$S$2:$S$1036,
MATCH(CONCATENATE(YEAR(TODAY()), MONTH(TODAY()), Metrica!$C15), CONCATENATE(DATA!$A$2:$A$1036, DATA!$D$2:$D$1036), 0)), 0)</f>
        <v>0</v>
      </c>
      <c r="O15" s="3" t="str" cm="1">
        <f t="array" aca="1" ref="O15" ca="1">IFERROR(IF(INDEX(DATA!$O$2:$O$1036,MATCH(CONCATENATE(YEAR(TODAY()), MONTH(TODAY()), Metrica!$C15), CONCATENATE(DATA!$A$2 $A$1036, DATA!$D$2:$D$1036), 0)) = 0,"",INDEX(DATA!$O$2:$O$1036,MATCH(CONCATENATE(YEAR(TODAY()), MONTH(TODAY()), Metrica!$C15), CONCATENATE(DATA!$A$2:$A$1036, DATA!$D$2:$D$1036), 0))),"")</f>
        <v/>
      </c>
      <c r="P15" s="11" t="str" cm="1">
        <f t="array" aca="1" ref="P15" ca="1">IFERROR(INDEX(DATA!$U$2:$U$1036,
MATCH(CONCATENATE(YEAR(TODAY()), MONTH(TODAY()), Metrica!$C15), CONCATENATE(DATA!$A$2:$A$1036, DATA!$D$2:$D$1036), 0)), 0)</f>
        <v>PENDIENTE</v>
      </c>
    </row>
    <row r="16" spans="1:16" x14ac:dyDescent="0.25">
      <c r="A16" s="1" t="s">
        <v>21</v>
      </c>
      <c r="B16" s="1" t="s">
        <v>24</v>
      </c>
      <c r="C16" s="10" t="s">
        <v>31</v>
      </c>
      <c r="D16" s="3" cm="1">
        <f t="array" aca="1" ref="D16" ca="1">IFERROR(INDEX(DATA!$E$2:$E$1036, MATCH(CONCATENATE(YEAR(TODAY()), MONTH(TODAY()), Metrica!$C16), CONCATENATE(DATA!$A$2:$A$1036, DATA!$D$2:$D$1036), 0)), "")</f>
        <v>45560</v>
      </c>
      <c r="E16" s="1" cm="1">
        <f t="array" aca="1" ref="E16" ca="1">IFERROR(INDEX(DATA!$F$2:$F$1036,
MATCH(CONCATENATE(YEAR(TODAY()), MONTH(TODAY()), Metrica!$C16), CONCATENATE(DATA!$A$2:$A$1036, DATA!$D$2:$D$1036), 0)), "")</f>
        <v>23</v>
      </c>
      <c r="F16" s="1" cm="1">
        <f t="array" aca="1" ref="F16" ca="1">IFERROR(INDEX(DATA!$G$2:$G$1036,
MATCH(CONCATENATE(YEAR(TODAY()), MONTH(TODAY()), Metrica!$C16), CONCATENATE(DATA!$A$2:$A$1036, DATA!$D$2:$D$1036), 0)), "")</f>
        <v>13</v>
      </c>
      <c r="G16" s="11" cm="1">
        <f t="array" aca="1" ref="G16" ca="1">IFERROR(INDEX(DATA!$Q$2:$Q$1036,
MATCH(CONCATENATE(YEAR(TODAY()), MONTH(TODAY()-31), Metrica!$C16), CONCATENATE(DATA!$A$2:$A$1036, DATA!$D$2:$D$1036), 0)), 0)</f>
        <v>35960145.059285872</v>
      </c>
      <c r="H16" s="11" cm="1">
        <f t="array" aca="1" ref="H16" ca="1">IFERROR(INDEX(DATA!$Q$2:$Q$1036,
MATCH(CONCATENATE(YEAR(TODAY()), MONTH(TODAY()), Metrica!$C16), CONCATENATE(DATA!$A$2:$A$1036, DATA!$D$2:$D$1036), 0)), 0)</f>
        <v>33691408.013148397</v>
      </c>
      <c r="I16" s="11" cm="1">
        <f t="array" aca="1" ref="I16" ca="1">IFERROR(INDEX(DATA!$H$2:$H$1036,
MATCH(CONCATENATE(YEAR(TODAY()), MONTH(TODAY()), Metrica!$C16), CONCATENATE(DATA!$A$2:$A$1036, DATA!$D$2:$D$1036), 0)), 0)</f>
        <v>2268737.0461374735</v>
      </c>
      <c r="J16" s="11" cm="1">
        <f t="array" aca="1" ref="J16" ca="1">IFERROR(INDEX(DATA!$I$2:$I$1036,
MATCH(CONCATENATE(YEAR(TODAY()), MONTH(TODAY()), Metrica!$C16), CONCATENATE(DATA!$A$2:$A$1036, DATA!$D$2:$D$1036), 0)), 0)</f>
        <v>636335.29386252642</v>
      </c>
      <c r="K16" s="11" cm="1">
        <f t="array" aca="1" ref="K16" ca="1">IFERROR(INDEX(DATA!$L$2:$L$1036,
MATCH(CONCATENATE(YEAR(TODAY()), MONTH(TODAY()), Metrica!$C16), CONCATENATE(DATA!$A$2:$A$1036, DATA!$D$2:$D$1036), 0)), 0)</f>
        <v>0</v>
      </c>
      <c r="L16" s="11" cm="1">
        <f t="array" aca="1" ref="L16" ca="1">IFERROR(INDEX(DATA!$P$2:$P$1036,
MATCH(CONCATENATE(YEAR(TODAY()), MONTH(TODAY()), Metrica!$C16), CONCATENATE(DATA!$A$2:$A$1036, DATA!$D$2:$D$1036), 0)), 0)</f>
        <v>2905072.34</v>
      </c>
      <c r="M16" s="12" cm="1">
        <f t="array" aca="1" ref="M16" ca="1">IFERROR(INDEX(DATA!$R$2:$R$1036,
MATCH(CONCATENATE(YEAR(TODAY()), MONTH(TODAY()), Metrica!$C16), CONCATENATE(DATA!$A$2:$A$1036, DATA!$D$2:$D$1036), 0)), 0)</f>
        <v>9</v>
      </c>
      <c r="N16" s="11" cm="1">
        <f t="array" aca="1" ref="N16" ca="1">IFERROR(INDEX(DATA!$S$2:$S$1036,
MATCH(CONCATENATE(YEAR(TODAY()), MONTH(TODAY()), Metrica!$C16), CONCATENATE(DATA!$A$2:$A$1036, DATA!$D$2:$D$1036), 0)), 0)</f>
        <v>0</v>
      </c>
      <c r="O16" s="3" t="str" cm="1">
        <f t="array" aca="1" ref="O16" ca="1">IFERROR(IF(INDEX(DATA!$O$2:$O$1036,MATCH(CONCATENATE(YEAR(TODAY()), MONTH(TODAY()), Metrica!$C16), CONCATENATE(DATA!$A$2 $A$1036, DATA!$D$2:$D$1036), 0)) = 0,"",INDEX(DATA!$O$2:$O$1036,MATCH(CONCATENATE(YEAR(TODAY()), MONTH(TODAY()), Metrica!$C16), CONCATENATE(DATA!$A$2:$A$1036, DATA!$D$2:$D$1036), 0))),"")</f>
        <v/>
      </c>
      <c r="P16" s="11" t="str" cm="1">
        <f t="array" aca="1" ref="P16" ca="1">IFERROR(INDEX(DATA!$U$2:$U$1036,
MATCH(CONCATENATE(YEAR(TODAY()), MONTH(TODAY()), Metrica!$C16), CONCATENATE(DATA!$A$2:$A$1036, DATA!$D$2:$D$1036), 0)), 0)</f>
        <v>PENDIENTE</v>
      </c>
    </row>
    <row r="17" spans="1:16" x14ac:dyDescent="0.25">
      <c r="A17" s="1" t="s">
        <v>40</v>
      </c>
      <c r="B17" s="1" t="s">
        <v>39</v>
      </c>
      <c r="C17" s="10">
        <v>5904046002318540</v>
      </c>
      <c r="D17" s="3" cm="1">
        <f t="array" aca="1" ref="D17" ca="1">IFERROR(INDEX(DATA!$E$2:$E$1036, MATCH(CONCATENATE(YEAR(TODAY()), MONTH(TODAY()), Metrica!$C17), CONCATENATE(DATA!$A$2:$A$1036, DATA!$D$2:$D$1036), 0)), "")</f>
        <v>45550</v>
      </c>
      <c r="E17" s="1" cm="1">
        <f t="array" aca="1" ref="E17" ca="1">IFERROR(INDEX(DATA!$F$2:$F$1036,
MATCH(CONCATENATE(YEAR(TODAY()), MONTH(TODAY()), Metrica!$C17), CONCATENATE(DATA!$A$2:$A$1036, DATA!$D$2:$D$1036), 0)), "")</f>
        <v>45</v>
      </c>
      <c r="F17" s="1" cm="1">
        <f t="array" aca="1" ref="F17" ca="1">IFERROR(INDEX(DATA!$G$2:$G$1036,
MATCH(CONCATENATE(YEAR(TODAY()), MONTH(TODAY()), Metrica!$C17), CONCATENATE(DATA!$A$2:$A$1036, DATA!$D$2:$D$1036), 0)), "")</f>
        <v>75</v>
      </c>
      <c r="G17" s="11" cm="1">
        <f t="array" aca="1" ref="G17" ca="1">IFERROR(INDEX(DATA!$Q$2:$Q$1036,
MATCH(CONCATENATE(YEAR(TODAY()), MONTH(TODAY()-31), Metrica!$C17), CONCATENATE(DATA!$A$2:$A$1036, DATA!$D$2:$D$1036), 0)), 0)</f>
        <v>47853610.679999955</v>
      </c>
      <c r="H17" s="11" cm="1">
        <f t="array" aca="1" ref="H17" ca="1">IFERROR(INDEX(DATA!$Q$2:$Q$1036,
MATCH(CONCATENATE(YEAR(TODAY()), MONTH(TODAY()), Metrica!$C17), CONCATENATE(DATA!$A$2:$A$1036, DATA!$D$2:$D$1036), 0)), 0)</f>
        <v>47253916.579999954</v>
      </c>
      <c r="I17" s="11" cm="1">
        <f t="array" aca="1" ref="I17" ca="1">IFERROR(INDEX(DATA!$H$2:$H$1036,
MATCH(CONCATENATE(YEAR(TODAY()), MONTH(TODAY()), Metrica!$C17), CONCATENATE(DATA!$A$2:$A$1036, DATA!$D$2:$D$1036), 0)), 0)</f>
        <v>599694.1</v>
      </c>
      <c r="J17" s="11" cm="1">
        <f t="array" aca="1" ref="J17" ca="1">IFERROR(INDEX(DATA!$I$2:$I$1036,
MATCH(CONCATENATE(YEAR(TODAY()), MONTH(TODAY()), Metrica!$C17), CONCATENATE(DATA!$A$2:$A$1036, DATA!$D$2:$D$1036), 0)), 0)</f>
        <v>371072.86211476254</v>
      </c>
      <c r="K17" s="11" cm="1">
        <f t="array" aca="1" ref="K17" ca="1">IFERROR(INDEX(DATA!$L$2:$L$1036,
MATCH(CONCATENATE(YEAR(TODAY()), MONTH(TODAY()), Metrica!$C17), CONCATENATE(DATA!$A$2:$A$1036, DATA!$D$2:$D$1036), 0)), 0)</f>
        <v>0</v>
      </c>
      <c r="L17" s="11" cm="1">
        <f t="array" aca="1" ref="L17" ca="1">IFERROR(INDEX(DATA!$P$2:$P$1036,
MATCH(CONCATENATE(YEAR(TODAY()), MONTH(TODAY()), Metrica!$C17), CONCATENATE(DATA!$A$2:$A$1036, DATA!$D$2:$D$1036), 0)), 0)</f>
        <v>970766.96211476251</v>
      </c>
      <c r="M17" s="12" cm="1">
        <f t="array" aca="1" ref="M17" ca="1">IFERROR(INDEX(DATA!$R$2:$R$1036,
MATCH(CONCATENATE(YEAR(TODAY()), MONTH(TODAY()), Metrica!$C17), CONCATENATE(DATA!$A$2:$A$1036, DATA!$D$2:$D$1036), 0)), 0)</f>
        <v>-12</v>
      </c>
      <c r="N17" s="11" cm="1">
        <f t="array" aca="1" ref="N17" ca="1">IFERROR(INDEX(DATA!$S$2:$S$1036,
MATCH(CONCATENATE(YEAR(TODAY()), MONTH(TODAY()), Metrica!$C17), CONCATENATE(DATA!$A$2:$A$1036, DATA!$D$2:$D$1036), 0)), 0)</f>
        <v>0</v>
      </c>
      <c r="O17" s="3" t="str" cm="1">
        <f t="array" aca="1" ref="O17" ca="1">IFERROR(IF(INDEX(DATA!$O$2:$O$1036,MATCH(CONCATENATE(YEAR(TODAY()), MONTH(TODAY()), Metrica!$C17), CONCATENATE(DATA!$A$2 $A$1036, DATA!$D$2:$D$1036), 0)) = 0,"",INDEX(DATA!$O$2:$O$1036,MATCH(CONCATENATE(YEAR(TODAY()), MONTH(TODAY()), Metrica!$C17), CONCATENATE(DATA!$A$2:$A$1036, DATA!$D$2:$D$1036), 0))),"")</f>
        <v/>
      </c>
      <c r="P17" s="11" t="str" cm="1">
        <f t="array" aca="1" ref="P17" ca="1">IFERROR(INDEX(DATA!$U$2:$U$1036,
MATCH(CONCATENATE(YEAR(TODAY()), MONTH(TODAY()), Metrica!$C17), CONCATENATE(DATA!$A$2:$A$1036, DATA!$D$2:$D$1036), 0)), 0)</f>
        <v>PENDIENTE</v>
      </c>
    </row>
    <row r="18" spans="1:16" x14ac:dyDescent="0.25">
      <c r="A18" s="1" t="s">
        <v>21</v>
      </c>
      <c r="B18" s="1" t="s">
        <v>20</v>
      </c>
      <c r="C18" s="2" t="s">
        <v>23</v>
      </c>
      <c r="D18" s="3" t="str" cm="1">
        <f t="array" aca="1" ref="D18" ca="1">IFERROR(INDEX(DATA!$E$2:$E$1036, MATCH(CONCATENATE(YEAR(TODAY()), MONTH(TODAY()), Metrica!$C18), CONCATENATE(DATA!$A$2:$A$1036, DATA!$D$2:$D$1036), 0)), "")</f>
        <v/>
      </c>
      <c r="E18" s="1" t="str" cm="1">
        <f t="array" aca="1" ref="E18" ca="1">IFERROR(INDEX(DATA!$F$2:$F$1036,
MATCH(CONCATENATE(YEAR(TODAY()), MONTH(TODAY()), Metrica!$C18), CONCATENATE(DATA!$A$2:$A$1036, DATA!$D$2:$D$1036), 0)), "")</f>
        <v/>
      </c>
      <c r="F18" s="1" t="str" cm="1">
        <f t="array" aca="1" ref="F18" ca="1">IFERROR(INDEX(DATA!$G$2:$G$1036,
MATCH(CONCATENATE(YEAR(TODAY()), MONTH(TODAY()), Metrica!$C18), CONCATENATE(DATA!$A$2:$A$1036, DATA!$D$2:$D$1036), 0)), "")</f>
        <v/>
      </c>
      <c r="G18" s="11" cm="1">
        <f t="array" aca="1" ref="G18" ca="1">IFERROR(INDEX(DATA!$Q$2:$Q$1036,
MATCH(CONCATENATE(YEAR(TODAY()), MONTH(TODAY()-31), Metrica!$C18), CONCATENATE(DATA!$A$2:$A$1036, DATA!$D$2:$D$1036), 0)), 0)</f>
        <v>63750000</v>
      </c>
      <c r="H18" s="11" cm="1">
        <f t="array" aca="1" ref="H18" ca="1">IFERROR(INDEX(DATA!$Q$2:$Q$1036,
MATCH(CONCATENATE(YEAR(TODAY()), MONTH(TODAY()), Metrica!$C18), CONCATENATE(DATA!$A$2:$A$1036, DATA!$D$2:$D$1036), 0)), 0)</f>
        <v>0</v>
      </c>
      <c r="I18" s="11" cm="1">
        <f t="array" aca="1" ref="I18" ca="1">IFERROR(INDEX(DATA!$H$2:$H$1036,
MATCH(CONCATENATE(YEAR(TODAY()), MONTH(TODAY()), Metrica!$C18), CONCATENATE(DATA!$A$2:$A$1036, DATA!$D$2:$D$1036), 0)), 0)</f>
        <v>0</v>
      </c>
      <c r="J18" s="11" cm="1">
        <f t="array" aca="1" ref="J18" ca="1">IFERROR(INDEX(DATA!$I$2:$I$1036,
MATCH(CONCATENATE(YEAR(TODAY()), MONTH(TODAY()), Metrica!$C18), CONCATENATE(DATA!$A$2:$A$1036, DATA!$D$2:$D$1036), 0)), 0)</f>
        <v>0</v>
      </c>
      <c r="K18" s="11" cm="1">
        <f t="array" aca="1" ref="K18" ca="1">IFERROR(INDEX(DATA!$L$2:$L$1036,
MATCH(CONCATENATE(YEAR(TODAY()), MONTH(TODAY()), Metrica!$C18), CONCATENATE(DATA!$A$2:$A$1036, DATA!$D$2:$D$1036), 0)), 0)</f>
        <v>0</v>
      </c>
      <c r="L18" s="11" cm="1">
        <f t="array" aca="1" ref="L18" ca="1">IFERROR(INDEX(DATA!$P$2:$P$1036,
MATCH(CONCATENATE(YEAR(TODAY()), MONTH(TODAY()), Metrica!$C18), CONCATENATE(DATA!$A$2:$A$1036, DATA!$D$2:$D$1036), 0)), 0)</f>
        <v>0</v>
      </c>
      <c r="M18" s="12" cm="1">
        <f t="array" aca="1" ref="M18" ca="1">IFERROR(INDEX(DATA!$R$2:$R$1036,
MATCH(CONCATENATE(YEAR(TODAY()), MONTH(TODAY()), Metrica!$C18), CONCATENATE(DATA!$A$2:$A$1036, DATA!$D$2:$D$1036), 0)), 0)</f>
        <v>0</v>
      </c>
      <c r="N18" s="11" cm="1">
        <f t="array" aca="1" ref="N18" ca="1">IFERROR(INDEX(DATA!$S$2:$S$1036,
MATCH(CONCATENATE(YEAR(TODAY()), MONTH(TODAY()), Metrica!$C18), CONCATENATE(DATA!$A$2:$A$1036, DATA!$D$2:$D$1036), 0)), 0)</f>
        <v>0</v>
      </c>
      <c r="O18" s="3" t="str" cm="1">
        <f t="array" aca="1" ref="O18" ca="1">IFERROR(IF(INDEX(DATA!$O$2:$O$1036,MATCH(CONCATENATE(YEAR(TODAY()), MONTH(TODAY()), Metrica!$C18), CONCATENATE(DATA!$A$2 $A$1036, DATA!$D$2:$D$1036), 0)) = 0,"",INDEX(DATA!$O$2:$O$1036,MATCH(CONCATENATE(YEAR(TODAY()), MONTH(TODAY()), Metrica!$C18), CONCATENATE(DATA!$A$2:$A$1036, DATA!$D$2:$D$1036), 0))),"")</f>
        <v/>
      </c>
      <c r="P18" s="11" cm="1">
        <f t="array" aca="1" ref="P18" ca="1">IFERROR(INDEX(DATA!$U$2:$U$1036,
MATCH(CONCATENATE(YEAR(TODAY()), MONTH(TODAY()), Metrica!$C18), CONCATENATE(DATA!$A$2:$A$1036, DATA!$D$2:$D$1036), 0)), 0)</f>
        <v>0</v>
      </c>
    </row>
    <row r="19" spans="1:16" x14ac:dyDescent="0.25">
      <c r="A19" s="1" t="s">
        <v>25</v>
      </c>
      <c r="B19" s="1" t="s">
        <v>39</v>
      </c>
      <c r="C19" s="10" t="s">
        <v>54</v>
      </c>
      <c r="D19" s="3" cm="1">
        <f t="array" aca="1" ref="D19" ca="1">IFERROR(INDEX(DATA!$E$2:$E$1036, MATCH(CONCATENATE(YEAR(TODAY()), MONTH(TODAY()), Metrica!$C19), CONCATENATE(DATA!$A$2:$A$1036, DATA!$D$2:$D$1036), 0)), "")</f>
        <v>45565</v>
      </c>
      <c r="E19" s="1" cm="1">
        <f t="array" aca="1" ref="E19" ca="1">IFERROR(INDEX(DATA!$F$2:$F$1036,
MATCH(CONCATENATE(YEAR(TODAY()), MONTH(TODAY()), Metrica!$C19), CONCATENATE(DATA!$A$2:$A$1036, DATA!$D$2:$D$1036), 0)), "")</f>
        <v>13</v>
      </c>
      <c r="F19" s="1" cm="1">
        <f t="array" aca="1" ref="F19" ca="1">IFERROR(INDEX(DATA!$G$2:$G$1036,
MATCH(CONCATENATE(YEAR(TODAY()), MONTH(TODAY()), Metrica!$C19), CONCATENATE(DATA!$A$2:$A$1036, DATA!$D$2:$D$1036), 0)), "")</f>
        <v>23</v>
      </c>
      <c r="G19" s="11" cm="1">
        <f t="array" aca="1" ref="G19" ca="1">IFERROR(INDEX(DATA!$Q$2:$Q$1036,
MATCH(CONCATENATE(YEAR(TODAY()), MONTH(TODAY()-31), Metrica!$C19), CONCATENATE(DATA!$A$2:$A$1036, DATA!$D$2:$D$1036), 0)), 0)</f>
        <v>68666666.680000007</v>
      </c>
      <c r="H19" s="11" cm="1">
        <f t="array" aca="1" ref="H19" ca="1">IFERROR(INDEX(DATA!$Q$2:$Q$1036,
MATCH(CONCATENATE(YEAR(TODAY()), MONTH(TODAY()), Metrica!$C19), CONCATENATE(DATA!$A$2:$A$1036, DATA!$D$2:$D$1036), 0)), 0)</f>
        <v>65805555.570000008</v>
      </c>
      <c r="I19" s="11" cm="1">
        <f t="array" aca="1" ref="I19" ca="1">IFERROR(INDEX(DATA!$H$2:$H$1036,
MATCH(CONCATENATE(YEAR(TODAY()), MONTH(TODAY()), Metrica!$C19), CONCATENATE(DATA!$A$2:$A$1036, DATA!$D$2:$D$1036), 0)), 0)</f>
        <v>2861111.11</v>
      </c>
      <c r="J19" s="11" cm="1">
        <f t="array" aca="1" ref="J19" ca="1">IFERROR(INDEX(DATA!$I$2:$I$1036,
MATCH(CONCATENATE(YEAR(TODAY()), MONTH(TODAY()), Metrica!$C19), CONCATENATE(DATA!$A$2:$A$1036, DATA!$D$2:$D$1036), 0)), 0)</f>
        <v>1602615.8603111878</v>
      </c>
      <c r="K19" s="11" cm="1">
        <f t="array" aca="1" ref="K19" ca="1">IFERROR(INDEX(DATA!$L$2:$L$1036,
MATCH(CONCATENATE(YEAR(TODAY()), MONTH(TODAY()), Metrica!$C19), CONCATENATE(DATA!$A$2:$A$1036, DATA!$D$2:$D$1036), 0)), 0)</f>
        <v>0</v>
      </c>
      <c r="L19" s="11" cm="1">
        <f t="array" aca="1" ref="L19" ca="1">IFERROR(INDEX(DATA!$P$2:$P$1036,
MATCH(CONCATENATE(YEAR(TODAY()), MONTH(TODAY()), Metrica!$C19), CONCATENATE(DATA!$A$2:$A$1036, DATA!$D$2:$D$1036), 0)), 0)</f>
        <v>4463726.9703111872</v>
      </c>
      <c r="M19" s="12" cm="1">
        <f t="array" aca="1" ref="M19" ca="1">IFERROR(INDEX(DATA!$R$2:$R$1036,
MATCH(CONCATENATE(YEAR(TODAY()), MONTH(TODAY()), Metrica!$C19), CONCATENATE(DATA!$A$2:$A$1036, DATA!$D$2:$D$1036), 0)), 0)</f>
        <v>4</v>
      </c>
      <c r="N19" s="11" cm="1">
        <f t="array" aca="1" ref="N19" ca="1">IFERROR(INDEX(DATA!$S$2:$S$1036,
MATCH(CONCATENATE(YEAR(TODAY()), MONTH(TODAY()), Metrica!$C19), CONCATENATE(DATA!$A$2:$A$1036, DATA!$D$2:$D$1036), 0)), 0)</f>
        <v>0</v>
      </c>
      <c r="O19" s="3" t="str" cm="1">
        <f t="array" aca="1" ref="O19" ca="1">IFERROR(IF(INDEX(DATA!$O$2:$O$1036,MATCH(CONCATENATE(YEAR(TODAY()), MONTH(TODAY()), Metrica!$C19), CONCATENATE(DATA!$A$2 $A$1036, DATA!$D$2:$D$1036), 0)) = 0,"",INDEX(DATA!$O$2:$O$1036,MATCH(CONCATENATE(YEAR(TODAY()), MONTH(TODAY()), Metrica!$C19), CONCATENATE(DATA!$A$2:$A$1036, DATA!$D$2:$D$1036), 0))),"")</f>
        <v/>
      </c>
      <c r="P19" s="11" t="str" cm="1">
        <f t="array" aca="1" ref="P19" ca="1">IFERROR(INDEX(DATA!$U$2:$U$1036,
MATCH(CONCATENATE(YEAR(TODAY()), MONTH(TODAY()), Metrica!$C19), CONCATENATE(DATA!$A$2:$A$1036, DATA!$D$2:$D$1036), 0)), 0)</f>
        <v>PENDIENTE</v>
      </c>
    </row>
    <row r="20" spans="1:16" x14ac:dyDescent="0.25">
      <c r="A20" s="1" t="s">
        <v>25</v>
      </c>
      <c r="B20" s="1" t="s">
        <v>20</v>
      </c>
      <c r="C20" s="10" t="s">
        <v>52</v>
      </c>
      <c r="D20" s="3" cm="1">
        <f t="array" aca="1" ref="D20" ca="1">IFERROR(INDEX(DATA!$E$2:$E$1036, MATCH(CONCATENATE(YEAR(TODAY()), MONTH(TODAY()), Metrica!$C20), CONCATENATE(DATA!$A$2:$A$1036, DATA!$D$2:$D$1036), 0)), "")</f>
        <v>45565</v>
      </c>
      <c r="E20" s="1" cm="1">
        <f t="array" aca="1" ref="E20" ca="1">IFERROR(INDEX(DATA!$F$2:$F$1036,
MATCH(CONCATENATE(YEAR(TODAY()), MONTH(TODAY()), Metrica!$C20), CONCATENATE(DATA!$A$2:$A$1036, DATA!$D$2:$D$1036), 0)), "")</f>
        <v>13</v>
      </c>
      <c r="F20" s="1" cm="1">
        <f t="array" aca="1" ref="F20" ca="1">IFERROR(INDEX(DATA!$G$2:$G$1036,
MATCH(CONCATENATE(YEAR(TODAY()), MONTH(TODAY()), Metrica!$C20), CONCATENATE(DATA!$A$2:$A$1036, DATA!$D$2:$D$1036), 0)), "")</f>
        <v>35</v>
      </c>
      <c r="G20" s="11" cm="1">
        <f t="array" aca="1" ref="G20" ca="1">IFERROR(INDEX(DATA!$Q$2:$Q$1036,
MATCH(CONCATENATE(YEAR(TODAY()), MONTH(TODAY()-31), Metrica!$C20), CONCATENATE(DATA!$A$2:$A$1036, DATA!$D$2:$D$1036), 0)), 0)</f>
        <v>89292326.549999997</v>
      </c>
      <c r="H20" s="11" cm="1">
        <f t="array" aca="1" ref="H20" ca="1">IFERROR(INDEX(DATA!$Q$2:$Q$1036,
MATCH(CONCATENATE(YEAR(TODAY()), MONTH(TODAY()), Metrica!$C20), CONCATENATE(DATA!$A$2:$A$1036, DATA!$D$2:$D$1036), 0)), 0)</f>
        <v>86825324.549999997</v>
      </c>
      <c r="I20" s="11" cm="1">
        <f t="array" aca="1" ref="I20" ca="1">IFERROR(INDEX(DATA!$H$2:$H$1036,
MATCH(CONCATENATE(YEAR(TODAY()), MONTH(TODAY()), Metrica!$C20), CONCATENATE(DATA!$A$2:$A$1036, DATA!$D$2:$D$1036), 0)), 0)</f>
        <v>2467002</v>
      </c>
      <c r="J20" s="11" cm="1">
        <f t="array" aca="1" ref="J20" ca="1">IFERROR(INDEX(DATA!$I$2:$I$1036,
MATCH(CONCATENATE(YEAR(TODAY()), MONTH(TODAY()), Metrica!$C20), CONCATENATE(DATA!$A$2:$A$1036, DATA!$D$2:$D$1036), 0)), 0)</f>
        <v>1803311.2560491632</v>
      </c>
      <c r="K20" s="11" cm="1">
        <f t="array" aca="1" ref="K20" ca="1">IFERROR(INDEX(DATA!$L$2:$L$1036,
MATCH(CONCATENATE(YEAR(TODAY()), MONTH(TODAY()), Metrica!$C20), CONCATENATE(DATA!$A$2:$A$1036, DATA!$D$2:$D$1036), 0)), 0)</f>
        <v>0</v>
      </c>
      <c r="L20" s="11" cm="1">
        <f t="array" aca="1" ref="L20" ca="1">IFERROR(INDEX(DATA!$P$2:$P$1036,
MATCH(CONCATENATE(YEAR(TODAY()), MONTH(TODAY()), Metrica!$C20), CONCATENATE(DATA!$A$2:$A$1036, DATA!$D$2:$D$1036), 0)), 0)</f>
        <v>4270313.2560491636</v>
      </c>
      <c r="M20" s="12" cm="1">
        <f t="array" aca="1" ref="M20" ca="1">IFERROR(INDEX(DATA!$R$2:$R$1036,
MATCH(CONCATENATE(YEAR(TODAY()), MONTH(TODAY()), Metrica!$C20), CONCATENATE(DATA!$A$2:$A$1036, DATA!$D$2:$D$1036), 0)), 0)</f>
        <v>3</v>
      </c>
      <c r="N20" s="11" cm="1">
        <f t="array" aca="1" ref="N20" ca="1">IFERROR(INDEX(DATA!$S$2:$S$1036,
MATCH(CONCATENATE(YEAR(TODAY()), MONTH(TODAY()), Metrica!$C20), CONCATENATE(DATA!$A$2:$A$1036, DATA!$D$2:$D$1036), 0)), 0)</f>
        <v>0</v>
      </c>
      <c r="O20" s="3" t="str" cm="1">
        <f t="array" aca="1" ref="O20" ca="1">IFERROR(IF(INDEX(DATA!$O$2:$O$1036,MATCH(CONCATENATE(YEAR(TODAY()), MONTH(TODAY()), Metrica!$C20), CONCATENATE(DATA!$A$2 $A$1036, DATA!$D$2:$D$1036), 0)) = 0,"",INDEX(DATA!$O$2:$O$1036,MATCH(CONCATENATE(YEAR(TODAY()), MONTH(TODAY()), Metrica!$C20), CONCATENATE(DATA!$A$2:$A$1036, DATA!$D$2:$D$1036), 0))),"")</f>
        <v/>
      </c>
      <c r="P20" s="11" t="str" cm="1">
        <f t="array" aca="1" ref="P20" ca="1">IFERROR(INDEX(DATA!$U$2:$U$1036,
MATCH(CONCATENATE(YEAR(TODAY()), MONTH(TODAY()), Metrica!$C20), CONCATENATE(DATA!$A$2:$A$1036, DATA!$D$2:$D$1036), 0)), 0)</f>
        <v>PENDIENTE</v>
      </c>
    </row>
    <row r="21" spans="1:16" x14ac:dyDescent="0.25">
      <c r="A21" s="1" t="s">
        <v>21</v>
      </c>
      <c r="B21" s="1" t="s">
        <v>34</v>
      </c>
      <c r="C21" s="10" t="s">
        <v>35</v>
      </c>
      <c r="D21" s="3" cm="1">
        <f t="array" aca="1" ref="D21" ca="1">IFERROR(INDEX(DATA!$E$2:$E$1036, MATCH(CONCATENATE(YEAR(TODAY()), MONTH(TODAY()), Metrica!$C21), CONCATENATE(DATA!$A$2:$A$1036, DATA!$D$2:$D$1036), 0)), "")</f>
        <v>45549</v>
      </c>
      <c r="E21" s="1" cm="1">
        <f t="array" aca="1" ref="E21" ca="1">IFERROR(INDEX(DATA!$F$2:$F$1036,
MATCH(CONCATENATE(YEAR(TODAY()), MONTH(TODAY()), Metrica!$C21), CONCATENATE(DATA!$A$2:$A$1036, DATA!$D$2:$D$1036), 0)), "")</f>
        <v>24</v>
      </c>
      <c r="F21" s="1" cm="1">
        <f t="array" aca="1" ref="F21" ca="1">IFERROR(INDEX(DATA!$G$2:$G$1036,
MATCH(CONCATENATE(YEAR(TODAY()), MONTH(TODAY()), Metrica!$C21), CONCATENATE(DATA!$A$2:$A$1036, DATA!$D$2:$D$1036), 0)), "")</f>
        <v>12</v>
      </c>
      <c r="G21" s="11" cm="1">
        <f t="array" aca="1" ref="G21" ca="1">IFERROR(INDEX(DATA!$Q$2:$Q$1036,
MATCH(CONCATENATE(YEAR(TODAY()), MONTH(TODAY()-31), Metrica!$C21), CONCATENATE(DATA!$A$2:$A$1036, DATA!$D$2:$D$1036), 0)), 0)</f>
        <v>98484840</v>
      </c>
      <c r="H21" s="11" cm="1">
        <f t="array" aca="1" ref="H21" ca="1">IFERROR(INDEX(DATA!$Q$2:$Q$1036,
MATCH(CONCATENATE(YEAR(TODAY()), MONTH(TODAY()), Metrica!$C21), CONCATENATE(DATA!$A$2:$A$1036, DATA!$D$2:$D$1036), 0)), 0)</f>
        <v>90909082</v>
      </c>
      <c r="I21" s="11" cm="1">
        <f t="array" aca="1" ref="I21" ca="1">IFERROR(INDEX(DATA!$H$2:$H$1036,
MATCH(CONCATENATE(YEAR(TODAY()), MONTH(TODAY()), Metrica!$C21), CONCATENATE(DATA!$A$2:$A$1036, DATA!$D$2:$D$1036), 0)), 0)</f>
        <v>7575758</v>
      </c>
      <c r="J21" s="11" cm="1">
        <f t="array" aca="1" ref="J21" ca="1">IFERROR(INDEX(DATA!$I$2:$I$1036,
MATCH(CONCATENATE(YEAR(TODAY()), MONTH(TODAY()), Metrica!$C21), CONCATENATE(DATA!$A$2:$A$1036, DATA!$D$2:$D$1036), 0)), 0)</f>
        <v>1131838.8364658225</v>
      </c>
      <c r="K21" s="11" cm="1">
        <f t="array" aca="1" ref="K21" ca="1">IFERROR(INDEX(DATA!$L$2:$L$1036,
MATCH(CONCATENATE(YEAR(TODAY()), MONTH(TODAY()), Metrica!$C21), CONCATENATE(DATA!$A$2:$A$1036, DATA!$D$2:$D$1036), 0)), 0)</f>
        <v>0</v>
      </c>
      <c r="L21" s="11" cm="1">
        <f t="array" aca="1" ref="L21" ca="1">IFERROR(INDEX(DATA!$P$2:$P$1036,
MATCH(CONCATENATE(YEAR(TODAY()), MONTH(TODAY()), Metrica!$C21), CONCATENATE(DATA!$A$2:$A$1036, DATA!$D$2:$D$1036), 0)), 0)</f>
        <v>8777439.1481040046</v>
      </c>
      <c r="M21" s="12" cm="1">
        <f t="array" aca="1" ref="M21" ca="1">IFERROR(INDEX(DATA!$R$2:$R$1036,
MATCH(CONCATENATE(YEAR(TODAY()), MONTH(TODAY()), Metrica!$C21), CONCATENATE(DATA!$A$2:$A$1036, DATA!$D$2:$D$1036), 0)), 0)</f>
        <v>20</v>
      </c>
      <c r="N21" s="11" cm="1">
        <f t="array" aca="1" ref="N21" ca="1">IFERROR(INDEX(DATA!$S$2:$S$1036,
MATCH(CONCATENATE(YEAR(TODAY()), MONTH(TODAY()), Metrica!$C21), CONCATENATE(DATA!$A$2:$A$1036, DATA!$D$2:$D$1036), 0)), 0)</f>
        <v>0</v>
      </c>
      <c r="O21" s="3" t="str" cm="1">
        <f t="array" aca="1" ref="O21" ca="1">IFERROR(IF(INDEX(DATA!$O$2:$O$1036,MATCH(CONCATENATE(YEAR(TODAY()), MONTH(TODAY()), Metrica!$C21), CONCATENATE(DATA!$A$2 $A$1036, DATA!$D$2:$D$1036), 0)) = 0,"",INDEX(DATA!$O$2:$O$1036,MATCH(CONCATENATE(YEAR(TODAY()), MONTH(TODAY()), Metrica!$C21), CONCATENATE(DATA!$A$2:$A$1036, DATA!$D$2:$D$1036), 0))),"")</f>
        <v/>
      </c>
      <c r="P21" s="11" t="str" cm="1">
        <f t="array" aca="1" ref="P21" ca="1">IFERROR(INDEX(DATA!$U$2:$U$1036,
MATCH(CONCATENATE(YEAR(TODAY()), MONTH(TODAY()), Metrica!$C21), CONCATENATE(DATA!$A$2:$A$1036, DATA!$D$2:$D$1036), 0)), 0)</f>
        <v>PENDIENTE</v>
      </c>
    </row>
    <row r="22" spans="1:16" x14ac:dyDescent="0.25">
      <c r="A22" s="1" t="s">
        <v>25</v>
      </c>
      <c r="B22" s="1" t="s">
        <v>20</v>
      </c>
      <c r="C22" s="10" t="s">
        <v>51</v>
      </c>
      <c r="D22" s="3" cm="1">
        <f t="array" aca="1" ref="D22" ca="1">IFERROR(INDEX(DATA!$E$2:$E$1036, MATCH(CONCATENATE(YEAR(TODAY()), MONTH(TODAY()), Metrica!$C22), CONCATENATE(DATA!$A$2:$A$1036, DATA!$D$2:$D$1036), 0)), "")</f>
        <v>45565</v>
      </c>
      <c r="E22" s="1" cm="1">
        <f t="array" aca="1" ref="E22" ca="1">IFERROR(INDEX(DATA!$F$2:$F$1036,
MATCH(CONCATENATE(YEAR(TODAY()), MONTH(TODAY()), Metrica!$C22), CONCATENATE(DATA!$A$2:$A$1036, DATA!$D$2:$D$1036), 0)), "")</f>
        <v>13</v>
      </c>
      <c r="F22" s="1" cm="1">
        <f t="array" aca="1" ref="F22" ca="1">IFERROR(INDEX(DATA!$G$2:$G$1036,
MATCH(CONCATENATE(YEAR(TODAY()), MONTH(TODAY()), Metrica!$C22), CONCATENATE(DATA!$A$2:$A$1036, DATA!$D$2:$D$1036), 0)), "")</f>
        <v>25</v>
      </c>
      <c r="G22" s="11" cm="1">
        <f t="array" aca="1" ref="G22" ca="1">IFERROR(INDEX(DATA!$Q$2:$Q$1036,
MATCH(CONCATENATE(YEAR(TODAY()), MONTH(TODAY()-31), Metrica!$C22), CONCATENATE(DATA!$A$2:$A$1036, DATA!$D$2:$D$1036), 0)), 0)</f>
        <v>109569864.00999999</v>
      </c>
      <c r="H22" s="11" cm="1">
        <f t="array" aca="1" ref="H22" ca="1">IFERROR(INDEX(DATA!$Q$2:$Q$1036,
MATCH(CONCATENATE(YEAR(TODAY()), MONTH(TODAY()), Metrica!$C22), CONCATENATE(DATA!$A$2:$A$1036, DATA!$D$2:$D$1036), 0)), 0)</f>
        <v>105355639.00999999</v>
      </c>
      <c r="I22" s="11" cm="1">
        <f t="array" aca="1" ref="I22" ca="1">IFERROR(INDEX(DATA!$H$2:$H$1036,
MATCH(CONCATENATE(YEAR(TODAY()), MONTH(TODAY()), Metrica!$C22), CONCATENATE(DATA!$A$2:$A$1036, DATA!$D$2:$D$1036), 0)), 0)</f>
        <v>4214225</v>
      </c>
      <c r="J22" s="11" cm="1">
        <f t="array" aca="1" ref="J22" ca="1">IFERROR(INDEX(DATA!$I$2:$I$1036,
MATCH(CONCATENATE(YEAR(TODAY()), MONTH(TODAY()), Metrica!$C22), CONCATENATE(DATA!$A$2:$A$1036, DATA!$D$2:$D$1036), 0)), 0)</f>
        <v>1765262.5449619582</v>
      </c>
      <c r="K22" s="11" cm="1">
        <f t="array" aca="1" ref="K22" ca="1">IFERROR(INDEX(DATA!$L$2:$L$1036,
MATCH(CONCATENATE(YEAR(TODAY()), MONTH(TODAY()), Metrica!$C22), CONCATENATE(DATA!$A$2:$A$1036, DATA!$D$2:$D$1036), 0)), 0)</f>
        <v>0</v>
      </c>
      <c r="L22" s="11" cm="1">
        <f t="array" aca="1" ref="L22" ca="1">IFERROR(INDEX(DATA!$P$2:$P$1036,
MATCH(CONCATENATE(YEAR(TODAY()), MONTH(TODAY()), Metrica!$C22), CONCATENATE(DATA!$A$2:$A$1036, DATA!$D$2:$D$1036), 0)), 0)</f>
        <v>5979487.5449619582</v>
      </c>
      <c r="M22" s="12" cm="1">
        <f t="array" aca="1" ref="M22" ca="1">IFERROR(INDEX(DATA!$R$2:$R$1036,
MATCH(CONCATENATE(YEAR(TODAY()), MONTH(TODAY()), Metrica!$C22), CONCATENATE(DATA!$A$2:$A$1036, DATA!$D$2:$D$1036), 0)), 0)</f>
        <v>3</v>
      </c>
      <c r="N22" s="11" cm="1">
        <f t="array" aca="1" ref="N22" ca="1">IFERROR(INDEX(DATA!$S$2:$S$1036,
MATCH(CONCATENATE(YEAR(TODAY()), MONTH(TODAY()), Metrica!$C22), CONCATENATE(DATA!$A$2:$A$1036, DATA!$D$2:$D$1036), 0)), 0)</f>
        <v>0</v>
      </c>
      <c r="O22" s="3" t="str" cm="1">
        <f t="array" aca="1" ref="O22" ca="1">IFERROR(IF(INDEX(DATA!$O$2:$O$1036,MATCH(CONCATENATE(YEAR(TODAY()), MONTH(TODAY()), Metrica!$C22), CONCATENATE(DATA!$A$2 $A$1036, DATA!$D$2:$D$1036), 0)) = 0,"",INDEX(DATA!$O$2:$O$1036,MATCH(CONCATENATE(YEAR(TODAY()), MONTH(TODAY()), Metrica!$C22), CONCATENATE(DATA!$A$2:$A$1036, DATA!$D$2:$D$1036), 0))),"")</f>
        <v/>
      </c>
      <c r="P22" s="11" t="str" cm="1">
        <f t="array" aca="1" ref="P22" ca="1">IFERROR(INDEX(DATA!$U$2:$U$1036,
MATCH(CONCATENATE(YEAR(TODAY()), MONTH(TODAY()), Metrica!$C22), CONCATENATE(DATA!$A$2:$A$1036, DATA!$D$2:$D$1036), 0)), 0)</f>
        <v>PENDIENTE</v>
      </c>
    </row>
    <row r="23" spans="1:16" x14ac:dyDescent="0.25">
      <c r="A23" s="1" t="s">
        <v>21</v>
      </c>
      <c r="B23" s="1" t="s">
        <v>20</v>
      </c>
      <c r="C23" s="10" t="s">
        <v>48</v>
      </c>
      <c r="D23" s="3" cm="1">
        <f t="array" aca="1" ref="D23" ca="1">IFERROR(INDEX(DATA!$E$2:$E$1036, MATCH(CONCATENATE(YEAR(TODAY()), MONTH(TODAY()), Metrica!$C23), CONCATENATE(DATA!$A$2:$A$1036, DATA!$D$2:$D$1036), 0)), "")</f>
        <v>45553</v>
      </c>
      <c r="E23" s="1" cm="1">
        <f t="array" aca="1" ref="E23" ca="1">IFERROR(INDEX(DATA!$F$2:$F$1036,
MATCH(CONCATENATE(YEAR(TODAY()), MONTH(TODAY()), Metrica!$C23), CONCATENATE(DATA!$A$2:$A$1036, DATA!$D$2:$D$1036), 0)), "")</f>
        <v>13</v>
      </c>
      <c r="F23" s="1" cm="1">
        <f t="array" aca="1" ref="F23" ca="1">IFERROR(INDEX(DATA!$G$2:$G$1036,
MATCH(CONCATENATE(YEAR(TODAY()), MONTH(TODAY()), Metrica!$C23), CONCATENATE(DATA!$A$2:$A$1036, DATA!$D$2:$D$1036), 0)), "")</f>
        <v>39</v>
      </c>
      <c r="G23" s="11" cm="1">
        <f t="array" aca="1" ref="G23" ca="1">IFERROR(INDEX(DATA!$Q$2:$Q$1036,
MATCH(CONCATENATE(YEAR(TODAY()), MONTH(TODAY()-31), Metrica!$C23), CONCATENATE(DATA!$A$2:$A$1036, DATA!$D$2:$D$1036), 0)), 0)</f>
        <v>147821202.60869557</v>
      </c>
      <c r="H23" s="11" cm="1">
        <f t="array" aca="1" ref="H23" ca="1">IFERROR(INDEX(DATA!$Q$2:$Q$1036,
MATCH(CONCATENATE(YEAR(TODAY()), MONTH(TODAY()), Metrica!$C23), CONCATENATE(DATA!$A$2:$A$1036, DATA!$D$2:$D$1036), 0)), 0)</f>
        <v>144125672.54347816</v>
      </c>
      <c r="I23" s="11" cm="1">
        <f t="array" aca="1" ref="I23" ca="1">IFERROR(INDEX(DATA!$H$2:$H$1036,
MATCH(CONCATENATE(YEAR(TODAY()), MONTH(TODAY()), Metrica!$C23), CONCATENATE(DATA!$A$2:$A$1036, DATA!$D$2:$D$1036), 0)), 0)</f>
        <v>3695530.0652173911</v>
      </c>
      <c r="J23" s="11" cm="1">
        <f t="array" aca="1" ref="J23" ca="1">IFERROR(INDEX(DATA!$I$2:$I$1036,
MATCH(CONCATENATE(YEAR(TODAY()), MONTH(TODAY()), Metrica!$C23), CONCATENATE(DATA!$A$2:$A$1036, DATA!$D$2:$D$1036), 0)), 0)</f>
        <v>2715996.521739129</v>
      </c>
      <c r="K23" s="11" cm="1">
        <f t="array" aca="1" ref="K23" ca="1">IFERROR(INDEX(DATA!$L$2:$L$1036,
MATCH(CONCATENATE(YEAR(TODAY()), MONTH(TODAY()), Metrica!$C23), CONCATENATE(DATA!$A$2:$A$1036, DATA!$D$2:$D$1036), 0)), 0)</f>
        <v>1350887.6956521664</v>
      </c>
      <c r="L23" s="11" cm="1">
        <f t="array" aca="1" ref="L23" ca="1">IFERROR(INDEX(DATA!$P$2:$P$1036,
MATCH(CONCATENATE(YEAR(TODAY()), MONTH(TODAY()), Metrica!$C23), CONCATENATE(DATA!$A$2:$A$1036, DATA!$D$2:$D$1036), 0)), 0)</f>
        <v>7762414.282608686</v>
      </c>
      <c r="M23" s="12" cm="1">
        <f t="array" aca="1" ref="M23" ca="1">IFERROR(INDEX(DATA!$R$2:$R$1036,
MATCH(CONCATENATE(YEAR(TODAY()), MONTH(TODAY()), Metrica!$C23), CONCATENATE(DATA!$A$2:$A$1036, DATA!$D$2:$D$1036), 0)), 0)</f>
        <v>-15</v>
      </c>
      <c r="N23" s="11" cm="1">
        <f t="array" aca="1" ref="N23" ca="1">IFERROR(INDEX(DATA!$S$2:$S$1036,
MATCH(CONCATENATE(YEAR(TODAY()), MONTH(TODAY()), Metrica!$C23), CONCATENATE(DATA!$A$2:$A$1036, DATA!$D$2:$D$1036), 0)), 0)</f>
        <v>0</v>
      </c>
      <c r="O23" s="3" t="str" cm="1">
        <f t="array" aca="1" ref="O23" ca="1">IFERROR(IF(INDEX(DATA!$O$2:$O$1036,MATCH(CONCATENATE(YEAR(TODAY()), MONTH(TODAY()), Metrica!$C23), CONCATENATE(DATA!$A$2 $A$1036, DATA!$D$2:$D$1036), 0)) = 0,"",INDEX(DATA!$O$2:$O$1036,MATCH(CONCATENATE(YEAR(TODAY()), MONTH(TODAY()), Metrica!$C23), CONCATENATE(DATA!$A$2:$A$1036, DATA!$D$2:$D$1036), 0))),"")</f>
        <v/>
      </c>
      <c r="P23" s="11" t="str" cm="1">
        <f t="array" aca="1" ref="P23" ca="1">IFERROR(INDEX(DATA!$U$2:$U$1036,
MATCH(CONCATENATE(YEAR(TODAY()), MONTH(TODAY()), Metrica!$C23), CONCATENATE(DATA!$A$2:$A$1036, DATA!$D$2:$D$1036), 0)), 0)</f>
        <v>PENDIENTE</v>
      </c>
    </row>
    <row r="24" spans="1:16" x14ac:dyDescent="0.25">
      <c r="A24" s="1" t="s">
        <v>21</v>
      </c>
      <c r="B24" s="1" t="s">
        <v>39</v>
      </c>
      <c r="C24" s="10" t="s">
        <v>53</v>
      </c>
      <c r="D24" s="3" cm="1">
        <f t="array" aca="1" ref="D24" ca="1">IFERROR(INDEX(DATA!$E$2:$E$1036, MATCH(CONCATENATE(YEAR(TODAY()), MONTH(TODAY()), Metrica!$C24), CONCATENATE(DATA!$A$2:$A$1036, DATA!$D$2:$D$1036), 0)), "")</f>
        <v>45537</v>
      </c>
      <c r="E24" s="1" cm="1">
        <f t="array" aca="1" ref="E24" ca="1">IFERROR(INDEX(DATA!$F$2:$F$1036,
MATCH(CONCATENATE(YEAR(TODAY()), MONTH(TODAY()), Metrica!$C24), CONCATENATE(DATA!$A$2:$A$1036, DATA!$D$2:$D$1036), 0)), "")</f>
        <v>12</v>
      </c>
      <c r="F24" s="1" cm="1">
        <f t="array" aca="1" ref="F24" ca="1">IFERROR(INDEX(DATA!$G$2:$G$1036,
MATCH(CONCATENATE(YEAR(TODAY()), MONTH(TODAY()), Metrica!$C24), CONCATENATE(DATA!$A$2:$A$1036, DATA!$D$2:$D$1036), 0)), "")</f>
        <v>24</v>
      </c>
      <c r="G24" s="11" cm="1">
        <f t="array" aca="1" ref="G24" ca="1">IFERROR(INDEX(DATA!$Q$2:$Q$1036,
MATCH(CONCATENATE(YEAR(TODAY()), MONTH(TODAY()-31), Metrica!$C24), CONCATENATE(DATA!$A$2:$A$1036, DATA!$D$2:$D$1036), 0)), 0)</f>
        <v>168750000</v>
      </c>
      <c r="H24" s="11" cm="1">
        <f t="array" aca="1" ref="H24" ca="1">IFERROR(INDEX(DATA!$Q$2:$Q$1036,
MATCH(CONCATENATE(YEAR(TODAY()), MONTH(TODAY()), Metrica!$C24), CONCATENATE(DATA!$A$2:$A$1036, DATA!$D$2:$D$1036), 0)), 0)</f>
        <v>162000000</v>
      </c>
      <c r="I24" s="11" cm="1">
        <f t="array" aca="1" ref="I24" ca="1">IFERROR(INDEX(DATA!$H$2:$H$1036,
MATCH(CONCATENATE(YEAR(TODAY()), MONTH(TODAY()), Metrica!$C24), CONCATENATE(DATA!$A$2:$A$1036, DATA!$D$2:$D$1036), 0)), 0)</f>
        <v>6750000</v>
      </c>
      <c r="J24" s="11" cm="1">
        <f t="array" aca="1" ref="J24" ca="1">IFERROR(INDEX(DATA!$I$2:$I$1036,
MATCH(CONCATENATE(YEAR(TODAY()), MONTH(TODAY()), Metrica!$C24), CONCATENATE(DATA!$A$2:$A$1036, DATA!$D$2:$D$1036), 0)), 0)</f>
        <v>2937087</v>
      </c>
      <c r="K24" s="11" cm="1">
        <f t="array" aca="1" ref="K24" ca="1">IFERROR(INDEX(DATA!$L$2:$L$1036,
MATCH(CONCATENATE(YEAR(TODAY()), MONTH(TODAY()), Metrica!$C24), CONCATENATE(DATA!$A$2:$A$1036, DATA!$D$2:$D$1036), 0)), 0)</f>
        <v>1697040.6399999987</v>
      </c>
      <c r="L24" s="11" cm="1">
        <f t="array" aca="1" ref="L24" ca="1">IFERROR(INDEX(DATA!$P$2:$P$1036,
MATCH(CONCATENATE(YEAR(TODAY()), MONTH(TODAY()), Metrica!$C24), CONCATENATE(DATA!$A$2:$A$1036, DATA!$D$2:$D$1036), 0)), 0)</f>
        <v>17552981.399999999</v>
      </c>
      <c r="M24" s="12" cm="1">
        <f t="array" aca="1" ref="M24" ca="1">IFERROR(INDEX(DATA!$R$2:$R$1036,
MATCH(CONCATENATE(YEAR(TODAY()), MONTH(TODAY()), Metrica!$C24), CONCATENATE(DATA!$A$2:$A$1036, DATA!$D$2:$D$1036), 0)), 0)</f>
        <v>1</v>
      </c>
      <c r="N24" s="11" cm="1">
        <f t="array" aca="1" ref="N24" ca="1">IFERROR(INDEX(DATA!$S$2:$S$1036,
MATCH(CONCATENATE(YEAR(TODAY()), MONTH(TODAY()), Metrica!$C24), CONCATENATE(DATA!$A$2:$A$1036, DATA!$D$2:$D$1036), 0)), 0)</f>
        <v>2862725</v>
      </c>
      <c r="O24" s="3" t="str" cm="1">
        <f t="array" aca="1" ref="O24" ca="1">IFERROR(IF(INDEX(DATA!$O$2:$O$1036,MATCH(CONCATENATE(YEAR(TODAY()), MONTH(TODAY()), Metrica!$C24), CONCATENATE(DATA!$A$2 $A$1036, DATA!$D$2:$D$1036), 0)) = 0,"",INDEX(DATA!$O$2:$O$1036,MATCH(CONCATENATE(YEAR(TODAY()), MONTH(TODAY()), Metrica!$C24), CONCATENATE(DATA!$A$2:$A$1036, DATA!$D$2:$D$1036), 0))),"")</f>
        <v/>
      </c>
      <c r="P24" s="11" t="str" cm="1">
        <f t="array" aca="1" ref="P24" ca="1">IFERROR(INDEX(DATA!$U$2:$U$1036,
MATCH(CONCATENATE(YEAR(TODAY()), MONTH(TODAY()), Metrica!$C24), CONCATENATE(DATA!$A$2:$A$1036, DATA!$D$2:$D$1036), 0)), 0)</f>
        <v>ABONADO</v>
      </c>
    </row>
    <row r="25" spans="1:16" x14ac:dyDescent="0.25">
      <c r="A25" s="1" t="s">
        <v>21</v>
      </c>
      <c r="B25" s="1" t="s">
        <v>20</v>
      </c>
      <c r="C25" s="10" t="s">
        <v>49</v>
      </c>
      <c r="D25" s="3" cm="1">
        <f t="array" aca="1" ref="D25" ca="1">IFERROR(INDEX(DATA!$E$2:$E$1036, MATCH(CONCATENATE(YEAR(TODAY()), MONTH(TODAY()), Metrica!$C25), CONCATENATE(DATA!$A$2:$A$1036, DATA!$D$2:$D$1036), 0)), "")</f>
        <v>45553</v>
      </c>
      <c r="E25" s="1" cm="1">
        <f t="array" aca="1" ref="E25" ca="1">IFERROR(INDEX(DATA!$F$2:$F$1036,
MATCH(CONCATENATE(YEAR(TODAY()), MONTH(TODAY()), Metrica!$C25), CONCATENATE(DATA!$A$2:$A$1036, DATA!$D$2:$D$1036), 0)), "")</f>
        <v>13</v>
      </c>
      <c r="F25" s="1" cm="1">
        <f t="array" aca="1" ref="F25" ca="1">IFERROR(INDEX(DATA!$G$2:$G$1036,
MATCH(CONCATENATE(YEAR(TODAY()), MONTH(TODAY()), Metrica!$C25), CONCATENATE(DATA!$A$2:$A$1036, DATA!$D$2:$D$1036), 0)), "")</f>
        <v>46</v>
      </c>
      <c r="G25" s="11" cm="1">
        <f t="array" aca="1" ref="G25" ca="1">IFERROR(INDEX(DATA!$Q$2:$Q$1036,
MATCH(CONCATENATE(YEAR(TODAY()), MONTH(TODAY()-31), Metrica!$C25), CONCATENATE(DATA!$A$2:$A$1036, DATA!$D$2:$D$1036), 0)), 0)</f>
        <v>177616730.73584902</v>
      </c>
      <c r="H25" s="11" cm="1">
        <f t="array" aca="1" ref="H25" ca="1">IFERROR(INDEX(DATA!$Q$2:$Q$1036,
MATCH(CONCATENATE(YEAR(TODAY()), MONTH(TODAY()), Metrica!$C25), CONCATENATE(DATA!$A$2:$A$1036, DATA!$D$2:$D$1036), 0)), 0)</f>
        <v>173837651.35849053</v>
      </c>
      <c r="I25" s="11" cm="1">
        <f t="array" aca="1" ref="I25" ca="1">IFERROR(INDEX(DATA!$H$2:$H$1036,
MATCH(CONCATENATE(YEAR(TODAY()), MONTH(TODAY()), Metrica!$C25), CONCATENATE(DATA!$A$2:$A$1036, DATA!$D$2:$D$1036), 0)), 0)</f>
        <v>3779079.3773584906</v>
      </c>
      <c r="J25" s="11" cm="1">
        <f t="array" aca="1" ref="J25" ca="1">IFERROR(INDEX(DATA!$I$2:$I$1036,
MATCH(CONCATENATE(YEAR(TODAY()), MONTH(TODAY()), Metrica!$C25), CONCATENATE(DATA!$A$2:$A$1036, DATA!$D$2:$D$1036), 0)), 0)</f>
        <v>2957550.3773584897</v>
      </c>
      <c r="K25" s="11" cm="1">
        <f t="array" aca="1" ref="K25" ca="1">IFERROR(INDEX(DATA!$L$2:$L$1036,
MATCH(CONCATENATE(YEAR(TODAY()), MONTH(TODAY()), Metrica!$C25), CONCATENATE(DATA!$A$2:$A$1036, DATA!$D$2:$D$1036), 0)), 0)</f>
        <v>3492805.217547169</v>
      </c>
      <c r="L25" s="11" cm="1">
        <f t="array" aca="1" ref="L25" ca="1">IFERROR(INDEX(DATA!$P$2:$P$1036,
MATCH(CONCATENATE(YEAR(TODAY()), MONTH(TODAY()), Metrica!$C25), CONCATENATE(DATA!$A$2:$A$1036, DATA!$D$2:$D$1036), 0)), 0)</f>
        <v>10229434.972264148</v>
      </c>
      <c r="M25" s="12" cm="1">
        <f t="array" aca="1" ref="M25" ca="1">IFERROR(INDEX(DATA!$R$2:$R$1036,
MATCH(CONCATENATE(YEAR(TODAY()), MONTH(TODAY()), Metrica!$C25), CONCATENATE(DATA!$A$2:$A$1036, DATA!$D$2:$D$1036), 0)), 0)</f>
        <v>-15</v>
      </c>
      <c r="N25" s="11" cm="1">
        <f t="array" aca="1" ref="N25" ca="1">IFERROR(INDEX(DATA!$S$2:$S$1036,
MATCH(CONCATENATE(YEAR(TODAY()), MONTH(TODAY()), Metrica!$C25), CONCATENATE(DATA!$A$2:$A$1036, DATA!$D$2:$D$1036), 0)), 0)</f>
        <v>0</v>
      </c>
      <c r="O25" s="3" t="str" cm="1">
        <f t="array" aca="1" ref="O25" ca="1">IFERROR(IF(INDEX(DATA!$O$2:$O$1036,MATCH(CONCATENATE(YEAR(TODAY()), MONTH(TODAY()), Metrica!$C25), CONCATENATE(DATA!$A$2 $A$1036, DATA!$D$2:$D$1036), 0)) = 0,"",INDEX(DATA!$O$2:$O$1036,MATCH(CONCATENATE(YEAR(TODAY()), MONTH(TODAY()), Metrica!$C25), CONCATENATE(DATA!$A$2:$A$1036, DATA!$D$2:$D$1036), 0))),"")</f>
        <v/>
      </c>
      <c r="P25" s="11" t="str" cm="1">
        <f t="array" aca="1" ref="P25" ca="1">IFERROR(INDEX(DATA!$U$2:$U$1036,
MATCH(CONCATENATE(YEAR(TODAY()), MONTH(TODAY()), Metrica!$C25), CONCATENATE(DATA!$A$2:$A$1036, DATA!$D$2:$D$1036), 0)), 0)</f>
        <v>PENDIENTE</v>
      </c>
    </row>
    <row r="26" spans="1:16" x14ac:dyDescent="0.25">
      <c r="A26" s="1" t="s">
        <v>21</v>
      </c>
      <c r="B26" s="1" t="s">
        <v>32</v>
      </c>
      <c r="C26" s="10">
        <v>180153332</v>
      </c>
      <c r="D26" s="3" cm="1">
        <f t="array" aca="1" ref="D26" ca="1">IFERROR(INDEX(DATA!$E$2:$E$1036, MATCH(CONCATENATE(YEAR(TODAY()), MONTH(TODAY()), Metrica!$C26), CONCATENATE(DATA!$A$2:$A$1036, DATA!$D$2:$D$1036), 0)), "")</f>
        <v>45564</v>
      </c>
      <c r="E26" s="1" cm="1">
        <f t="array" aca="1" ref="E26" ca="1">IFERROR(INDEX(DATA!$F$2:$F$1036,
MATCH(CONCATENATE(YEAR(TODAY()), MONTH(TODAY()), Metrica!$C26), CONCATENATE(DATA!$A$2:$A$1036, DATA!$D$2:$D$1036), 0)), "")</f>
        <v>17</v>
      </c>
      <c r="F26" s="1" cm="1">
        <f t="array" aca="1" ref="F26" ca="1">IFERROR(INDEX(DATA!$G$2:$G$1036,
MATCH(CONCATENATE(YEAR(TODAY()), MONTH(TODAY()), Metrica!$C26), CONCATENATE(DATA!$A$2:$A$1036, DATA!$D$2:$D$1036), 0)), "")</f>
        <v>43</v>
      </c>
      <c r="G26" s="11" cm="1">
        <f t="array" aca="1" ref="G26" ca="1">IFERROR(INDEX(DATA!$Q$2:$Q$1036,
MATCH(CONCATENATE(YEAR(TODAY()), MONTH(TODAY()-31), Metrica!$C26), CONCATENATE(DATA!$A$2:$A$1036, DATA!$D$2:$D$1036), 0)), 0)</f>
        <v>224008632</v>
      </c>
      <c r="H26" s="11" cm="1">
        <f t="array" aca="1" ref="H26" ca="1">IFERROR(INDEX(DATA!$Q$2:$Q$1036,
MATCH(CONCATENATE(YEAR(TODAY()), MONTH(TODAY()), Metrica!$C26), CONCATENATE(DATA!$A$2:$A$1036, DATA!$D$2:$D$1036), 0)), 0)</f>
        <v>220670938</v>
      </c>
      <c r="I26" s="11" cm="1">
        <f t="array" aca="1" ref="I26" ca="1">IFERROR(INDEX(DATA!$H$2:$H$1036,
MATCH(CONCATENATE(YEAR(TODAY()), MONTH(TODAY()), Metrica!$C26), CONCATENATE(DATA!$A$2:$A$1036, DATA!$D$2:$D$1036), 0)), 0)</f>
        <v>3337694</v>
      </c>
      <c r="J26" s="11" cm="1">
        <f t="array" aca="1" ref="J26" ca="1">IFERROR(INDEX(DATA!$I$2:$I$1036,
MATCH(CONCATENATE(YEAR(TODAY()), MONTH(TODAY()), Metrica!$C26), CONCATENATE(DATA!$A$2:$A$1036, DATA!$D$2:$D$1036), 0)), 0)</f>
        <v>4039077</v>
      </c>
      <c r="K26" s="11" cm="1">
        <f t="array" aca="1" ref="K26" ca="1">IFERROR(INDEX(DATA!$L$2:$L$1036,
MATCH(CONCATENATE(YEAR(TODAY()), MONTH(TODAY()), Metrica!$C26), CONCATENATE(DATA!$A$2:$A$1036, DATA!$D$2:$D$1036), 0)), 0)</f>
        <v>0</v>
      </c>
      <c r="L26" s="11" cm="1">
        <f t="array" aca="1" ref="L26" ca="1">IFERROR(INDEX(DATA!$P$2:$P$1036,
MATCH(CONCATENATE(YEAR(TODAY()), MONTH(TODAY()), Metrica!$C26), CONCATENATE(DATA!$A$2:$A$1036, DATA!$D$2:$D$1036), 0)), 0)</f>
        <v>7376771</v>
      </c>
      <c r="M26" s="12" cm="1">
        <f t="array" aca="1" ref="M26" ca="1">IFERROR(INDEX(DATA!$R$2:$R$1036,
MATCH(CONCATENATE(YEAR(TODAY()), MONTH(TODAY()), Metrica!$C26), CONCATENATE(DATA!$A$2:$A$1036, DATA!$D$2:$D$1036), 0)), 0)</f>
        <v>5</v>
      </c>
      <c r="N26" s="11" cm="1">
        <f t="array" aca="1" ref="N26" ca="1">IFERROR(INDEX(DATA!$S$2:$S$1036,
MATCH(CONCATENATE(YEAR(TODAY()), MONTH(TODAY()), Metrica!$C26), CONCATENATE(DATA!$A$2:$A$1036, DATA!$D$2:$D$1036), 0)), 0)</f>
        <v>0</v>
      </c>
      <c r="O26" s="3" t="str" cm="1">
        <f t="array" aca="1" ref="O26" ca="1">IFERROR(IF(INDEX(DATA!$O$2:$O$1036,MATCH(CONCATENATE(YEAR(TODAY()), MONTH(TODAY()), Metrica!$C26), CONCATENATE(DATA!$A$2 $A$1036, DATA!$D$2:$D$1036), 0)) = 0,"",INDEX(DATA!$O$2:$O$1036,MATCH(CONCATENATE(YEAR(TODAY()), MONTH(TODAY()), Metrica!$C26), CONCATENATE(DATA!$A$2:$A$1036, DATA!$D$2:$D$1036), 0))),"")</f>
        <v/>
      </c>
      <c r="P26" s="11" t="str" cm="1">
        <f t="array" aca="1" ref="P26" ca="1">IFERROR(INDEX(DATA!$U$2:$U$1036,
MATCH(CONCATENATE(YEAR(TODAY()), MONTH(TODAY()), Metrica!$C26), CONCATENATE(DATA!$A$2:$A$1036, DATA!$D$2:$D$1036), 0)), 0)</f>
        <v>PENDIENTE</v>
      </c>
    </row>
    <row r="27" spans="1:16" x14ac:dyDescent="0.25">
      <c r="A27" s="1" t="s">
        <v>21</v>
      </c>
      <c r="B27" s="1" t="s">
        <v>20</v>
      </c>
      <c r="C27" s="2" t="s">
        <v>58</v>
      </c>
      <c r="D27" s="3" t="str">
        <f t="array" aca="1" ref="D27" ca="1">IFERROR(INDEX([1]DATA!$A$2:$U$1036,MATCH(CONCATENATE(YEAR(TODAY()),MONTH(TODAY()),[1]TABLERO!$C27),CONCATENATE([1]DATA!$A$2:$A$1036,[1]DATA!$D$2:$D$1036),0),MATCH(D$1,[1]DATA!$A$1:$U$1,0)),"")</f>
        <v/>
      </c>
      <c r="E27" s="1" t="str">
        <f t="array" aca="1" ref="E27" ca="1">IFERROR(INDEX([1]DATA!$A$2:$U$1036,MATCH(CONCATENATE(YEAR(TODAY()),MONTH(TODAY()),[1]TABLERO!$C27),CONCATENATE([1]DATA!$A$2:$A$1036,[1]DATA!$D$2:$D$1036),0),MATCH(E$1,[1]DATA!$A$1:$U$1,0)),"")</f>
        <v/>
      </c>
      <c r="F27" s="1" t="str">
        <f t="array" aca="1" ref="F27" ca="1">IFERROR(INDEX([1]DATA!$A$2:$U$1036,MATCH(CONCATENATE(YEAR(TODAY()),MONTH(TODAY()),[1]TABLERO!$C27),CONCATENATE([1]DATA!$A$2:$A$1036,[1]DATA!$D$2:$D$1036),0),MATCH(F$1,[1]DATA!$A$1:$U$1,0)),"")</f>
        <v/>
      </c>
      <c r="G27" s="11">
        <f t="array" aca="1" ref="G27" ca="1">IFERROR(INDEX([1]DATA!$A$2:$U$1036,MATCH(CONCATENATE(YEAR(TODAY()),MONTH(TODAY()-31),[1]TABLERO!$C27),CONCATENATE([1]DATA!$A$2:$A$1036,[1]DATA!$D$2:$D$1036),0),MATCH(H$1,[1]DATA!$A$1:$U$1,0)),0)</f>
        <v>0</v>
      </c>
      <c r="H27" s="11" t="str">
        <f t="array" aca="1" ref="H27" ca="1">IFERROR(INDEX([1]DATA!$A$2:$U$1036,MATCH(CONCATENATE(YEAR(TODAY()),MONTH(TODAY()),[1]TABLERO!$C27),CONCATENATE([1]DATA!$A$2:$A$1036,[1]DATA!$D$2:$D$1036),0),MATCH(H$1,[1]DATA!$A$1:$U$1,0)),"")</f>
        <v/>
      </c>
      <c r="I27" s="11" t="str">
        <f t="array" aca="1" ref="I27" ca="1">IFERROR(INDEX([1]DATA!$A$2:$U$1036,MATCH(CONCATENATE(YEAR(TODAY()),MONTH(TODAY()),[1]TABLERO!$C27),CONCATENATE([1]DATA!$A$2:$A$1036,[1]DATA!$D$2:$D$1036),0),MATCH(I$1,[1]DATA!$A$1:$U$1,0)),"")</f>
        <v/>
      </c>
      <c r="J27" s="11" t="str">
        <f t="array" aca="1" ref="J27" ca="1">IFERROR(INDEX([1]DATA!$A$2:$U$1036,MATCH(CONCATENATE(YEAR(TODAY()),MONTH(TODAY()),[1]TABLERO!$C27),CONCATENATE([1]DATA!$A$2:$A$1036,[1]DATA!$D$2:$D$1036),0),MATCH(J$1,[1]DATA!$A$1:$U$1,0)),"")</f>
        <v/>
      </c>
      <c r="K27" s="11" t="str">
        <f t="array" aca="1" ref="K27" ca="1">IFERROR(INDEX([1]DATA!$A$2:$U$1036,MATCH(CONCATENATE(YEAR(TODAY()),MONTH(TODAY()),[1]TABLERO!$C27),CONCATENATE([1]DATA!$A$2:$A$1036,[1]DATA!$D$2:$D$1036),0),MATCH(K$1,[1]DATA!$A$1:$U$1,0)),"")</f>
        <v/>
      </c>
      <c r="L27" s="11" t="str">
        <f t="array" aca="1" ref="L27" ca="1">IFERROR(INDEX([1]DATA!$A$2:$U$1036,MATCH(CONCATENATE(YEAR(TODAY()),MONTH(TODAY()),[1]TABLERO!$C27),CONCATENATE([1]DATA!$A$2:$A$1036,[1]DATA!$D$2:$D$1036),0),MATCH(L$1,[1]DATA!$A$1:$U$1,0)),"")</f>
        <v/>
      </c>
      <c r="M27" s="12" t="str">
        <f t="array" aca="1" ref="M27" ca="1">IFERROR(INDEX([1]DATA!$A$2:$U$1036,MATCH(CONCATENATE(YEAR(TODAY()),MONTH(TODAY()),[1]TABLERO!$C27),CONCATENATE([1]DATA!$A$2:$A$1036,[1]DATA!$D$2:$D$1036),0),MATCH(M$1,[1]DATA!$A$1:$U$1,0)),"")</f>
        <v/>
      </c>
      <c r="N27" s="11" cm="1">
        <f t="array" aca="1" ref="N27" ca="1">IFERROR(INDEX(DATA!$S$2:$S$1036,
MATCH(CONCATENATE(YEAR(TODAY()), MONTH(TODAY()), Metrica!$C27), CONCATENATE(DATA!$A$2:$A$1036, DATA!$D$2:$D$1036), 0)), 0)</f>
        <v>0</v>
      </c>
      <c r="O27" s="3" t="str" cm="1">
        <f t="array" aca="1" ref="O27" ca="1">IFERROR(IF(INDEX(DATA!$O$2:$O$1036,MATCH(CONCATENATE(YEAR(TODAY()), MONTH(TODAY()), Metrica!$C27), CONCATENATE(DATA!$A$2 $A$1036, DATA!$D$2:$D$1036), 0)) = 0,"",INDEX(DATA!$O$2:$O$1036,MATCH(CONCATENATE(YEAR(TODAY()), MONTH(TODAY()), Metrica!$C27), CONCATENATE(DATA!$A$2:$A$1036, DATA!$D$2:$D$1036), 0))),"")</f>
        <v/>
      </c>
      <c r="P27" s="11" t="str">
        <f t="array" aca="1" ref="P27" ca="1">IFERROR(INDEX([1]DATA!$A$2:$U$1036,MATCH(CONCATENATE(YEAR(TODAY()),MONTH(TODAY()),[1]TABLERO!$C27),CONCATENATE([1]DATA!$A$2:$A$1036,[1]DATA!$D$2:$D$1036),0),MATCH(P$1,[1]DATA!$A$1:$U$1,0)),"")</f>
        <v/>
      </c>
    </row>
    <row r="28" spans="1:16" x14ac:dyDescent="0.25"/>
    <row r="29" spans="1:16" ht="24" thickBot="1" x14ac:dyDescent="0.3">
      <c r="A29" s="25" t="s">
        <v>59</v>
      </c>
      <c r="B29" s="25"/>
      <c r="C29" s="25"/>
      <c r="D29" s="19">
        <f ca="1">SUBTOTAL(2,D2:D26)</f>
        <v>24</v>
      </c>
      <c r="E29" s="20">
        <f ca="1">AVERAGE(E2:E26)</f>
        <v>21.375</v>
      </c>
      <c r="F29" s="20">
        <f ca="1">AVERAGE(F2:F26)</f>
        <v>20.208333333333332</v>
      </c>
      <c r="G29" s="21">
        <f ca="1">SUBTOTAL(9,G2:G27)</f>
        <v>1390425680.1684918</v>
      </c>
      <c r="H29" s="21">
        <f ca="1">SUBTOTAL(9,H2:H27)</f>
        <v>1266375064.6792073</v>
      </c>
      <c r="I29" s="21">
        <f t="shared" ref="I29:N29" ca="1" si="0">SUBTOTAL(9,I2:I27)</f>
        <v>60300615.489284448</v>
      </c>
      <c r="J29" s="21">
        <f t="shared" ca="1" si="0"/>
        <v>22371056.829135124</v>
      </c>
      <c r="K29" s="21">
        <f t="shared" ca="1" si="0"/>
        <v>9125307.1027401946</v>
      </c>
      <c r="L29" s="21">
        <f t="shared" ca="1" si="0"/>
        <v>98061813.492797941</v>
      </c>
      <c r="M29" s="20">
        <f ca="1">IFERROR(SUBTOTAL(101,M2:M27),0)</f>
        <v>1.68</v>
      </c>
      <c r="N29" s="21">
        <f t="shared" ca="1" si="0"/>
        <v>2862725</v>
      </c>
      <c r="O29" s="22"/>
      <c r="P29" s="23"/>
    </row>
    <row r="30" spans="1:16" ht="18" customHeight="1" thickBot="1" x14ac:dyDescent="0.3"/>
    <row r="31" spans="1:16" ht="24" thickBot="1" x14ac:dyDescent="0.3">
      <c r="J31" s="26" t="s">
        <v>60</v>
      </c>
      <c r="K31" s="27"/>
      <c r="L31" s="24">
        <f ca="1">$L$29-$N$29</f>
        <v>95199088.492797941</v>
      </c>
    </row>
    <row r="32" spans="1:16" x14ac:dyDescent="0.25">
      <c r="C32" s="11"/>
      <c r="H32" s="14"/>
    </row>
    <row r="33" spans="3:13" x14ac:dyDescent="0.25">
      <c r="C33" s="11"/>
    </row>
    <row r="34" spans="3:13" x14ac:dyDescent="0.25">
      <c r="C34" s="11"/>
      <c r="M34" s="15"/>
    </row>
    <row r="35" spans="3:13" x14ac:dyDescent="0.25">
      <c r="C35" s="11"/>
      <c r="D35" s="11"/>
      <c r="G35" s="44" t="s">
        <v>61</v>
      </c>
      <c r="H35" s="44"/>
      <c r="I35" s="44"/>
      <c r="M35" s="15"/>
    </row>
    <row r="36" spans="3:13" x14ac:dyDescent="0.25">
      <c r="C36" s="11"/>
      <c r="E36" s="11"/>
      <c r="G36" s="44"/>
      <c r="H36" s="44"/>
      <c r="I36" s="44"/>
    </row>
    <row r="37" spans="3:13" x14ac:dyDescent="0.25">
      <c r="G37" s="44"/>
      <c r="H37" s="44"/>
      <c r="I37" s="44"/>
    </row>
    <row r="38" spans="3:13" x14ac:dyDescent="0.25"/>
    <row r="39" spans="3:13" x14ac:dyDescent="0.25"/>
    <row r="40" spans="3:13" x14ac:dyDescent="0.25"/>
    <row r="41" spans="3:13" x14ac:dyDescent="0.25"/>
  </sheetData>
  <mergeCells count="3">
    <mergeCell ref="A29:C29"/>
    <mergeCell ref="J31:K31"/>
    <mergeCell ref="G35:I37"/>
  </mergeCells>
  <conditionalFormatting sqref="K1">
    <cfRule type="cellIs" dxfId="9" priority="5" operator="lessThan">
      <formula>0</formula>
    </cfRule>
  </conditionalFormatting>
  <conditionalFormatting sqref="M2:M27">
    <cfRule type="containsText" dxfId="8" priority="1" stopIfTrue="1" operator="containsText" text="OK">
      <formula>NOT(ISERROR(SEARCH("OK",M2)))</formula>
    </cfRule>
    <cfRule type="cellIs" dxfId="7" priority="2" stopIfTrue="1" operator="greaterThan">
      <formula>0</formula>
    </cfRule>
    <cfRule type="cellIs" dxfId="6" priority="3" stopIfTrue="1" operator="between">
      <formula>-5</formula>
      <formula>0</formula>
    </cfRule>
    <cfRule type="cellIs" dxfId="5" priority="4" stopIfTrue="1" operator="lessThan">
      <formula>-5</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19AF-A5C0-4D4D-9792-FC86A0278A37}">
  <dimension ref="A1:U1035"/>
  <sheetViews>
    <sheetView topLeftCell="A1006" workbookViewId="0">
      <selection activeCell="A1040" sqref="A1040"/>
    </sheetView>
  </sheetViews>
  <sheetFormatPr baseColWidth="10" defaultRowHeight="15" x14ac:dyDescent="0.25"/>
  <cols>
    <col min="2" max="2" width="20.5703125" bestFit="1" customWidth="1"/>
    <col min="3" max="3" width="25.42578125" customWidth="1"/>
    <col min="4" max="4" width="19.42578125" bestFit="1" customWidth="1"/>
    <col min="5" max="5" width="27.42578125" customWidth="1"/>
    <col min="6" max="6" width="12.85546875" customWidth="1"/>
    <col min="7" max="7" width="14" customWidth="1"/>
    <col min="8" max="8" width="19.7109375" customWidth="1"/>
    <col min="9" max="9" width="15.28515625" bestFit="1" customWidth="1"/>
    <col min="10" max="10" width="12.42578125" customWidth="1"/>
    <col min="11" max="11" width="19.28515625" customWidth="1"/>
    <col min="13" max="13" width="21.140625" customWidth="1"/>
    <col min="14" max="14" width="21.5703125" customWidth="1"/>
    <col min="15" max="15" width="25.28515625" customWidth="1"/>
    <col min="16" max="16" width="19.42578125" customWidth="1"/>
    <col min="17" max="17" width="19.28515625" customWidth="1"/>
    <col min="18" max="18" width="17.28515625" customWidth="1"/>
    <col min="19" max="19" width="19.5703125" customWidth="1"/>
    <col min="20" max="20" width="18.7109375" customWidth="1"/>
  </cols>
  <sheetData>
    <row r="1" spans="1:21" ht="60" x14ac:dyDescent="0.25">
      <c r="A1" s="8" t="s">
        <v>0</v>
      </c>
      <c r="B1" s="8" t="s">
        <v>0</v>
      </c>
      <c r="C1" s="8" t="s">
        <v>1</v>
      </c>
      <c r="D1" s="31" t="s">
        <v>2</v>
      </c>
      <c r="E1" s="32" t="s">
        <v>3</v>
      </c>
      <c r="F1" s="33" t="s">
        <v>4</v>
      </c>
      <c r="G1" s="33" t="s">
        <v>5</v>
      </c>
      <c r="H1" s="34" t="s">
        <v>6</v>
      </c>
      <c r="I1" s="34" t="s">
        <v>7</v>
      </c>
      <c r="J1" s="34" t="s">
        <v>8</v>
      </c>
      <c r="K1" s="34" t="s">
        <v>9</v>
      </c>
      <c r="L1" s="34" t="s">
        <v>10</v>
      </c>
      <c r="M1" s="35" t="s">
        <v>11</v>
      </c>
      <c r="N1" s="35" t="s">
        <v>12</v>
      </c>
      <c r="O1" s="35" t="s">
        <v>13</v>
      </c>
      <c r="P1" s="34" t="s">
        <v>14</v>
      </c>
      <c r="Q1" s="34" t="s">
        <v>15</v>
      </c>
      <c r="R1" s="33" t="s">
        <v>16</v>
      </c>
      <c r="S1" s="34" t="s">
        <v>17</v>
      </c>
      <c r="T1" s="32" t="s">
        <v>18</v>
      </c>
      <c r="U1" s="36" t="s">
        <v>19</v>
      </c>
    </row>
    <row r="2" spans="1:21" x14ac:dyDescent="0.25">
      <c r="A2" s="4" t="str">
        <f>CONCATENATE(YEAR($E2),MONTH($E2))</f>
        <v>20242</v>
      </c>
      <c r="B2" s="4" t="s">
        <v>20</v>
      </c>
      <c r="C2" s="4" t="s">
        <v>21</v>
      </c>
      <c r="D2" s="29" t="s">
        <v>22</v>
      </c>
      <c r="E2" s="28">
        <v>45335</v>
      </c>
      <c r="F2" s="4">
        <v>0</v>
      </c>
      <c r="G2" s="4">
        <v>12</v>
      </c>
      <c r="H2" s="6">
        <v>0</v>
      </c>
      <c r="I2" s="6">
        <v>0</v>
      </c>
      <c r="J2" s="6">
        <v>0</v>
      </c>
      <c r="K2" s="6">
        <v>0</v>
      </c>
      <c r="L2" s="6">
        <v>0</v>
      </c>
      <c r="M2" s="7">
        <v>1.3599999999999999E-2</v>
      </c>
      <c r="N2" s="7">
        <f>I2/Q2</f>
        <v>0</v>
      </c>
      <c r="O2" s="7">
        <f>(N2/M2)-1</f>
        <v>-1</v>
      </c>
      <c r="P2" s="6">
        <f>H2+I2+J2+K2+L2</f>
        <v>0</v>
      </c>
      <c r="Q2" s="6">
        <v>17722092</v>
      </c>
      <c r="R2" s="5" t="str">
        <f t="shared" ref="R2:R23" ca="1" si="0">IF(T1="",TODAY()-E1,IF(T2="",TODAY()-E2,"OK"))</f>
        <v>OK</v>
      </c>
      <c r="S2" s="6">
        <v>0</v>
      </c>
      <c r="T2" s="5">
        <v>45335</v>
      </c>
      <c r="U2" s="30" t="str">
        <f t="shared" ref="U2:U65" si="1">IF(AND(S2="",T2=""),"PENDIENTE",IF(AND(S2&lt;&gt;"",T2&lt;&gt;""),"PAGADO","ABONADO"))</f>
        <v>PAGADO</v>
      </c>
    </row>
    <row r="3" spans="1:21" x14ac:dyDescent="0.25">
      <c r="A3" s="4" t="str">
        <f t="shared" ref="A3:A66" si="2">CONCATENATE(YEAR($E3),MONTH($E3))</f>
        <v>20243</v>
      </c>
      <c r="B3" s="4" t="s">
        <v>20</v>
      </c>
      <c r="C3" s="4" t="s">
        <v>21</v>
      </c>
      <c r="D3" s="29" t="s">
        <v>22</v>
      </c>
      <c r="E3" s="28">
        <v>45364</v>
      </c>
      <c r="F3" s="4">
        <v>1</v>
      </c>
      <c r="G3" s="4">
        <v>11</v>
      </c>
      <c r="H3" s="6">
        <f>$Q$2/12</f>
        <v>1476841</v>
      </c>
      <c r="I3" s="6">
        <f>1717665-H3</f>
        <v>240824</v>
      </c>
      <c r="J3" s="6">
        <v>0</v>
      </c>
      <c r="K3" s="6">
        <v>0</v>
      </c>
      <c r="L3" s="6">
        <f>IF(S2="",0,IF(S2&lt;=P2,P2-S2,0))</f>
        <v>0</v>
      </c>
      <c r="M3" s="7">
        <v>1.3599999999999999E-2</v>
      </c>
      <c r="N3" s="7">
        <f t="shared" ref="N3:N4" si="3">I3/Q3</f>
        <v>1.4824270797662652E-2</v>
      </c>
      <c r="O3" s="7">
        <f t="shared" ref="O3:O66" si="4">(N3/M3)-1</f>
        <v>9.0019911592842172E-2</v>
      </c>
      <c r="P3" s="6">
        <f>H3+I3+J3+K3+L3</f>
        <v>1717665</v>
      </c>
      <c r="Q3" s="6">
        <f>Q2-H3</f>
        <v>16245251</v>
      </c>
      <c r="R3" s="4" t="str">
        <f t="shared" ca="1" si="0"/>
        <v>OK</v>
      </c>
      <c r="S3" s="6">
        <v>1717665</v>
      </c>
      <c r="T3" s="5">
        <v>45364</v>
      </c>
      <c r="U3" s="30" t="str">
        <f t="shared" si="1"/>
        <v>PAGADO</v>
      </c>
    </row>
    <row r="4" spans="1:21" x14ac:dyDescent="0.25">
      <c r="A4" s="4" t="str">
        <f t="shared" si="2"/>
        <v>20244</v>
      </c>
      <c r="B4" s="4" t="s">
        <v>20</v>
      </c>
      <c r="C4" s="4" t="s">
        <v>21</v>
      </c>
      <c r="D4" s="29" t="s">
        <v>22</v>
      </c>
      <c r="E4" s="28">
        <v>45395</v>
      </c>
      <c r="F4" s="4">
        <v>2</v>
      </c>
      <c r="G4" s="4">
        <v>10</v>
      </c>
      <c r="H4" s="6">
        <f t="shared" ref="H4:H14" si="5">$Q$2/12</f>
        <v>1476841</v>
      </c>
      <c r="I4" s="6">
        <v>220935.4136</v>
      </c>
      <c r="J4" s="6">
        <v>0</v>
      </c>
      <c r="K4" s="6">
        <v>0</v>
      </c>
      <c r="L4" s="6">
        <f t="shared" ref="L4:L67" si="6">IF(S3="",0,IF(S3&lt;=P3,P3-S3,0))</f>
        <v>0</v>
      </c>
      <c r="M4" s="7">
        <v>1.3599999999999999E-2</v>
      </c>
      <c r="N4" s="7">
        <f t="shared" si="3"/>
        <v>1.4959999999999999E-2</v>
      </c>
      <c r="O4" s="7">
        <f t="shared" si="4"/>
        <v>0.10000000000000009</v>
      </c>
      <c r="P4" s="6">
        <f t="shared" ref="P4:P67" si="7">H4+I4+J4+K4+L4</f>
        <v>1697776.4136000001</v>
      </c>
      <c r="Q4" s="6">
        <f t="shared" ref="Q4:Q14" si="8">Q3-H4</f>
        <v>14768410</v>
      </c>
      <c r="R4" s="4" t="str">
        <f t="shared" ca="1" si="0"/>
        <v>OK</v>
      </c>
      <c r="S4" s="6">
        <v>1709673</v>
      </c>
      <c r="T4" s="5">
        <v>45397</v>
      </c>
      <c r="U4" s="30" t="str">
        <f t="shared" si="1"/>
        <v>PAGADO</v>
      </c>
    </row>
    <row r="5" spans="1:21" x14ac:dyDescent="0.25">
      <c r="A5" s="4" t="str">
        <f t="shared" si="2"/>
        <v>20245</v>
      </c>
      <c r="B5" s="4" t="s">
        <v>20</v>
      </c>
      <c r="C5" s="4" t="s">
        <v>21</v>
      </c>
      <c r="D5" s="29" t="s">
        <v>22</v>
      </c>
      <c r="E5" s="28">
        <v>45425</v>
      </c>
      <c r="F5" s="4">
        <v>3</v>
      </c>
      <c r="G5" s="4">
        <v>9</v>
      </c>
      <c r="H5" s="6">
        <f t="shared" si="5"/>
        <v>1476841</v>
      </c>
      <c r="I5" s="6">
        <v>200850.37599999999</v>
      </c>
      <c r="J5" s="6">
        <v>0</v>
      </c>
      <c r="K5" s="6">
        <v>0</v>
      </c>
      <c r="L5" s="6">
        <f t="shared" si="6"/>
        <v>0</v>
      </c>
      <c r="M5" s="7">
        <v>1.3599999999999999E-2</v>
      </c>
      <c r="N5" s="7">
        <f>I5/Q4</f>
        <v>1.3599999999999999E-2</v>
      </c>
      <c r="O5" s="7">
        <f t="shared" si="4"/>
        <v>0</v>
      </c>
      <c r="P5" s="6">
        <f t="shared" si="7"/>
        <v>1677691.3759999999</v>
      </c>
      <c r="Q5" s="6">
        <f t="shared" si="8"/>
        <v>13291569</v>
      </c>
      <c r="R5" s="4" t="str">
        <f t="shared" ca="1" si="0"/>
        <v>OK</v>
      </c>
      <c r="S5" s="6">
        <v>1677470</v>
      </c>
      <c r="T5" s="5">
        <v>45426</v>
      </c>
      <c r="U5" s="30" t="str">
        <f t="shared" si="1"/>
        <v>PAGADO</v>
      </c>
    </row>
    <row r="6" spans="1:21" x14ac:dyDescent="0.25">
      <c r="A6" s="4" t="str">
        <f t="shared" si="2"/>
        <v>20246</v>
      </c>
      <c r="B6" s="4" t="s">
        <v>20</v>
      </c>
      <c r="C6" s="4" t="s">
        <v>21</v>
      </c>
      <c r="D6" s="29" t="s">
        <v>22</v>
      </c>
      <c r="E6" s="28">
        <v>45456</v>
      </c>
      <c r="F6" s="4">
        <v>4</v>
      </c>
      <c r="G6" s="4">
        <v>8</v>
      </c>
      <c r="H6" s="6">
        <f t="shared" si="5"/>
        <v>1476841</v>
      </c>
      <c r="I6" s="6">
        <v>180765.33839999998</v>
      </c>
      <c r="J6" s="6">
        <v>0</v>
      </c>
      <c r="K6" s="6">
        <v>0</v>
      </c>
      <c r="L6" s="6">
        <f t="shared" si="6"/>
        <v>221.37599999993108</v>
      </c>
      <c r="M6" s="7">
        <v>1.3599999999999999E-2</v>
      </c>
      <c r="N6" s="7">
        <f t="shared" ref="N6:N23" si="9">I6/Q5</f>
        <v>1.3599999999999999E-2</v>
      </c>
      <c r="O6" s="7">
        <f t="shared" si="4"/>
        <v>0</v>
      </c>
      <c r="P6" s="6">
        <f t="shared" si="7"/>
        <v>1657827.7143999999</v>
      </c>
      <c r="Q6" s="6">
        <f t="shared" si="8"/>
        <v>11814728</v>
      </c>
      <c r="R6" s="4" t="str">
        <f t="shared" ca="1" si="0"/>
        <v>OK</v>
      </c>
      <c r="S6" s="6">
        <v>1659832</v>
      </c>
      <c r="T6" s="5">
        <v>45456</v>
      </c>
      <c r="U6" s="30" t="str">
        <f t="shared" si="1"/>
        <v>PAGADO</v>
      </c>
    </row>
    <row r="7" spans="1:21" x14ac:dyDescent="0.25">
      <c r="A7" s="4" t="str">
        <f t="shared" si="2"/>
        <v>20247</v>
      </c>
      <c r="B7" s="4" t="s">
        <v>20</v>
      </c>
      <c r="C7" s="4" t="s">
        <v>21</v>
      </c>
      <c r="D7" s="29" t="s">
        <v>22</v>
      </c>
      <c r="E7" s="28">
        <v>45486</v>
      </c>
      <c r="F7" s="4">
        <v>5</v>
      </c>
      <c r="G7" s="4">
        <v>7</v>
      </c>
      <c r="H7" s="6">
        <f t="shared" si="5"/>
        <v>1476841</v>
      </c>
      <c r="I7" s="6">
        <v>160680.3008</v>
      </c>
      <c r="J7" s="6">
        <v>0</v>
      </c>
      <c r="K7" s="6">
        <v>0</v>
      </c>
      <c r="L7" s="6">
        <f t="shared" si="6"/>
        <v>0</v>
      </c>
      <c r="M7" s="7">
        <v>1.3599999999999999E-2</v>
      </c>
      <c r="N7" s="7">
        <f t="shared" si="9"/>
        <v>1.3599999999999999E-2</v>
      </c>
      <c r="O7" s="7">
        <f t="shared" si="4"/>
        <v>0</v>
      </c>
      <c r="P7" s="6">
        <f t="shared" si="7"/>
        <v>1637521.3008000001</v>
      </c>
      <c r="Q7" s="6">
        <f t="shared" si="8"/>
        <v>10337887</v>
      </c>
      <c r="R7" s="4" t="str">
        <f t="shared" ca="1" si="0"/>
        <v>OK</v>
      </c>
      <c r="S7" s="6">
        <v>1632519</v>
      </c>
      <c r="T7" s="5">
        <v>45488</v>
      </c>
      <c r="U7" s="30" t="str">
        <f t="shared" si="1"/>
        <v>PAGADO</v>
      </c>
    </row>
    <row r="8" spans="1:21" x14ac:dyDescent="0.25">
      <c r="A8" s="4" t="str">
        <f t="shared" si="2"/>
        <v>20248</v>
      </c>
      <c r="B8" s="4" t="s">
        <v>20</v>
      </c>
      <c r="C8" s="4" t="s">
        <v>21</v>
      </c>
      <c r="D8" s="29" t="s">
        <v>22</v>
      </c>
      <c r="E8" s="28">
        <v>45517</v>
      </c>
      <c r="F8" s="4">
        <v>6</v>
      </c>
      <c r="G8" s="4">
        <v>6</v>
      </c>
      <c r="H8" s="6">
        <f t="shared" si="5"/>
        <v>1476841</v>
      </c>
      <c r="I8" s="6">
        <v>140595.26319999999</v>
      </c>
      <c r="J8" s="6">
        <v>0</v>
      </c>
      <c r="K8" s="6">
        <v>0</v>
      </c>
      <c r="L8" s="6">
        <f t="shared" si="6"/>
        <v>5002.3008000000846</v>
      </c>
      <c r="M8" s="7">
        <v>1.3599999999999999E-2</v>
      </c>
      <c r="N8" s="7">
        <f t="shared" si="9"/>
        <v>1.3599999999999999E-2</v>
      </c>
      <c r="O8" s="7">
        <f t="shared" si="4"/>
        <v>0</v>
      </c>
      <c r="P8" s="6">
        <f t="shared" si="7"/>
        <v>1622438.564</v>
      </c>
      <c r="Q8" s="6">
        <f t="shared" si="8"/>
        <v>8861046</v>
      </c>
      <c r="R8" s="4" t="str">
        <f t="shared" ca="1" si="0"/>
        <v>OK</v>
      </c>
      <c r="S8" s="6">
        <v>1613711</v>
      </c>
      <c r="T8" s="5">
        <v>45519</v>
      </c>
      <c r="U8" s="30" t="str">
        <f t="shared" si="1"/>
        <v>PAGADO</v>
      </c>
    </row>
    <row r="9" spans="1:21" x14ac:dyDescent="0.25">
      <c r="A9" s="4" t="str">
        <f t="shared" si="2"/>
        <v>20249</v>
      </c>
      <c r="B9" s="4" t="s">
        <v>20</v>
      </c>
      <c r="C9" s="4" t="s">
        <v>21</v>
      </c>
      <c r="D9" s="29" t="s">
        <v>22</v>
      </c>
      <c r="E9" s="28">
        <v>45548</v>
      </c>
      <c r="F9" s="4">
        <v>7</v>
      </c>
      <c r="G9" s="4">
        <v>5</v>
      </c>
      <c r="H9" s="6">
        <f t="shared" si="5"/>
        <v>1476841</v>
      </c>
      <c r="I9" s="6">
        <v>120510.22559999999</v>
      </c>
      <c r="J9" s="6">
        <v>0</v>
      </c>
      <c r="K9" s="6">
        <v>0</v>
      </c>
      <c r="L9" s="6">
        <f t="shared" si="6"/>
        <v>8727.564000000013</v>
      </c>
      <c r="M9" s="7">
        <v>1.3599999999999999E-2</v>
      </c>
      <c r="N9" s="7">
        <f t="shared" si="9"/>
        <v>1.3599999999999999E-2</v>
      </c>
      <c r="O9" s="7">
        <f t="shared" si="4"/>
        <v>0</v>
      </c>
      <c r="P9" s="6">
        <f t="shared" si="7"/>
        <v>1606078.7896</v>
      </c>
      <c r="Q9" s="6">
        <f t="shared" si="8"/>
        <v>7384205</v>
      </c>
      <c r="R9" s="4">
        <f t="shared" ca="1" si="0"/>
        <v>-10</v>
      </c>
      <c r="S9" s="6"/>
      <c r="T9" s="5"/>
      <c r="U9" s="30" t="str">
        <f t="shared" si="1"/>
        <v>PENDIENTE</v>
      </c>
    </row>
    <row r="10" spans="1:21" x14ac:dyDescent="0.25">
      <c r="A10" s="4" t="str">
        <f t="shared" si="2"/>
        <v>202410</v>
      </c>
      <c r="B10" s="4" t="s">
        <v>20</v>
      </c>
      <c r="C10" s="4" t="s">
        <v>21</v>
      </c>
      <c r="D10" s="29" t="s">
        <v>22</v>
      </c>
      <c r="E10" s="28">
        <v>45578</v>
      </c>
      <c r="F10" s="4">
        <v>8</v>
      </c>
      <c r="G10" s="4">
        <v>4</v>
      </c>
      <c r="H10" s="6">
        <f t="shared" si="5"/>
        <v>1476841</v>
      </c>
      <c r="I10" s="6">
        <v>100425.18799999999</v>
      </c>
      <c r="J10" s="6">
        <v>0</v>
      </c>
      <c r="K10" s="6">
        <v>0</v>
      </c>
      <c r="L10" s="6">
        <f t="shared" si="6"/>
        <v>0</v>
      </c>
      <c r="M10" s="7">
        <v>1.3599999999999999E-2</v>
      </c>
      <c r="N10" s="7">
        <f t="shared" si="9"/>
        <v>1.3599999999999999E-2</v>
      </c>
      <c r="O10" s="7">
        <f t="shared" si="4"/>
        <v>0</v>
      </c>
      <c r="P10" s="6">
        <f t="shared" si="7"/>
        <v>1577266.1880000001</v>
      </c>
      <c r="Q10" s="6">
        <f t="shared" si="8"/>
        <v>5907364</v>
      </c>
      <c r="R10" s="4">
        <f t="shared" ca="1" si="0"/>
        <v>-10</v>
      </c>
      <c r="S10" s="6"/>
      <c r="T10" s="5"/>
      <c r="U10" s="30" t="str">
        <f t="shared" si="1"/>
        <v>PENDIENTE</v>
      </c>
    </row>
    <row r="11" spans="1:21" x14ac:dyDescent="0.25">
      <c r="A11" s="4" t="str">
        <f t="shared" si="2"/>
        <v>202411</v>
      </c>
      <c r="B11" s="4" t="s">
        <v>20</v>
      </c>
      <c r="C11" s="4" t="s">
        <v>21</v>
      </c>
      <c r="D11" s="29" t="s">
        <v>22</v>
      </c>
      <c r="E11" s="28">
        <v>45609</v>
      </c>
      <c r="F11" s="4">
        <v>9</v>
      </c>
      <c r="G11" s="4">
        <v>3</v>
      </c>
      <c r="H11" s="6">
        <f t="shared" si="5"/>
        <v>1476841</v>
      </c>
      <c r="I11" s="6">
        <v>80340.150399999999</v>
      </c>
      <c r="J11" s="6">
        <v>0</v>
      </c>
      <c r="K11" s="6">
        <v>0</v>
      </c>
      <c r="L11" s="6">
        <f t="shared" si="6"/>
        <v>0</v>
      </c>
      <c r="M11" s="7">
        <v>1.3599999999999999E-2</v>
      </c>
      <c r="N11" s="7">
        <f t="shared" si="9"/>
        <v>1.3599999999999999E-2</v>
      </c>
      <c r="O11" s="7">
        <f t="shared" si="4"/>
        <v>0</v>
      </c>
      <c r="P11" s="6">
        <f t="shared" si="7"/>
        <v>1557181.1503999999</v>
      </c>
      <c r="Q11" s="6">
        <f t="shared" si="8"/>
        <v>4430523</v>
      </c>
      <c r="R11" s="4">
        <f t="shared" ca="1" si="0"/>
        <v>-40</v>
      </c>
      <c r="S11" s="6"/>
      <c r="T11" s="5"/>
      <c r="U11" s="30" t="str">
        <f t="shared" si="1"/>
        <v>PENDIENTE</v>
      </c>
    </row>
    <row r="12" spans="1:21" x14ac:dyDescent="0.25">
      <c r="A12" s="4" t="str">
        <f t="shared" si="2"/>
        <v>202412</v>
      </c>
      <c r="B12" s="4" t="s">
        <v>20</v>
      </c>
      <c r="C12" s="4" t="s">
        <v>21</v>
      </c>
      <c r="D12" s="29" t="s">
        <v>22</v>
      </c>
      <c r="E12" s="28">
        <v>45639</v>
      </c>
      <c r="F12" s="4">
        <v>10</v>
      </c>
      <c r="G12" s="4">
        <v>2</v>
      </c>
      <c r="H12" s="6">
        <f t="shared" si="5"/>
        <v>1476841</v>
      </c>
      <c r="I12" s="6">
        <v>60255.112799999995</v>
      </c>
      <c r="J12" s="6">
        <v>0</v>
      </c>
      <c r="K12" s="6">
        <v>0</v>
      </c>
      <c r="L12" s="6">
        <f t="shared" si="6"/>
        <v>0</v>
      </c>
      <c r="M12" s="7">
        <v>1.3599999999999999E-2</v>
      </c>
      <c r="N12" s="7">
        <f t="shared" si="9"/>
        <v>1.3599999999999999E-2</v>
      </c>
      <c r="O12" s="7">
        <f t="shared" si="4"/>
        <v>0</v>
      </c>
      <c r="P12" s="6">
        <f t="shared" si="7"/>
        <v>1537096.1128</v>
      </c>
      <c r="Q12" s="6">
        <f t="shared" si="8"/>
        <v>2953682</v>
      </c>
      <c r="R12" s="4">
        <f t="shared" ca="1" si="0"/>
        <v>-71</v>
      </c>
      <c r="S12" s="6"/>
      <c r="T12" s="5"/>
      <c r="U12" s="30" t="str">
        <f t="shared" si="1"/>
        <v>PENDIENTE</v>
      </c>
    </row>
    <row r="13" spans="1:21" x14ac:dyDescent="0.25">
      <c r="A13" s="4" t="str">
        <f t="shared" si="2"/>
        <v>20251</v>
      </c>
      <c r="B13" s="4" t="s">
        <v>20</v>
      </c>
      <c r="C13" s="4" t="s">
        <v>21</v>
      </c>
      <c r="D13" s="29" t="s">
        <v>22</v>
      </c>
      <c r="E13" s="28">
        <v>45670</v>
      </c>
      <c r="F13" s="4">
        <v>11</v>
      </c>
      <c r="G13" s="4">
        <v>1</v>
      </c>
      <c r="H13" s="6">
        <f t="shared" si="5"/>
        <v>1476841</v>
      </c>
      <c r="I13" s="6">
        <v>40170.075199999999</v>
      </c>
      <c r="J13" s="6">
        <v>0</v>
      </c>
      <c r="K13" s="6">
        <v>0</v>
      </c>
      <c r="L13" s="6">
        <f t="shared" si="6"/>
        <v>0</v>
      </c>
      <c r="M13" s="7">
        <v>1.3599999999999999E-2</v>
      </c>
      <c r="N13" s="7">
        <f t="shared" si="9"/>
        <v>1.3599999999999999E-2</v>
      </c>
      <c r="O13" s="7">
        <f t="shared" si="4"/>
        <v>0</v>
      </c>
      <c r="P13" s="6">
        <f t="shared" si="7"/>
        <v>1517011.0752000001</v>
      </c>
      <c r="Q13" s="6">
        <f t="shared" si="8"/>
        <v>1476841</v>
      </c>
      <c r="R13" s="4">
        <f t="shared" ca="1" si="0"/>
        <v>-101</v>
      </c>
      <c r="S13" s="6"/>
      <c r="T13" s="5"/>
      <c r="U13" s="30" t="str">
        <f t="shared" si="1"/>
        <v>PENDIENTE</v>
      </c>
    </row>
    <row r="14" spans="1:21" x14ac:dyDescent="0.25">
      <c r="A14" s="4" t="str">
        <f t="shared" si="2"/>
        <v>20252</v>
      </c>
      <c r="B14" s="4" t="s">
        <v>20</v>
      </c>
      <c r="C14" s="4" t="s">
        <v>21</v>
      </c>
      <c r="D14" s="29" t="s">
        <v>22</v>
      </c>
      <c r="E14" s="28">
        <v>45701</v>
      </c>
      <c r="F14" s="4">
        <v>12</v>
      </c>
      <c r="G14" s="4">
        <v>0</v>
      </c>
      <c r="H14" s="6">
        <f t="shared" si="5"/>
        <v>1476841</v>
      </c>
      <c r="I14" s="6">
        <v>20085.0376</v>
      </c>
      <c r="J14" s="6">
        <v>0</v>
      </c>
      <c r="K14" s="6">
        <v>0</v>
      </c>
      <c r="L14" s="6">
        <f t="shared" si="6"/>
        <v>0</v>
      </c>
      <c r="M14" s="7">
        <v>1.3599999999999999E-2</v>
      </c>
      <c r="N14" s="7">
        <f t="shared" si="9"/>
        <v>1.3599999999999999E-2</v>
      </c>
      <c r="O14" s="7">
        <f t="shared" si="4"/>
        <v>0</v>
      </c>
      <c r="P14" s="6">
        <f t="shared" si="7"/>
        <v>1496926.0375999999</v>
      </c>
      <c r="Q14" s="6">
        <f t="shared" si="8"/>
        <v>0</v>
      </c>
      <c r="R14" s="4">
        <f t="shared" ca="1" si="0"/>
        <v>-132</v>
      </c>
      <c r="S14" s="6"/>
      <c r="T14" s="5"/>
      <c r="U14" s="30" t="str">
        <f t="shared" si="1"/>
        <v>PENDIENTE</v>
      </c>
    </row>
    <row r="15" spans="1:21" x14ac:dyDescent="0.25">
      <c r="A15" s="4" t="str">
        <f t="shared" si="2"/>
        <v>20242</v>
      </c>
      <c r="B15" s="4" t="s">
        <v>20</v>
      </c>
      <c r="C15" s="4" t="s">
        <v>21</v>
      </c>
      <c r="D15" s="29" t="s">
        <v>23</v>
      </c>
      <c r="E15" s="28">
        <v>45335</v>
      </c>
      <c r="F15" s="4">
        <v>0</v>
      </c>
      <c r="G15" s="4">
        <v>8</v>
      </c>
      <c r="H15" s="6">
        <v>0</v>
      </c>
      <c r="I15" s="6">
        <v>0</v>
      </c>
      <c r="J15" s="6">
        <v>0</v>
      </c>
      <c r="K15" s="6">
        <v>0</v>
      </c>
      <c r="L15" s="6">
        <f t="shared" si="6"/>
        <v>0</v>
      </c>
      <c r="M15" s="7">
        <v>1.3599999999999999E-2</v>
      </c>
      <c r="N15" s="7">
        <v>0</v>
      </c>
      <c r="O15" s="7">
        <f t="shared" si="4"/>
        <v>-1</v>
      </c>
      <c r="P15" s="6">
        <f t="shared" si="7"/>
        <v>0</v>
      </c>
      <c r="Q15" s="6">
        <v>85000000</v>
      </c>
      <c r="R15" s="4">
        <f t="shared" ca="1" si="0"/>
        <v>-163</v>
      </c>
      <c r="S15" s="6">
        <v>0</v>
      </c>
      <c r="T15" s="5">
        <v>45335</v>
      </c>
      <c r="U15" s="30" t="str">
        <f t="shared" si="1"/>
        <v>PAGADO</v>
      </c>
    </row>
    <row r="16" spans="1:21" x14ac:dyDescent="0.25">
      <c r="A16" s="4" t="str">
        <f t="shared" si="2"/>
        <v>20245</v>
      </c>
      <c r="B16" s="4" t="s">
        <v>20</v>
      </c>
      <c r="C16" s="4" t="s">
        <v>21</v>
      </c>
      <c r="D16" s="29" t="s">
        <v>23</v>
      </c>
      <c r="E16" s="28">
        <v>45425</v>
      </c>
      <c r="F16" s="4">
        <v>1</v>
      </c>
      <c r="G16" s="4">
        <v>7</v>
      </c>
      <c r="H16" s="6">
        <v>10625000</v>
      </c>
      <c r="I16" s="6">
        <v>2452675</v>
      </c>
      <c r="J16" s="6">
        <v>0</v>
      </c>
      <c r="K16" s="6">
        <v>0</v>
      </c>
      <c r="L16" s="6">
        <f t="shared" si="6"/>
        <v>0</v>
      </c>
      <c r="M16" s="7">
        <f>(0.22176+0.1245)/12</f>
        <v>2.8855000000000002E-2</v>
      </c>
      <c r="N16" s="7">
        <f t="shared" si="9"/>
        <v>2.8854999999999999E-2</v>
      </c>
      <c r="O16" s="7">
        <f t="shared" si="4"/>
        <v>0</v>
      </c>
      <c r="P16" s="6">
        <f t="shared" si="7"/>
        <v>13077675</v>
      </c>
      <c r="Q16" s="6">
        <f>Q15-H16</f>
        <v>74375000</v>
      </c>
      <c r="R16" s="4" t="str">
        <f t="shared" ca="1" si="0"/>
        <v>OK</v>
      </c>
      <c r="S16" s="6">
        <v>14929400</v>
      </c>
      <c r="T16" s="5">
        <v>45426</v>
      </c>
      <c r="U16" s="30" t="str">
        <f t="shared" si="1"/>
        <v>PAGADO</v>
      </c>
    </row>
    <row r="17" spans="1:21" x14ac:dyDescent="0.25">
      <c r="A17" s="4" t="str">
        <f t="shared" si="2"/>
        <v>20248</v>
      </c>
      <c r="B17" s="4" t="s">
        <v>20</v>
      </c>
      <c r="C17" s="4" t="s">
        <v>21</v>
      </c>
      <c r="D17" s="29" t="s">
        <v>23</v>
      </c>
      <c r="E17" s="28">
        <v>45517</v>
      </c>
      <c r="F17" s="4">
        <v>2</v>
      </c>
      <c r="G17" s="4">
        <v>6</v>
      </c>
      <c r="H17" s="6">
        <v>10625000</v>
      </c>
      <c r="I17" s="6">
        <v>2146090.625</v>
      </c>
      <c r="J17" s="6">
        <v>0</v>
      </c>
      <c r="K17" s="6">
        <v>0</v>
      </c>
      <c r="L17" s="6">
        <f t="shared" si="6"/>
        <v>0</v>
      </c>
      <c r="M17" s="7">
        <f t="shared" ref="M17:M23" si="10">(0.22176+0.1245)/12</f>
        <v>2.8855000000000002E-2</v>
      </c>
      <c r="N17" s="7">
        <f t="shared" si="9"/>
        <v>2.8854999999999999E-2</v>
      </c>
      <c r="O17" s="7">
        <f t="shared" si="4"/>
        <v>0</v>
      </c>
      <c r="P17" s="6">
        <f t="shared" si="7"/>
        <v>12771090.625</v>
      </c>
      <c r="Q17" s="6">
        <f t="shared" ref="Q17:Q23" si="11">Q16-H16</f>
        <v>63750000</v>
      </c>
      <c r="R17" s="4" t="str">
        <f t="shared" ca="1" si="0"/>
        <v>OK</v>
      </c>
      <c r="S17" s="6">
        <v>14297141</v>
      </c>
      <c r="T17" s="5">
        <v>45518</v>
      </c>
      <c r="U17" s="30" t="str">
        <f t="shared" si="1"/>
        <v>PAGADO</v>
      </c>
    </row>
    <row r="18" spans="1:21" x14ac:dyDescent="0.25">
      <c r="A18" s="4" t="str">
        <f t="shared" si="2"/>
        <v>202411</v>
      </c>
      <c r="B18" s="4" t="s">
        <v>20</v>
      </c>
      <c r="C18" s="4" t="s">
        <v>21</v>
      </c>
      <c r="D18" s="29" t="s">
        <v>23</v>
      </c>
      <c r="E18" s="28">
        <v>45609</v>
      </c>
      <c r="F18" s="4">
        <v>3</v>
      </c>
      <c r="G18" s="4">
        <v>5</v>
      </c>
      <c r="H18" s="6">
        <v>10625000</v>
      </c>
      <c r="I18" s="6">
        <v>1839506.2500000002</v>
      </c>
      <c r="J18" s="6">
        <v>0</v>
      </c>
      <c r="K18" s="6">
        <v>0</v>
      </c>
      <c r="L18" s="6">
        <f t="shared" si="6"/>
        <v>0</v>
      </c>
      <c r="M18" s="7">
        <f t="shared" si="10"/>
        <v>2.8855000000000002E-2</v>
      </c>
      <c r="N18" s="7">
        <f t="shared" si="9"/>
        <v>2.8855000000000002E-2</v>
      </c>
      <c r="O18" s="7">
        <f t="shared" si="4"/>
        <v>0</v>
      </c>
      <c r="P18" s="6">
        <f t="shared" si="7"/>
        <v>12464506.25</v>
      </c>
      <c r="Q18" s="6">
        <f t="shared" si="11"/>
        <v>53125000</v>
      </c>
      <c r="R18" s="4">
        <f t="shared" ca="1" si="0"/>
        <v>-71</v>
      </c>
      <c r="S18" s="6"/>
      <c r="T18" s="5"/>
      <c r="U18" s="30" t="str">
        <f t="shared" si="1"/>
        <v>PENDIENTE</v>
      </c>
    </row>
    <row r="19" spans="1:21" x14ac:dyDescent="0.25">
      <c r="A19" s="4" t="str">
        <f t="shared" si="2"/>
        <v>20252</v>
      </c>
      <c r="B19" s="4" t="s">
        <v>20</v>
      </c>
      <c r="C19" s="4" t="s">
        <v>21</v>
      </c>
      <c r="D19" s="29" t="s">
        <v>23</v>
      </c>
      <c r="E19" s="28">
        <v>45701</v>
      </c>
      <c r="F19" s="4">
        <v>4</v>
      </c>
      <c r="G19" s="4">
        <v>4</v>
      </c>
      <c r="H19" s="6">
        <v>10625000</v>
      </c>
      <c r="I19" s="6">
        <v>1532921.875</v>
      </c>
      <c r="J19" s="6">
        <v>0</v>
      </c>
      <c r="K19" s="6">
        <v>0</v>
      </c>
      <c r="L19" s="6">
        <f t="shared" si="6"/>
        <v>0</v>
      </c>
      <c r="M19" s="7">
        <f t="shared" si="10"/>
        <v>2.8855000000000002E-2</v>
      </c>
      <c r="N19" s="7">
        <f t="shared" si="9"/>
        <v>2.8854999999999999E-2</v>
      </c>
      <c r="O19" s="7">
        <f t="shared" si="4"/>
        <v>0</v>
      </c>
      <c r="P19" s="6">
        <f t="shared" si="7"/>
        <v>12157921.875</v>
      </c>
      <c r="Q19" s="6">
        <f t="shared" si="11"/>
        <v>42500000</v>
      </c>
      <c r="R19" s="4">
        <f t="shared" ca="1" si="0"/>
        <v>-71</v>
      </c>
      <c r="S19" s="6"/>
      <c r="T19" s="5"/>
      <c r="U19" s="30" t="str">
        <f t="shared" si="1"/>
        <v>PENDIENTE</v>
      </c>
    </row>
    <row r="20" spans="1:21" x14ac:dyDescent="0.25">
      <c r="A20" s="4" t="str">
        <f t="shared" si="2"/>
        <v>20255</v>
      </c>
      <c r="B20" s="4" t="s">
        <v>20</v>
      </c>
      <c r="C20" s="4" t="s">
        <v>21</v>
      </c>
      <c r="D20" s="29" t="s">
        <v>23</v>
      </c>
      <c r="E20" s="28">
        <v>45790</v>
      </c>
      <c r="F20" s="4">
        <v>5</v>
      </c>
      <c r="G20" s="4">
        <v>3</v>
      </c>
      <c r="H20" s="6">
        <v>10625000</v>
      </c>
      <c r="I20" s="6">
        <v>1226337.5</v>
      </c>
      <c r="J20" s="6">
        <v>0</v>
      </c>
      <c r="K20" s="6">
        <v>0</v>
      </c>
      <c r="L20" s="6">
        <f t="shared" si="6"/>
        <v>0</v>
      </c>
      <c r="M20" s="7">
        <f t="shared" si="10"/>
        <v>2.8855000000000002E-2</v>
      </c>
      <c r="N20" s="7">
        <f t="shared" si="9"/>
        <v>2.8854999999999999E-2</v>
      </c>
      <c r="O20" s="7">
        <f t="shared" si="4"/>
        <v>0</v>
      </c>
      <c r="P20" s="6">
        <f t="shared" si="7"/>
        <v>11851337.5</v>
      </c>
      <c r="Q20" s="6">
        <f t="shared" si="11"/>
        <v>31875000</v>
      </c>
      <c r="R20" s="4">
        <f t="shared" ca="1" si="0"/>
        <v>-163</v>
      </c>
      <c r="S20" s="6"/>
      <c r="T20" s="5"/>
      <c r="U20" s="30" t="str">
        <f t="shared" si="1"/>
        <v>PENDIENTE</v>
      </c>
    </row>
    <row r="21" spans="1:21" x14ac:dyDescent="0.25">
      <c r="A21" s="4" t="str">
        <f t="shared" si="2"/>
        <v>20258</v>
      </c>
      <c r="B21" s="4" t="s">
        <v>20</v>
      </c>
      <c r="C21" s="4" t="s">
        <v>21</v>
      </c>
      <c r="D21" s="29" t="s">
        <v>23</v>
      </c>
      <c r="E21" s="28">
        <v>45882</v>
      </c>
      <c r="F21" s="4">
        <v>6</v>
      </c>
      <c r="G21" s="4">
        <v>2</v>
      </c>
      <c r="H21" s="6">
        <v>10625000</v>
      </c>
      <c r="I21" s="6">
        <v>919753.12500000012</v>
      </c>
      <c r="J21" s="6">
        <v>0</v>
      </c>
      <c r="K21" s="6">
        <v>0</v>
      </c>
      <c r="L21" s="6">
        <f t="shared" si="6"/>
        <v>0</v>
      </c>
      <c r="M21" s="7">
        <f t="shared" si="10"/>
        <v>2.8855000000000002E-2</v>
      </c>
      <c r="N21" s="7">
        <f t="shared" si="9"/>
        <v>2.8855000000000002E-2</v>
      </c>
      <c r="O21" s="7">
        <f t="shared" si="4"/>
        <v>0</v>
      </c>
      <c r="P21" s="6">
        <f t="shared" si="7"/>
        <v>11544753.125</v>
      </c>
      <c r="Q21" s="6">
        <f t="shared" si="11"/>
        <v>21250000</v>
      </c>
      <c r="R21" s="4">
        <f t="shared" ca="1" si="0"/>
        <v>-252</v>
      </c>
      <c r="S21" s="6"/>
      <c r="T21" s="5"/>
      <c r="U21" s="30" t="str">
        <f t="shared" si="1"/>
        <v>PENDIENTE</v>
      </c>
    </row>
    <row r="22" spans="1:21" x14ac:dyDescent="0.25">
      <c r="A22" s="4" t="str">
        <f t="shared" si="2"/>
        <v>202511</v>
      </c>
      <c r="B22" s="4" t="s">
        <v>20</v>
      </c>
      <c r="C22" s="4" t="s">
        <v>21</v>
      </c>
      <c r="D22" s="29" t="s">
        <v>23</v>
      </c>
      <c r="E22" s="28">
        <v>45974</v>
      </c>
      <c r="F22" s="4">
        <v>7</v>
      </c>
      <c r="G22" s="4">
        <v>1</v>
      </c>
      <c r="H22" s="6">
        <v>10625000</v>
      </c>
      <c r="I22" s="6">
        <v>613168.75</v>
      </c>
      <c r="J22" s="6">
        <v>0</v>
      </c>
      <c r="K22" s="6">
        <v>0</v>
      </c>
      <c r="L22" s="6">
        <f t="shared" si="6"/>
        <v>0</v>
      </c>
      <c r="M22" s="7">
        <f t="shared" si="10"/>
        <v>2.8855000000000002E-2</v>
      </c>
      <c r="N22" s="7">
        <f t="shared" si="9"/>
        <v>2.8854999999999999E-2</v>
      </c>
      <c r="O22" s="7">
        <f t="shared" si="4"/>
        <v>0</v>
      </c>
      <c r="P22" s="6">
        <f t="shared" si="7"/>
        <v>11238168.75</v>
      </c>
      <c r="Q22" s="6">
        <f t="shared" si="11"/>
        <v>10625000</v>
      </c>
      <c r="R22" s="4">
        <f t="shared" ca="1" si="0"/>
        <v>-344</v>
      </c>
      <c r="S22" s="6"/>
      <c r="T22" s="5"/>
      <c r="U22" s="30" t="str">
        <f t="shared" si="1"/>
        <v>PENDIENTE</v>
      </c>
    </row>
    <row r="23" spans="1:21" x14ac:dyDescent="0.25">
      <c r="A23" s="4" t="str">
        <f t="shared" si="2"/>
        <v>20262</v>
      </c>
      <c r="B23" s="4" t="s">
        <v>20</v>
      </c>
      <c r="C23" s="4" t="s">
        <v>21</v>
      </c>
      <c r="D23" s="29" t="s">
        <v>23</v>
      </c>
      <c r="E23" s="28">
        <v>46066</v>
      </c>
      <c r="F23" s="4">
        <v>8</v>
      </c>
      <c r="G23" s="4">
        <v>0</v>
      </c>
      <c r="H23" s="6">
        <v>10625000</v>
      </c>
      <c r="I23" s="6">
        <v>306584.375</v>
      </c>
      <c r="J23" s="6">
        <v>0</v>
      </c>
      <c r="K23" s="6">
        <v>0</v>
      </c>
      <c r="L23" s="6">
        <f t="shared" si="6"/>
        <v>0</v>
      </c>
      <c r="M23" s="7">
        <f t="shared" si="10"/>
        <v>2.8855000000000002E-2</v>
      </c>
      <c r="N23" s="7">
        <f t="shared" si="9"/>
        <v>2.8854999999999999E-2</v>
      </c>
      <c r="O23" s="7">
        <f t="shared" si="4"/>
        <v>0</v>
      </c>
      <c r="P23" s="6">
        <f t="shared" si="7"/>
        <v>10931584.375</v>
      </c>
      <c r="Q23" s="6">
        <f t="shared" si="11"/>
        <v>0</v>
      </c>
      <c r="R23" s="4">
        <f t="shared" ca="1" si="0"/>
        <v>-436</v>
      </c>
      <c r="S23" s="6"/>
      <c r="T23" s="5"/>
      <c r="U23" s="30" t="str">
        <f t="shared" si="1"/>
        <v>PENDIENTE</v>
      </c>
    </row>
    <row r="24" spans="1:21" x14ac:dyDescent="0.25">
      <c r="A24" s="4" t="str">
        <f t="shared" si="2"/>
        <v>202111</v>
      </c>
      <c r="B24" s="4" t="s">
        <v>24</v>
      </c>
      <c r="C24" s="4" t="s">
        <v>25</v>
      </c>
      <c r="D24" s="29" t="s">
        <v>26</v>
      </c>
      <c r="E24" s="28">
        <v>44513</v>
      </c>
      <c r="F24" s="4">
        <v>1</v>
      </c>
      <c r="G24" s="4">
        <v>35</v>
      </c>
      <c r="H24" s="6">
        <v>2313071.21</v>
      </c>
      <c r="I24" s="6">
        <v>1019610.75</v>
      </c>
      <c r="J24" s="6">
        <v>0</v>
      </c>
      <c r="K24" s="6">
        <v>0</v>
      </c>
      <c r="L24" s="6">
        <f t="shared" si="6"/>
        <v>0</v>
      </c>
      <c r="M24" s="7">
        <f>0.12235329/12</f>
        <v>1.0196107500000001E-2</v>
      </c>
      <c r="N24" s="7">
        <f>I24/100000000</f>
        <v>1.0196107500000001E-2</v>
      </c>
      <c r="O24" s="7">
        <f t="shared" si="4"/>
        <v>0</v>
      </c>
      <c r="P24" s="6">
        <f t="shared" si="7"/>
        <v>3332681.96</v>
      </c>
      <c r="Q24" s="6">
        <v>97686928.790000007</v>
      </c>
      <c r="R24" s="4" t="s">
        <v>27</v>
      </c>
      <c r="S24" s="6">
        <v>3653515.96</v>
      </c>
      <c r="T24" s="5">
        <v>44514</v>
      </c>
      <c r="U24" s="30" t="str">
        <f t="shared" si="1"/>
        <v>PAGADO</v>
      </c>
    </row>
    <row r="25" spans="1:21" x14ac:dyDescent="0.25">
      <c r="A25" s="4" t="str">
        <f t="shared" si="2"/>
        <v>202112</v>
      </c>
      <c r="B25" s="4" t="s">
        <v>24</v>
      </c>
      <c r="C25" s="4" t="s">
        <v>25</v>
      </c>
      <c r="D25" s="29" t="s">
        <v>26</v>
      </c>
      <c r="E25" s="28">
        <v>44543</v>
      </c>
      <c r="F25" s="4">
        <v>2</v>
      </c>
      <c r="G25" s="4">
        <v>34</v>
      </c>
      <c r="H25" s="6">
        <v>2323647.5099999998</v>
      </c>
      <c r="I25" s="6">
        <v>1026554.73</v>
      </c>
      <c r="J25" s="6">
        <v>0</v>
      </c>
      <c r="K25" s="6">
        <v>320834</v>
      </c>
      <c r="L25" s="6">
        <f t="shared" si="6"/>
        <v>0</v>
      </c>
      <c r="M25" s="7">
        <f t="shared" ref="M25:M59" si="12">0.12235329/12</f>
        <v>1.0196107500000001E-2</v>
      </c>
      <c r="N25" s="7">
        <f>I25/Q24</f>
        <v>1.0508619143988138E-2</v>
      </c>
      <c r="O25" s="7">
        <f t="shared" si="4"/>
        <v>3.0650093085830665E-2</v>
      </c>
      <c r="P25" s="6">
        <f t="shared" si="7"/>
        <v>3671036.2399999998</v>
      </c>
      <c r="Q25" s="6">
        <v>95363281.280000001</v>
      </c>
      <c r="R25" s="4" t="str">
        <f t="shared" ref="R25:R59" ca="1" si="13">IF(T24="",TODAY()-E24,IF(T25="",TODAY()-E25,"OK"))</f>
        <v>OK</v>
      </c>
      <c r="S25" s="6">
        <v>3672517.6</v>
      </c>
      <c r="T25" s="5">
        <v>44544</v>
      </c>
      <c r="U25" s="30" t="str">
        <f t="shared" si="1"/>
        <v>PAGADO</v>
      </c>
    </row>
    <row r="26" spans="1:21" x14ac:dyDescent="0.25">
      <c r="A26" s="4" t="str">
        <f t="shared" si="2"/>
        <v>20221</v>
      </c>
      <c r="B26" s="4" t="s">
        <v>24</v>
      </c>
      <c r="C26" s="4" t="s">
        <v>25</v>
      </c>
      <c r="D26" s="29" t="s">
        <v>26</v>
      </c>
      <c r="E26" s="28">
        <v>44574</v>
      </c>
      <c r="F26" s="4">
        <v>3</v>
      </c>
      <c r="G26" s="4">
        <v>33</v>
      </c>
      <c r="H26" s="6">
        <v>2336323.4300000002</v>
      </c>
      <c r="I26" s="6">
        <v>1029719.36</v>
      </c>
      <c r="J26" s="6">
        <v>0</v>
      </c>
      <c r="K26" s="6">
        <v>320834</v>
      </c>
      <c r="L26" s="6">
        <f t="shared" si="6"/>
        <v>0</v>
      </c>
      <c r="M26" s="7">
        <f t="shared" si="12"/>
        <v>1.0196107500000001E-2</v>
      </c>
      <c r="N26" s="7">
        <f t="shared" ref="N26:N40" si="14">I26/Q25</f>
        <v>1.0797859995783903E-2</v>
      </c>
      <c r="O26" s="7">
        <f t="shared" si="4"/>
        <v>5.9017864982681134E-2</v>
      </c>
      <c r="P26" s="6">
        <f t="shared" si="7"/>
        <v>3686876.79</v>
      </c>
      <c r="Q26" s="6">
        <v>93026957.849999994</v>
      </c>
      <c r="R26" s="4" t="str">
        <f t="shared" ca="1" si="13"/>
        <v>OK</v>
      </c>
      <c r="S26" s="6">
        <v>3686876.79</v>
      </c>
      <c r="T26" s="5">
        <v>44574</v>
      </c>
      <c r="U26" s="30" t="str">
        <f t="shared" si="1"/>
        <v>PAGADO</v>
      </c>
    </row>
    <row r="27" spans="1:21" x14ac:dyDescent="0.25">
      <c r="A27" s="4" t="str">
        <f t="shared" si="2"/>
        <v>20222</v>
      </c>
      <c r="B27" s="4" t="s">
        <v>24</v>
      </c>
      <c r="C27" s="4" t="s">
        <v>25</v>
      </c>
      <c r="D27" s="29" t="s">
        <v>26</v>
      </c>
      <c r="E27" s="28">
        <v>44605</v>
      </c>
      <c r="F27" s="4">
        <v>4</v>
      </c>
      <c r="G27" s="4">
        <v>32</v>
      </c>
      <c r="H27" s="6">
        <v>2347807.08</v>
      </c>
      <c r="I27" s="6">
        <v>1036806.53</v>
      </c>
      <c r="J27" s="6">
        <v>0</v>
      </c>
      <c r="K27" s="6">
        <v>320834</v>
      </c>
      <c r="L27" s="6">
        <f t="shared" si="6"/>
        <v>0</v>
      </c>
      <c r="M27" s="7">
        <f t="shared" si="12"/>
        <v>1.0196107500000001E-2</v>
      </c>
      <c r="N27" s="7">
        <f t="shared" si="14"/>
        <v>1.1145226652168763E-2</v>
      </c>
      <c r="O27" s="7">
        <f t="shared" si="4"/>
        <v>9.308642069228501E-2</v>
      </c>
      <c r="P27" s="6">
        <f t="shared" si="7"/>
        <v>3705447.6100000003</v>
      </c>
      <c r="Q27" s="6">
        <v>90679150.769999996</v>
      </c>
      <c r="R27" s="4" t="str">
        <f t="shared" ca="1" si="13"/>
        <v>OK</v>
      </c>
      <c r="S27" s="6">
        <v>3708570.07</v>
      </c>
      <c r="T27" s="5">
        <v>44607</v>
      </c>
      <c r="U27" s="30" t="str">
        <f t="shared" si="1"/>
        <v>PAGADO</v>
      </c>
    </row>
    <row r="28" spans="1:21" x14ac:dyDescent="0.25">
      <c r="A28" s="4" t="str">
        <f t="shared" si="2"/>
        <v>20223</v>
      </c>
      <c r="B28" s="4" t="s">
        <v>24</v>
      </c>
      <c r="C28" s="4" t="s">
        <v>25</v>
      </c>
      <c r="D28" s="29" t="s">
        <v>26</v>
      </c>
      <c r="E28" s="28">
        <v>44633</v>
      </c>
      <c r="F28" s="4">
        <v>5</v>
      </c>
      <c r="G28" s="4">
        <v>31</v>
      </c>
      <c r="H28" s="6">
        <v>2361490.25</v>
      </c>
      <c r="I28" s="6">
        <v>1040020.56</v>
      </c>
      <c r="J28" s="6">
        <v>0</v>
      </c>
      <c r="K28" s="6">
        <v>320834</v>
      </c>
      <c r="L28" s="6">
        <f t="shared" si="6"/>
        <v>0</v>
      </c>
      <c r="M28" s="7">
        <f t="shared" si="12"/>
        <v>1.0196107500000001E-2</v>
      </c>
      <c r="N28" s="7">
        <f t="shared" si="14"/>
        <v>1.1469235774361455E-2</v>
      </c>
      <c r="O28" s="7">
        <f t="shared" si="4"/>
        <v>0.12486414784872113</v>
      </c>
      <c r="P28" s="6">
        <f t="shared" si="7"/>
        <v>3722344.81</v>
      </c>
      <c r="Q28" s="6">
        <v>88317660.519999996</v>
      </c>
      <c r="R28" s="4" t="str">
        <f t="shared" ca="1" si="13"/>
        <v>OK</v>
      </c>
      <c r="S28" s="6">
        <v>3730245.96</v>
      </c>
      <c r="T28" s="5">
        <v>44637</v>
      </c>
      <c r="U28" s="30" t="str">
        <f t="shared" si="1"/>
        <v>PAGADO</v>
      </c>
    </row>
    <row r="29" spans="1:21" x14ac:dyDescent="0.25">
      <c r="A29" s="4" t="str">
        <f t="shared" si="2"/>
        <v>20224</v>
      </c>
      <c r="B29" s="4" t="s">
        <v>24</v>
      </c>
      <c r="C29" s="4" t="s">
        <v>25</v>
      </c>
      <c r="D29" s="29" t="s">
        <v>26</v>
      </c>
      <c r="E29" s="28">
        <v>44664</v>
      </c>
      <c r="F29" s="4">
        <v>6</v>
      </c>
      <c r="G29" s="4">
        <v>30</v>
      </c>
      <c r="H29" s="6">
        <v>2357927.63</v>
      </c>
      <c r="I29" s="6">
        <v>1085324.3899999999</v>
      </c>
      <c r="J29" s="6">
        <v>0</v>
      </c>
      <c r="K29" s="6">
        <v>320834</v>
      </c>
      <c r="L29" s="6">
        <f t="shared" si="6"/>
        <v>0</v>
      </c>
      <c r="M29" s="7">
        <f t="shared" si="12"/>
        <v>1.0196107500000001E-2</v>
      </c>
      <c r="N29" s="7">
        <f t="shared" si="14"/>
        <v>1.228887159838459E-2</v>
      </c>
      <c r="O29" s="7">
        <f t="shared" si="4"/>
        <v>0.20525127833191137</v>
      </c>
      <c r="P29" s="6">
        <f t="shared" si="7"/>
        <v>3764086.0199999996</v>
      </c>
      <c r="Q29" s="6">
        <v>85959732.890000001</v>
      </c>
      <c r="R29" s="4" t="str">
        <f t="shared" ca="1" si="13"/>
        <v>OK</v>
      </c>
      <c r="S29" s="6">
        <v>3786931.15</v>
      </c>
      <c r="T29" s="5">
        <v>44678</v>
      </c>
      <c r="U29" s="30" t="str">
        <f t="shared" si="1"/>
        <v>PAGADO</v>
      </c>
    </row>
    <row r="30" spans="1:21" x14ac:dyDescent="0.25">
      <c r="A30" s="4" t="str">
        <f t="shared" si="2"/>
        <v>20225</v>
      </c>
      <c r="B30" s="4" t="s">
        <v>24</v>
      </c>
      <c r="C30" s="4" t="s">
        <v>25</v>
      </c>
      <c r="D30" s="29" t="s">
        <v>26</v>
      </c>
      <c r="E30" s="28">
        <v>44694</v>
      </c>
      <c r="F30" s="4">
        <v>7</v>
      </c>
      <c r="G30" s="4">
        <v>29</v>
      </c>
      <c r="H30" s="6">
        <v>2367950.66</v>
      </c>
      <c r="I30" s="6">
        <v>1101311.8700000001</v>
      </c>
      <c r="J30" s="6">
        <v>0</v>
      </c>
      <c r="K30" s="6">
        <v>320834</v>
      </c>
      <c r="L30" s="6">
        <f t="shared" si="6"/>
        <v>0</v>
      </c>
      <c r="M30" s="7">
        <f t="shared" si="12"/>
        <v>1.0196107500000001E-2</v>
      </c>
      <c r="N30" s="7">
        <f t="shared" si="14"/>
        <v>1.2811950816661036E-2</v>
      </c>
      <c r="O30" s="7">
        <f t="shared" si="4"/>
        <v>0.25655313232633481</v>
      </c>
      <c r="P30" s="6">
        <f t="shared" si="7"/>
        <v>3790096.5300000003</v>
      </c>
      <c r="Q30" s="6">
        <v>83591782.230000004</v>
      </c>
      <c r="R30" s="4" t="str">
        <f t="shared" ca="1" si="13"/>
        <v>OK</v>
      </c>
      <c r="S30" s="6">
        <v>3798600</v>
      </c>
      <c r="T30" s="5">
        <v>44699</v>
      </c>
      <c r="U30" s="30" t="str">
        <f t="shared" si="1"/>
        <v>PAGADO</v>
      </c>
    </row>
    <row r="31" spans="1:21" x14ac:dyDescent="0.25">
      <c r="A31" s="4" t="str">
        <f t="shared" si="2"/>
        <v>20226</v>
      </c>
      <c r="B31" s="4" t="s">
        <v>24</v>
      </c>
      <c r="C31" s="4" t="s">
        <v>25</v>
      </c>
      <c r="D31" s="29" t="s">
        <v>26</v>
      </c>
      <c r="E31" s="28">
        <v>44725</v>
      </c>
      <c r="F31" s="4">
        <v>8</v>
      </c>
      <c r="G31" s="4">
        <v>28</v>
      </c>
      <c r="H31" s="6">
        <v>2374458.0499999998</v>
      </c>
      <c r="I31" s="6">
        <v>1127688.04</v>
      </c>
      <c r="J31" s="6">
        <v>0</v>
      </c>
      <c r="K31" s="6">
        <v>320834</v>
      </c>
      <c r="L31" s="6">
        <f t="shared" si="6"/>
        <v>0</v>
      </c>
      <c r="M31" s="7">
        <f t="shared" si="12"/>
        <v>1.0196107500000001E-2</v>
      </c>
      <c r="N31" s="7">
        <f t="shared" si="14"/>
        <v>1.3490417477847332E-2</v>
      </c>
      <c r="O31" s="7">
        <f t="shared" si="4"/>
        <v>0.32309486515783892</v>
      </c>
      <c r="P31" s="6">
        <f t="shared" si="7"/>
        <v>3822980.09</v>
      </c>
      <c r="Q31" s="6">
        <v>81217324.180000007</v>
      </c>
      <c r="R31" s="4" t="str">
        <f t="shared" ca="1" si="13"/>
        <v>OK</v>
      </c>
      <c r="S31" s="6">
        <v>3830000</v>
      </c>
      <c r="T31" s="5">
        <v>44725</v>
      </c>
      <c r="U31" s="30" t="str">
        <f t="shared" si="1"/>
        <v>PAGADO</v>
      </c>
    </row>
    <row r="32" spans="1:21" x14ac:dyDescent="0.25">
      <c r="A32" s="4" t="str">
        <f t="shared" si="2"/>
        <v>20227</v>
      </c>
      <c r="B32" s="4" t="s">
        <v>24</v>
      </c>
      <c r="C32" s="4" t="s">
        <v>25</v>
      </c>
      <c r="D32" s="29" t="s">
        <v>26</v>
      </c>
      <c r="E32" s="28">
        <v>44755</v>
      </c>
      <c r="F32" s="4">
        <v>9</v>
      </c>
      <c r="G32" s="4">
        <v>27</v>
      </c>
      <c r="H32" s="6">
        <v>2383830.83</v>
      </c>
      <c r="I32" s="6">
        <v>1149776.33</v>
      </c>
      <c r="J32" s="6">
        <v>0</v>
      </c>
      <c r="K32" s="6">
        <v>315465.93</v>
      </c>
      <c r="L32" s="6">
        <f t="shared" si="6"/>
        <v>0</v>
      </c>
      <c r="M32" s="7">
        <f t="shared" si="12"/>
        <v>1.0196107500000001E-2</v>
      </c>
      <c r="N32" s="7">
        <f t="shared" si="14"/>
        <v>1.4156786641379348E-2</v>
      </c>
      <c r="O32" s="7">
        <f t="shared" si="4"/>
        <v>0.38845011602509549</v>
      </c>
      <c r="P32" s="6">
        <f t="shared" si="7"/>
        <v>3849073.0900000003</v>
      </c>
      <c r="Q32" s="6">
        <v>78833493.350000009</v>
      </c>
      <c r="R32" s="4" t="str">
        <f t="shared" ca="1" si="13"/>
        <v>OK</v>
      </c>
      <c r="S32" s="6">
        <v>3950000</v>
      </c>
      <c r="T32" s="5">
        <v>44784</v>
      </c>
      <c r="U32" s="30" t="str">
        <f t="shared" si="1"/>
        <v>PAGADO</v>
      </c>
    </row>
    <row r="33" spans="1:21" x14ac:dyDescent="0.25">
      <c r="A33" s="4" t="str">
        <f t="shared" si="2"/>
        <v>20228</v>
      </c>
      <c r="B33" s="4" t="s">
        <v>24</v>
      </c>
      <c r="C33" s="4" t="s">
        <v>25</v>
      </c>
      <c r="D33" s="29" t="s">
        <v>26</v>
      </c>
      <c r="E33" s="28">
        <v>44786</v>
      </c>
      <c r="F33" s="4">
        <v>10</v>
      </c>
      <c r="G33" s="4">
        <v>26</v>
      </c>
      <c r="H33" s="6">
        <v>2393254.0099999998</v>
      </c>
      <c r="I33" s="6">
        <v>1174328.3500000001</v>
      </c>
      <c r="J33" s="6">
        <v>0</v>
      </c>
      <c r="K33" s="6">
        <v>320834</v>
      </c>
      <c r="L33" s="6">
        <f t="shared" si="6"/>
        <v>0</v>
      </c>
      <c r="M33" s="7">
        <f t="shared" si="12"/>
        <v>1.0196107500000001E-2</v>
      </c>
      <c r="N33" s="7">
        <f t="shared" si="14"/>
        <v>1.4896312469451159E-2</v>
      </c>
      <c r="O33" s="7">
        <f t="shared" si="4"/>
        <v>0.4609803269974504</v>
      </c>
      <c r="P33" s="6">
        <f t="shared" si="7"/>
        <v>3888416.36</v>
      </c>
      <c r="Q33" s="6">
        <v>76440239.340000004</v>
      </c>
      <c r="R33" s="4" t="str">
        <f t="shared" ca="1" si="13"/>
        <v>OK</v>
      </c>
      <c r="S33" s="6">
        <v>3842864.66</v>
      </c>
      <c r="T33" s="5">
        <v>44786</v>
      </c>
      <c r="U33" s="30" t="str">
        <f t="shared" si="1"/>
        <v>PAGADO</v>
      </c>
    </row>
    <row r="34" spans="1:21" x14ac:dyDescent="0.25">
      <c r="A34" s="4" t="str">
        <f t="shared" si="2"/>
        <v>20229</v>
      </c>
      <c r="B34" s="4" t="s">
        <v>24</v>
      </c>
      <c r="C34" s="4" t="s">
        <v>25</v>
      </c>
      <c r="D34" s="29" t="s">
        <v>26</v>
      </c>
      <c r="E34" s="28">
        <v>44817</v>
      </c>
      <c r="F34" s="4">
        <v>11</v>
      </c>
      <c r="G34" s="4">
        <v>25</v>
      </c>
      <c r="H34" s="6">
        <v>2390310.38</v>
      </c>
      <c r="I34" s="6">
        <v>1231720.24</v>
      </c>
      <c r="J34" s="6">
        <v>0</v>
      </c>
      <c r="K34" s="6">
        <v>320834</v>
      </c>
      <c r="L34" s="6">
        <v>0</v>
      </c>
      <c r="M34" s="7">
        <f t="shared" si="12"/>
        <v>1.0196107500000001E-2</v>
      </c>
      <c r="N34" s="7">
        <f>I34/Q33</f>
        <v>1.6113505800543191E-2</v>
      </c>
      <c r="O34" s="7">
        <f t="shared" si="4"/>
        <v>0.58035856335794711</v>
      </c>
      <c r="P34" s="6">
        <f t="shared" si="7"/>
        <v>3942864.62</v>
      </c>
      <c r="Q34" s="6">
        <v>74049928.960000008</v>
      </c>
      <c r="R34" s="4" t="str">
        <f t="shared" ca="1" si="13"/>
        <v>OK</v>
      </c>
      <c r="S34" s="6">
        <v>3972711.02</v>
      </c>
      <c r="T34" s="5">
        <v>44832</v>
      </c>
      <c r="U34" s="30" t="str">
        <f t="shared" si="1"/>
        <v>PAGADO</v>
      </c>
    </row>
    <row r="35" spans="1:21" x14ac:dyDescent="0.25">
      <c r="A35" s="4" t="str">
        <f t="shared" si="2"/>
        <v>202210</v>
      </c>
      <c r="B35" s="4" t="s">
        <v>24</v>
      </c>
      <c r="C35" s="4" t="s">
        <v>25</v>
      </c>
      <c r="D35" s="29" t="s">
        <v>26</v>
      </c>
      <c r="E35" s="28">
        <v>44847</v>
      </c>
      <c r="F35" s="4">
        <v>12</v>
      </c>
      <c r="G35" s="4">
        <v>24</v>
      </c>
      <c r="H35" s="6">
        <v>2409024.92</v>
      </c>
      <c r="I35" s="6">
        <v>1241170.54</v>
      </c>
      <c r="J35" s="6">
        <v>0</v>
      </c>
      <c r="K35" s="6">
        <v>320834</v>
      </c>
      <c r="L35" s="6">
        <f t="shared" si="6"/>
        <v>0</v>
      </c>
      <c r="M35" s="7">
        <f t="shared" si="12"/>
        <v>1.0196107500000001E-2</v>
      </c>
      <c r="N35" s="7">
        <f t="shared" si="14"/>
        <v>1.6761265776101562E-2</v>
      </c>
      <c r="O35" s="7">
        <f t="shared" si="4"/>
        <v>0.64388868753115447</v>
      </c>
      <c r="P35" s="6">
        <f t="shared" si="7"/>
        <v>3971029.46</v>
      </c>
      <c r="Q35" s="6">
        <v>71640904.040000007</v>
      </c>
      <c r="R35" s="4" t="str">
        <f t="shared" ca="1" si="13"/>
        <v>OK</v>
      </c>
      <c r="S35" s="6">
        <v>3971029.46</v>
      </c>
      <c r="T35" s="5">
        <v>44834</v>
      </c>
      <c r="U35" s="30" t="str">
        <f t="shared" si="1"/>
        <v>PAGADO</v>
      </c>
    </row>
    <row r="36" spans="1:21" x14ac:dyDescent="0.25">
      <c r="A36" s="4" t="str">
        <f t="shared" si="2"/>
        <v>202211</v>
      </c>
      <c r="B36" s="4" t="s">
        <v>24</v>
      </c>
      <c r="C36" s="4" t="s">
        <v>25</v>
      </c>
      <c r="D36" s="29" t="s">
        <v>26</v>
      </c>
      <c r="E36" s="28">
        <v>44878</v>
      </c>
      <c r="F36" s="4">
        <v>13</v>
      </c>
      <c r="G36" s="4">
        <v>23</v>
      </c>
      <c r="H36" s="6">
        <v>2451460.35</v>
      </c>
      <c r="I36" s="6">
        <v>1195817.9099999999</v>
      </c>
      <c r="J36" s="6">
        <v>0</v>
      </c>
      <c r="K36" s="6">
        <v>0</v>
      </c>
      <c r="L36" s="6">
        <f t="shared" si="6"/>
        <v>0</v>
      </c>
      <c r="M36" s="7">
        <f t="shared" si="12"/>
        <v>1.0196107500000001E-2</v>
      </c>
      <c r="N36" s="7">
        <f t="shared" si="14"/>
        <v>1.6691831657126024E-2</v>
      </c>
      <c r="O36" s="7">
        <f t="shared" si="4"/>
        <v>0.63707882220014089</v>
      </c>
      <c r="P36" s="6">
        <f t="shared" si="7"/>
        <v>3647278.26</v>
      </c>
      <c r="Q36" s="6">
        <v>69189443.690000013</v>
      </c>
      <c r="R36" s="4" t="str">
        <f t="shared" ca="1" si="13"/>
        <v>OK</v>
      </c>
      <c r="S36" s="6">
        <v>3647278.26</v>
      </c>
      <c r="T36" s="5">
        <v>44855</v>
      </c>
      <c r="U36" s="30" t="str">
        <f t="shared" si="1"/>
        <v>PAGADO</v>
      </c>
    </row>
    <row r="37" spans="1:21" x14ac:dyDescent="0.25">
      <c r="A37" s="4" t="str">
        <f t="shared" si="2"/>
        <v>202212</v>
      </c>
      <c r="B37" s="4" t="s">
        <v>24</v>
      </c>
      <c r="C37" s="4" t="s">
        <v>25</v>
      </c>
      <c r="D37" s="29" t="s">
        <v>26</v>
      </c>
      <c r="E37" s="28">
        <v>44908</v>
      </c>
      <c r="F37" s="4">
        <v>14</v>
      </c>
      <c r="G37" s="4">
        <v>22</v>
      </c>
      <c r="H37" s="6">
        <v>2495736</v>
      </c>
      <c r="I37" s="6">
        <v>1207404.4099999999</v>
      </c>
      <c r="J37" s="6">
        <v>0</v>
      </c>
      <c r="K37" s="6">
        <v>0</v>
      </c>
      <c r="L37" s="6">
        <f t="shared" si="6"/>
        <v>0</v>
      </c>
      <c r="M37" s="7">
        <f t="shared" si="12"/>
        <v>1.0196107500000001E-2</v>
      </c>
      <c r="N37" s="7">
        <f t="shared" si="14"/>
        <v>1.7450702673802634E-2</v>
      </c>
      <c r="O37" s="7">
        <f t="shared" si="4"/>
        <v>0.71150634433803606</v>
      </c>
      <c r="P37" s="6">
        <f t="shared" si="7"/>
        <v>3703140.41</v>
      </c>
      <c r="Q37" s="6">
        <v>66714531.480000012</v>
      </c>
      <c r="R37" s="4" t="str">
        <f t="shared" ca="1" si="13"/>
        <v>OK</v>
      </c>
      <c r="S37" s="6">
        <v>3709881.01</v>
      </c>
      <c r="T37" s="5">
        <v>44924</v>
      </c>
      <c r="U37" s="30" t="str">
        <f t="shared" si="1"/>
        <v>PAGADO</v>
      </c>
    </row>
    <row r="38" spans="1:21" x14ac:dyDescent="0.25">
      <c r="A38" s="4" t="str">
        <f t="shared" si="2"/>
        <v>20231</v>
      </c>
      <c r="B38" s="4" t="s">
        <v>24</v>
      </c>
      <c r="C38" s="4" t="s">
        <v>25</v>
      </c>
      <c r="D38" s="29" t="s">
        <v>26</v>
      </c>
      <c r="E38" s="28">
        <v>44939</v>
      </c>
      <c r="F38" s="4">
        <v>15</v>
      </c>
      <c r="G38" s="4">
        <v>21</v>
      </c>
      <c r="H38" s="6">
        <v>2528586.21</v>
      </c>
      <c r="I38" s="6">
        <v>1192036.33</v>
      </c>
      <c r="J38" s="6">
        <v>0</v>
      </c>
      <c r="K38" s="6">
        <v>0</v>
      </c>
      <c r="L38" s="6">
        <f t="shared" si="6"/>
        <v>0</v>
      </c>
      <c r="M38" s="7">
        <f t="shared" si="12"/>
        <v>1.0196107500000001E-2</v>
      </c>
      <c r="N38" s="7">
        <f t="shared" si="14"/>
        <v>1.7867716426328412E-2</v>
      </c>
      <c r="O38" s="7">
        <f t="shared" si="4"/>
        <v>0.75240565346416854</v>
      </c>
      <c r="P38" s="6">
        <f t="shared" si="7"/>
        <v>3720622.54</v>
      </c>
      <c r="Q38" s="6">
        <v>64208187.88493301</v>
      </c>
      <c r="R38" s="4" t="str">
        <f t="shared" ca="1" si="13"/>
        <v>OK</v>
      </c>
      <c r="S38" s="6">
        <v>6897573.5300000003</v>
      </c>
      <c r="T38" s="5">
        <v>44949</v>
      </c>
      <c r="U38" s="30" t="str">
        <f t="shared" si="1"/>
        <v>PAGADO</v>
      </c>
    </row>
    <row r="39" spans="1:21" x14ac:dyDescent="0.25">
      <c r="A39" s="4" t="str">
        <f t="shared" si="2"/>
        <v>20232</v>
      </c>
      <c r="B39" s="4" t="s">
        <v>24</v>
      </c>
      <c r="C39" s="4" t="s">
        <v>25</v>
      </c>
      <c r="D39" s="29" t="s">
        <v>26</v>
      </c>
      <c r="E39" s="28">
        <v>44970</v>
      </c>
      <c r="F39" s="4">
        <v>16</v>
      </c>
      <c r="G39" s="4">
        <v>20</v>
      </c>
      <c r="H39" s="6">
        <v>2557542.08</v>
      </c>
      <c r="I39" s="6">
        <v>1188606.6299999999</v>
      </c>
      <c r="J39" s="6">
        <v>0</v>
      </c>
      <c r="K39" s="6">
        <v>0</v>
      </c>
      <c r="L39" s="6">
        <f t="shared" si="6"/>
        <v>0</v>
      </c>
      <c r="M39" s="7">
        <f t="shared" si="12"/>
        <v>1.0196107500000001E-2</v>
      </c>
      <c r="N39" s="7">
        <f t="shared" si="14"/>
        <v>1.8511761025402126E-2</v>
      </c>
      <c r="O39" s="7">
        <f t="shared" si="4"/>
        <v>0.81557138598255507</v>
      </c>
      <c r="P39" s="6">
        <f t="shared" si="7"/>
        <v>3746148.71</v>
      </c>
      <c r="Q39" s="6">
        <v>61670013.726208657</v>
      </c>
      <c r="R39" s="4" t="str">
        <f t="shared" ca="1" si="13"/>
        <v>OK</v>
      </c>
      <c r="S39" s="6">
        <v>3786171.7</v>
      </c>
      <c r="T39" s="5">
        <v>44995</v>
      </c>
      <c r="U39" s="30" t="str">
        <f t="shared" si="1"/>
        <v>PAGADO</v>
      </c>
    </row>
    <row r="40" spans="1:21" x14ac:dyDescent="0.25">
      <c r="A40" s="4" t="str">
        <f t="shared" si="2"/>
        <v>20233</v>
      </c>
      <c r="B40" s="4" t="s">
        <v>24</v>
      </c>
      <c r="C40" s="4" t="s">
        <v>25</v>
      </c>
      <c r="D40" s="29" t="s">
        <v>26</v>
      </c>
      <c r="E40" s="28">
        <v>44998</v>
      </c>
      <c r="F40" s="4">
        <v>17</v>
      </c>
      <c r="G40" s="4">
        <v>19</v>
      </c>
      <c r="H40" s="6">
        <v>2628824.91</v>
      </c>
      <c r="I40" s="6">
        <v>1086344.99</v>
      </c>
      <c r="J40" s="6">
        <v>0</v>
      </c>
      <c r="K40" s="6">
        <v>0</v>
      </c>
      <c r="L40" s="6">
        <f t="shared" si="6"/>
        <v>0</v>
      </c>
      <c r="M40" s="7">
        <f t="shared" si="12"/>
        <v>1.0196107500000001E-2</v>
      </c>
      <c r="N40" s="7">
        <f t="shared" si="14"/>
        <v>1.7615449135830543E-2</v>
      </c>
      <c r="O40" s="7">
        <f t="shared" si="4"/>
        <v>0.7276641243563331</v>
      </c>
      <c r="P40" s="6">
        <f t="shared" si="7"/>
        <v>3715169.9000000004</v>
      </c>
      <c r="Q40" s="6">
        <v>59099604.755668506</v>
      </c>
      <c r="R40" s="4" t="str">
        <f t="shared" ca="1" si="13"/>
        <v>OK</v>
      </c>
      <c r="S40" s="6">
        <v>3959097.14</v>
      </c>
      <c r="T40" s="5">
        <v>45009</v>
      </c>
      <c r="U40" s="30" t="str">
        <f t="shared" si="1"/>
        <v>PAGADO</v>
      </c>
    </row>
    <row r="41" spans="1:21" x14ac:dyDescent="0.25">
      <c r="A41" s="4" t="str">
        <f t="shared" si="2"/>
        <v>20234</v>
      </c>
      <c r="B41" s="4" t="s">
        <v>24</v>
      </c>
      <c r="C41" s="4" t="s">
        <v>25</v>
      </c>
      <c r="D41" s="29" t="s">
        <v>26</v>
      </c>
      <c r="E41" s="28">
        <v>45029</v>
      </c>
      <c r="F41" s="4">
        <v>18</v>
      </c>
      <c r="G41" s="4">
        <v>18</v>
      </c>
      <c r="H41" s="6">
        <v>2603053.1644660099</v>
      </c>
      <c r="I41" s="6">
        <f>Q40*N41</f>
        <v>1055602.112716655</v>
      </c>
      <c r="J41" s="6">
        <v>0</v>
      </c>
      <c r="K41" s="6">
        <v>0</v>
      </c>
      <c r="L41" s="6">
        <f t="shared" si="6"/>
        <v>0</v>
      </c>
      <c r="M41" s="7">
        <f t="shared" si="12"/>
        <v>1.0196107500000001E-2</v>
      </c>
      <c r="N41" s="7">
        <f>AVERAGE(N37:N40)</f>
        <v>1.786140731534093E-2</v>
      </c>
      <c r="O41" s="7">
        <f t="shared" si="4"/>
        <v>0.75178687703527336</v>
      </c>
      <c r="P41" s="6">
        <f t="shared" si="7"/>
        <v>3658655.2771826647</v>
      </c>
      <c r="Q41" s="6">
        <v>56496551.591202497</v>
      </c>
      <c r="R41" s="4" t="str">
        <f t="shared" ca="1" si="13"/>
        <v>OK</v>
      </c>
      <c r="S41" s="6">
        <v>3757189.71</v>
      </c>
      <c r="T41" s="5">
        <v>45045</v>
      </c>
      <c r="U41" s="30" t="str">
        <f t="shared" si="1"/>
        <v>PAGADO</v>
      </c>
    </row>
    <row r="42" spans="1:21" x14ac:dyDescent="0.25">
      <c r="A42" s="4" t="str">
        <f t="shared" si="2"/>
        <v>20235</v>
      </c>
      <c r="B42" s="4" t="s">
        <v>24</v>
      </c>
      <c r="C42" s="4" t="s">
        <v>25</v>
      </c>
      <c r="D42" s="29" t="s">
        <v>26</v>
      </c>
      <c r="E42" s="28">
        <v>45059</v>
      </c>
      <c r="F42" s="4">
        <v>19</v>
      </c>
      <c r="G42" s="4">
        <v>17</v>
      </c>
      <c r="H42" s="6">
        <v>2636111.9396547284</v>
      </c>
      <c r="I42" s="6">
        <v>938856.17318926495</v>
      </c>
      <c r="J42" s="6">
        <v>0</v>
      </c>
      <c r="K42" s="6">
        <v>0</v>
      </c>
      <c r="L42" s="6">
        <f t="shared" si="6"/>
        <v>0</v>
      </c>
      <c r="M42" s="7">
        <f t="shared" si="12"/>
        <v>1.0196107500000001E-2</v>
      </c>
      <c r="N42" s="7">
        <f t="shared" ref="N42:N59" si="15">AVERAGE(N38:N41)</f>
        <v>1.7964083475725503E-2</v>
      </c>
      <c r="O42" s="7">
        <f t="shared" si="4"/>
        <v>0.76185701020958252</v>
      </c>
      <c r="P42" s="6">
        <f t="shared" si="7"/>
        <v>3574968.1128439931</v>
      </c>
      <c r="Q42" s="6">
        <v>53860439.651547767</v>
      </c>
      <c r="R42" s="4" t="str">
        <f t="shared" ca="1" si="13"/>
        <v>OK</v>
      </c>
      <c r="S42" s="6">
        <v>3743994.55</v>
      </c>
      <c r="T42" s="5">
        <v>45079</v>
      </c>
      <c r="U42" s="30" t="str">
        <f t="shared" si="1"/>
        <v>PAGADO</v>
      </c>
    </row>
    <row r="43" spans="1:21" x14ac:dyDescent="0.25">
      <c r="A43" s="4" t="str">
        <f t="shared" si="2"/>
        <v>20236</v>
      </c>
      <c r="B43" s="4" t="s">
        <v>24</v>
      </c>
      <c r="C43" s="4" t="s">
        <v>25</v>
      </c>
      <c r="D43" s="29" t="s">
        <v>26</v>
      </c>
      <c r="E43" s="28">
        <v>45090</v>
      </c>
      <c r="F43" s="4">
        <v>20</v>
      </c>
      <c r="G43" s="4">
        <v>16</v>
      </c>
      <c r="H43" s="6">
        <v>2669590.5612883433</v>
      </c>
      <c r="I43" s="6">
        <v>894937.80322715011</v>
      </c>
      <c r="J43" s="6">
        <v>0</v>
      </c>
      <c r="K43" s="6">
        <v>0</v>
      </c>
      <c r="L43" s="6">
        <f t="shared" si="6"/>
        <v>0</v>
      </c>
      <c r="M43" s="7">
        <f t="shared" si="12"/>
        <v>1.0196107500000001E-2</v>
      </c>
      <c r="N43" s="7">
        <f t="shared" si="15"/>
        <v>1.7988175238074777E-2</v>
      </c>
      <c r="O43" s="7">
        <f t="shared" si="4"/>
        <v>0.76421984939593623</v>
      </c>
      <c r="P43" s="6">
        <f t="shared" si="7"/>
        <v>3564528.3645154936</v>
      </c>
      <c r="Q43" s="6">
        <v>51190849.090259425</v>
      </c>
      <c r="R43" s="4" t="str">
        <f t="shared" ca="1" si="13"/>
        <v>OK</v>
      </c>
      <c r="S43" s="6">
        <f>800000+2971635.02</f>
        <v>3771635.02</v>
      </c>
      <c r="T43" s="5">
        <v>45119</v>
      </c>
      <c r="U43" s="30" t="str">
        <f t="shared" si="1"/>
        <v>PAGADO</v>
      </c>
    </row>
    <row r="44" spans="1:21" x14ac:dyDescent="0.25">
      <c r="A44" s="4" t="str">
        <f t="shared" si="2"/>
        <v>20237</v>
      </c>
      <c r="B44" s="4" t="s">
        <v>24</v>
      </c>
      <c r="C44" s="4" t="s">
        <v>25</v>
      </c>
      <c r="D44" s="29" t="s">
        <v>26</v>
      </c>
      <c r="E44" s="28">
        <v>45120</v>
      </c>
      <c r="F44" s="4">
        <v>21</v>
      </c>
      <c r="G44" s="4">
        <v>15</v>
      </c>
      <c r="H44" s="6">
        <v>2827394.66</v>
      </c>
      <c r="I44" s="6">
        <v>881432</v>
      </c>
      <c r="J44" s="6">
        <v>0</v>
      </c>
      <c r="K44" s="6">
        <v>0</v>
      </c>
      <c r="L44" s="6">
        <f t="shared" si="6"/>
        <v>0</v>
      </c>
      <c r="M44" s="7">
        <f t="shared" si="12"/>
        <v>1.0196107500000001E-2</v>
      </c>
      <c r="N44" s="7">
        <f t="shared" si="15"/>
        <v>1.785727879124294E-2</v>
      </c>
      <c r="O44" s="7">
        <f t="shared" si="4"/>
        <v>0.75138196524928147</v>
      </c>
      <c r="P44" s="6">
        <f t="shared" si="7"/>
        <v>3708826.66</v>
      </c>
      <c r="Q44" s="6">
        <v>48487354.72884272</v>
      </c>
      <c r="R44" s="4" t="str">
        <f t="shared" ca="1" si="13"/>
        <v>OK</v>
      </c>
      <c r="S44" s="6">
        <v>4100000</v>
      </c>
      <c r="T44" s="5">
        <v>45153</v>
      </c>
      <c r="U44" s="30" t="str">
        <f t="shared" si="1"/>
        <v>PAGADO</v>
      </c>
    </row>
    <row r="45" spans="1:21" x14ac:dyDescent="0.25">
      <c r="A45" s="4" t="str">
        <f t="shared" si="2"/>
        <v>20238</v>
      </c>
      <c r="B45" s="4" t="s">
        <v>24</v>
      </c>
      <c r="C45" s="4" t="s">
        <v>25</v>
      </c>
      <c r="D45" s="29" t="s">
        <v>26</v>
      </c>
      <c r="E45" s="28">
        <v>45151</v>
      </c>
      <c r="F45" s="4">
        <v>22</v>
      </c>
      <c r="G45" s="4">
        <v>14</v>
      </c>
      <c r="H45" s="6">
        <v>2737828.7398066977</v>
      </c>
      <c r="I45" s="6">
        <v>805769.71830799512</v>
      </c>
      <c r="J45" s="6">
        <v>0</v>
      </c>
      <c r="K45" s="6">
        <v>0</v>
      </c>
      <c r="L45" s="6">
        <f t="shared" si="6"/>
        <v>0</v>
      </c>
      <c r="M45" s="7">
        <f t="shared" si="12"/>
        <v>1.0196107500000001E-2</v>
      </c>
      <c r="N45" s="7">
        <f t="shared" si="15"/>
        <v>1.7917736205096037E-2</v>
      </c>
      <c r="O45" s="7">
        <f t="shared" si="4"/>
        <v>0.7573114254725184</v>
      </c>
      <c r="P45" s="6">
        <f t="shared" si="7"/>
        <v>3543598.4581146929</v>
      </c>
      <c r="Q45" s="6">
        <v>45749525.989036024</v>
      </c>
      <c r="R45" s="4" t="str">
        <f t="shared" ca="1" si="13"/>
        <v>OK</v>
      </c>
      <c r="S45" s="6">
        <v>3470503.24</v>
      </c>
      <c r="T45" s="5">
        <v>45175</v>
      </c>
      <c r="U45" s="30" t="str">
        <f t="shared" si="1"/>
        <v>PAGADO</v>
      </c>
    </row>
    <row r="46" spans="1:21" x14ac:dyDescent="0.25">
      <c r="A46" s="4" t="str">
        <f t="shared" si="2"/>
        <v>20239</v>
      </c>
      <c r="B46" s="4" t="s">
        <v>24</v>
      </c>
      <c r="C46" s="4" t="s">
        <v>25</v>
      </c>
      <c r="D46" s="29" t="s">
        <v>26</v>
      </c>
      <c r="E46" s="28">
        <v>45182</v>
      </c>
      <c r="F46" s="4">
        <v>23</v>
      </c>
      <c r="G46" s="4">
        <v>13</v>
      </c>
      <c r="H46" s="6">
        <v>2772599.1648022425</v>
      </c>
      <c r="I46" s="6">
        <v>760275.20029510965</v>
      </c>
      <c r="J46" s="6">
        <v>0</v>
      </c>
      <c r="K46" s="6">
        <v>0</v>
      </c>
      <c r="L46" s="6">
        <f t="shared" si="6"/>
        <v>73095.218114692718</v>
      </c>
      <c r="M46" s="7">
        <f t="shared" si="12"/>
        <v>1.0196107500000001E-2</v>
      </c>
      <c r="N46" s="7">
        <f t="shared" si="15"/>
        <v>1.7931818427534815E-2</v>
      </c>
      <c r="O46" s="7">
        <f t="shared" si="4"/>
        <v>0.75869256258182971</v>
      </c>
      <c r="P46" s="6">
        <f t="shared" si="7"/>
        <v>3605969.583212045</v>
      </c>
      <c r="Q46" s="6">
        <v>42976926.824233778</v>
      </c>
      <c r="R46" s="4" t="str">
        <f t="shared" ca="1" si="13"/>
        <v>OK</v>
      </c>
      <c r="S46" s="6">
        <v>3792535.52</v>
      </c>
      <c r="T46" s="5">
        <v>45212</v>
      </c>
      <c r="U46" s="30" t="str">
        <f t="shared" si="1"/>
        <v>PAGADO</v>
      </c>
    </row>
    <row r="47" spans="1:21" x14ac:dyDescent="0.25">
      <c r="A47" s="4" t="str">
        <f t="shared" si="2"/>
        <v>202310</v>
      </c>
      <c r="B47" s="4" t="s">
        <v>24</v>
      </c>
      <c r="C47" s="4" t="s">
        <v>25</v>
      </c>
      <c r="D47" s="29" t="s">
        <v>26</v>
      </c>
      <c r="E47" s="28">
        <v>45212</v>
      </c>
      <c r="F47" s="4">
        <v>24</v>
      </c>
      <c r="G47" s="4">
        <v>12</v>
      </c>
      <c r="H47" s="6">
        <v>2807811.1741952309</v>
      </c>
      <c r="I47" s="6">
        <v>714233.14875605737</v>
      </c>
      <c r="J47" s="6">
        <v>0</v>
      </c>
      <c r="K47" s="6">
        <v>0</v>
      </c>
      <c r="L47" s="6">
        <f t="shared" si="6"/>
        <v>0</v>
      </c>
      <c r="M47" s="7">
        <f t="shared" si="12"/>
        <v>1.0196107500000001E-2</v>
      </c>
      <c r="N47" s="7">
        <f t="shared" si="15"/>
        <v>1.7923752165487142E-2</v>
      </c>
      <c r="O47" s="7">
        <f t="shared" si="4"/>
        <v>0.75790145067489156</v>
      </c>
      <c r="P47" s="6">
        <f t="shared" si="7"/>
        <v>3522044.3229512884</v>
      </c>
      <c r="Q47" s="6">
        <v>40169115.650038548</v>
      </c>
      <c r="R47" s="4" t="str">
        <f t="shared" ca="1" si="13"/>
        <v>OK</v>
      </c>
      <c r="S47" s="6">
        <f>3700000+100000</f>
        <v>3800000</v>
      </c>
      <c r="T47" s="5">
        <v>45244</v>
      </c>
      <c r="U47" s="30" t="str">
        <f t="shared" si="1"/>
        <v>PAGADO</v>
      </c>
    </row>
    <row r="48" spans="1:21" x14ac:dyDescent="0.25">
      <c r="A48" s="4" t="str">
        <f t="shared" si="2"/>
        <v>202311</v>
      </c>
      <c r="B48" s="4" t="s">
        <v>24</v>
      </c>
      <c r="C48" s="4" t="s">
        <v>25</v>
      </c>
      <c r="D48" s="29" t="s">
        <v>26</v>
      </c>
      <c r="E48" s="28">
        <v>45243</v>
      </c>
      <c r="F48" s="4">
        <v>25</v>
      </c>
      <c r="G48" s="4">
        <v>11</v>
      </c>
      <c r="H48" s="6">
        <v>2843470.3761075102</v>
      </c>
      <c r="I48" s="6">
        <v>667548.32626318559</v>
      </c>
      <c r="J48" s="6">
        <v>0</v>
      </c>
      <c r="K48" s="6">
        <v>0</v>
      </c>
      <c r="L48" s="6">
        <f t="shared" si="6"/>
        <v>0</v>
      </c>
      <c r="M48" s="7">
        <f t="shared" si="12"/>
        <v>1.0196107500000001E-2</v>
      </c>
      <c r="N48" s="7">
        <f t="shared" si="15"/>
        <v>1.7907646397340233E-2</v>
      </c>
      <c r="O48" s="7">
        <f t="shared" si="4"/>
        <v>0.75632185099463012</v>
      </c>
      <c r="P48" s="6">
        <f t="shared" si="7"/>
        <v>3511018.7023706958</v>
      </c>
      <c r="Q48" s="6">
        <v>37325645.273931041</v>
      </c>
      <c r="R48" s="4" t="str">
        <f t="shared" ca="1" si="13"/>
        <v>OK</v>
      </c>
      <c r="S48" s="6">
        <v>3850000</v>
      </c>
      <c r="T48" s="5">
        <v>45274</v>
      </c>
      <c r="U48" s="30" t="str">
        <f t="shared" si="1"/>
        <v>PAGADO</v>
      </c>
    </row>
    <row r="49" spans="1:21" x14ac:dyDescent="0.25">
      <c r="A49" s="4" t="str">
        <f t="shared" si="2"/>
        <v>202312</v>
      </c>
      <c r="B49" s="4" t="s">
        <v>24</v>
      </c>
      <c r="C49" s="4" t="s">
        <v>25</v>
      </c>
      <c r="D49" s="29" t="s">
        <v>26</v>
      </c>
      <c r="E49" s="28">
        <v>45273</v>
      </c>
      <c r="F49" s="4">
        <v>26</v>
      </c>
      <c r="G49" s="4">
        <v>10</v>
      </c>
      <c r="H49" s="6">
        <v>3099151.63</v>
      </c>
      <c r="I49" s="6">
        <v>602611.88</v>
      </c>
      <c r="J49" s="6">
        <v>0</v>
      </c>
      <c r="K49" s="6">
        <v>1950725</v>
      </c>
      <c r="L49" s="6">
        <f t="shared" si="6"/>
        <v>0</v>
      </c>
      <c r="M49" s="7">
        <f t="shared" si="12"/>
        <v>1.0196107500000001E-2</v>
      </c>
      <c r="N49" s="7">
        <f t="shared" si="15"/>
        <v>1.7920238298864556E-2</v>
      </c>
      <c r="O49" s="7">
        <f t="shared" si="4"/>
        <v>0.75755682243096745</v>
      </c>
      <c r="P49" s="6">
        <f t="shared" si="7"/>
        <v>5652488.5099999998</v>
      </c>
      <c r="Q49" s="6">
        <v>34446062.824046969</v>
      </c>
      <c r="R49" s="4" t="str">
        <f t="shared" ca="1" si="13"/>
        <v>OK</v>
      </c>
      <c r="S49" s="6">
        <v>5700000</v>
      </c>
      <c r="T49" s="5">
        <v>45308</v>
      </c>
      <c r="U49" s="30" t="str">
        <f t="shared" si="1"/>
        <v>PAGADO</v>
      </c>
    </row>
    <row r="50" spans="1:21" x14ac:dyDescent="0.25">
      <c r="A50" s="4" t="str">
        <f t="shared" si="2"/>
        <v>20241</v>
      </c>
      <c r="B50" s="4" t="s">
        <v>24</v>
      </c>
      <c r="C50" s="4" t="s">
        <v>25</v>
      </c>
      <c r="D50" s="29" t="s">
        <v>26</v>
      </c>
      <c r="E50" s="28">
        <v>45304</v>
      </c>
      <c r="F50" s="4">
        <v>27</v>
      </c>
      <c r="G50" s="4">
        <v>9</v>
      </c>
      <c r="H50" s="6">
        <v>3162000.16</v>
      </c>
      <c r="I50" s="6">
        <v>529640.57999999996</v>
      </c>
      <c r="J50" s="6">
        <v>0</v>
      </c>
      <c r="K50" s="6">
        <v>0</v>
      </c>
      <c r="L50" s="6">
        <f t="shared" si="6"/>
        <v>0</v>
      </c>
      <c r="M50" s="7">
        <f t="shared" si="12"/>
        <v>1.0196107500000001E-2</v>
      </c>
      <c r="N50" s="7">
        <f t="shared" si="15"/>
        <v>1.7920863822306683E-2</v>
      </c>
      <c r="O50" s="7">
        <f t="shared" si="4"/>
        <v>0.75761817167057943</v>
      </c>
      <c r="P50" s="6">
        <f t="shared" si="7"/>
        <v>3691640.74</v>
      </c>
      <c r="Q50" s="6">
        <v>31529909.677049365</v>
      </c>
      <c r="R50" s="4" t="str">
        <f t="shared" ca="1" si="13"/>
        <v>OK</v>
      </c>
      <c r="S50" s="6">
        <v>3757981.74</v>
      </c>
      <c r="T50" s="5">
        <v>45334</v>
      </c>
      <c r="U50" s="30" t="str">
        <f t="shared" si="1"/>
        <v>PAGADO</v>
      </c>
    </row>
    <row r="51" spans="1:21" x14ac:dyDescent="0.25">
      <c r="A51" s="4" t="str">
        <f t="shared" si="2"/>
        <v>20242</v>
      </c>
      <c r="B51" s="4" t="s">
        <v>24</v>
      </c>
      <c r="C51" s="4" t="s">
        <v>25</v>
      </c>
      <c r="D51" s="29" t="s">
        <v>26</v>
      </c>
      <c r="E51" s="28">
        <v>45335</v>
      </c>
      <c r="F51" s="4">
        <v>28</v>
      </c>
      <c r="G51" s="4">
        <v>8</v>
      </c>
      <c r="H51" s="6">
        <v>2953188.2919644732</v>
      </c>
      <c r="I51" s="6">
        <v>523981.47065915162</v>
      </c>
      <c r="J51" s="6">
        <v>0</v>
      </c>
      <c r="K51" s="6">
        <v>0</v>
      </c>
      <c r="L51" s="6">
        <f t="shared" si="6"/>
        <v>0</v>
      </c>
      <c r="M51" s="7">
        <f t="shared" si="12"/>
        <v>1.0196107500000001E-2</v>
      </c>
      <c r="N51" s="7">
        <f t="shared" si="15"/>
        <v>1.7918125170999652E-2</v>
      </c>
      <c r="O51" s="7">
        <f t="shared" si="4"/>
        <v>0.75734957394276692</v>
      </c>
      <c r="P51" s="6">
        <f t="shared" si="7"/>
        <v>3477169.7626236249</v>
      </c>
      <c r="Q51" s="6">
        <v>28576721.38508489</v>
      </c>
      <c r="R51" s="4" t="str">
        <f t="shared" ca="1" si="13"/>
        <v>OK</v>
      </c>
      <c r="S51" s="6">
        <v>3760000</v>
      </c>
      <c r="T51" s="5">
        <v>45365</v>
      </c>
      <c r="U51" s="30" t="str">
        <f t="shared" si="1"/>
        <v>PAGADO</v>
      </c>
    </row>
    <row r="52" spans="1:21" x14ac:dyDescent="0.25">
      <c r="A52" s="4" t="str">
        <f t="shared" si="2"/>
        <v>20243</v>
      </c>
      <c r="B52" s="4" t="s">
        <v>24</v>
      </c>
      <c r="C52" s="4" t="s">
        <v>25</v>
      </c>
      <c r="D52" s="29" t="s">
        <v>26</v>
      </c>
      <c r="E52" s="28">
        <v>45364</v>
      </c>
      <c r="F52" s="4">
        <v>29</v>
      </c>
      <c r="G52" s="4">
        <v>7</v>
      </c>
      <c r="H52" s="6">
        <v>2990693.7832724219</v>
      </c>
      <c r="I52" s="6">
        <v>474904.76169341785</v>
      </c>
      <c r="J52" s="6">
        <v>0</v>
      </c>
      <c r="K52" s="6">
        <v>0</v>
      </c>
      <c r="L52" s="6">
        <f t="shared" si="6"/>
        <v>0</v>
      </c>
      <c r="M52" s="7">
        <f t="shared" si="12"/>
        <v>1.0196107500000001E-2</v>
      </c>
      <c r="N52" s="7">
        <f t="shared" si="15"/>
        <v>1.7916718422377784E-2</v>
      </c>
      <c r="O52" s="7">
        <f t="shared" si="4"/>
        <v>0.75721160475973615</v>
      </c>
      <c r="P52" s="6">
        <f t="shared" si="7"/>
        <v>3465598.5449658399</v>
      </c>
      <c r="Q52" s="6">
        <v>25586027.601812467</v>
      </c>
      <c r="R52" s="4" t="str">
        <f t="shared" ca="1" si="13"/>
        <v>OK</v>
      </c>
      <c r="S52" s="6">
        <v>3766609.7</v>
      </c>
      <c r="T52" s="5">
        <v>45394</v>
      </c>
      <c r="U52" s="30" t="str">
        <f t="shared" si="1"/>
        <v>PAGADO</v>
      </c>
    </row>
    <row r="53" spans="1:21" x14ac:dyDescent="0.25">
      <c r="A53" s="4" t="str">
        <f t="shared" si="2"/>
        <v>20244</v>
      </c>
      <c r="B53" s="4" t="s">
        <v>24</v>
      </c>
      <c r="C53" s="4" t="s">
        <v>25</v>
      </c>
      <c r="D53" s="29" t="s">
        <v>26</v>
      </c>
      <c r="E53" s="28">
        <v>45395</v>
      </c>
      <c r="F53" s="4">
        <v>30</v>
      </c>
      <c r="G53" s="4">
        <v>6</v>
      </c>
      <c r="H53" s="6">
        <v>3028675.5943199815</v>
      </c>
      <c r="I53" s="6">
        <v>425203.98628818168</v>
      </c>
      <c r="J53" s="6">
        <v>0</v>
      </c>
      <c r="K53" s="6">
        <v>0</v>
      </c>
      <c r="L53" s="6">
        <f t="shared" si="6"/>
        <v>0</v>
      </c>
      <c r="M53" s="7">
        <f t="shared" si="12"/>
        <v>1.0196107500000001E-2</v>
      </c>
      <c r="N53" s="7">
        <f t="shared" si="15"/>
        <v>1.7918986428637169E-2</v>
      </c>
      <c r="O53" s="7">
        <f t="shared" si="4"/>
        <v>0.75743404320101249</v>
      </c>
      <c r="P53" s="6">
        <f t="shared" si="7"/>
        <v>3453879.580608163</v>
      </c>
      <c r="Q53" s="6">
        <v>22557352.007492486</v>
      </c>
      <c r="R53" s="4" t="str">
        <f t="shared" ca="1" si="13"/>
        <v>OK</v>
      </c>
      <c r="S53" s="6">
        <v>3748304.78</v>
      </c>
      <c r="T53" s="5">
        <v>45422</v>
      </c>
      <c r="U53" s="30" t="str">
        <f t="shared" si="1"/>
        <v>PAGADO</v>
      </c>
    </row>
    <row r="54" spans="1:21" x14ac:dyDescent="0.25">
      <c r="A54" s="4" t="str">
        <f t="shared" si="2"/>
        <v>20245</v>
      </c>
      <c r="B54" s="4" t="s">
        <v>24</v>
      </c>
      <c r="C54" s="4" t="s">
        <v>25</v>
      </c>
      <c r="D54" s="29" t="s">
        <v>26</v>
      </c>
      <c r="E54" s="28">
        <v>45425</v>
      </c>
      <c r="F54" s="4">
        <v>31</v>
      </c>
      <c r="G54" s="4">
        <v>5</v>
      </c>
      <c r="H54" s="6">
        <v>3067139.7743678452</v>
      </c>
      <c r="I54" s="6">
        <v>374871.17430507374</v>
      </c>
      <c r="J54" s="6">
        <v>0</v>
      </c>
      <c r="K54" s="6">
        <v>0</v>
      </c>
      <c r="L54" s="6">
        <f t="shared" si="6"/>
        <v>0</v>
      </c>
      <c r="M54" s="7">
        <f t="shared" si="12"/>
        <v>1.0196107500000001E-2</v>
      </c>
      <c r="N54" s="7">
        <f t="shared" si="15"/>
        <v>1.7918673461080323E-2</v>
      </c>
      <c r="O54" s="7">
        <f t="shared" si="4"/>
        <v>0.75740334839352386</v>
      </c>
      <c r="P54" s="6">
        <f t="shared" si="7"/>
        <v>3442010.9486729191</v>
      </c>
      <c r="Q54" s="6">
        <v>19490212.23312464</v>
      </c>
      <c r="R54" s="4" t="str">
        <f t="shared" ca="1" si="13"/>
        <v>OK</v>
      </c>
      <c r="S54" s="6">
        <v>3750256.49</v>
      </c>
      <c r="T54" s="5">
        <v>45454</v>
      </c>
      <c r="U54" s="30" t="str">
        <f t="shared" si="1"/>
        <v>PAGADO</v>
      </c>
    </row>
    <row r="55" spans="1:21" x14ac:dyDescent="0.25">
      <c r="A55" s="4" t="str">
        <f t="shared" si="2"/>
        <v>20246</v>
      </c>
      <c r="B55" s="4" t="s">
        <v>24</v>
      </c>
      <c r="C55" s="4" t="s">
        <v>25</v>
      </c>
      <c r="D55" s="29" t="s">
        <v>26</v>
      </c>
      <c r="E55" s="28">
        <v>45456</v>
      </c>
      <c r="F55" s="4">
        <v>32</v>
      </c>
      <c r="G55" s="4">
        <v>4</v>
      </c>
      <c r="H55" s="6">
        <v>3106092.4495023168</v>
      </c>
      <c r="I55" s="6">
        <v>323899.84524929617</v>
      </c>
      <c r="J55" s="6">
        <v>0</v>
      </c>
      <c r="K55" s="6">
        <v>0</v>
      </c>
      <c r="L55" s="6">
        <f t="shared" si="6"/>
        <v>0</v>
      </c>
      <c r="M55" s="7">
        <f t="shared" si="12"/>
        <v>1.0196107500000001E-2</v>
      </c>
      <c r="N55" s="7">
        <f t="shared" si="15"/>
        <v>1.7918125870773731E-2</v>
      </c>
      <c r="O55" s="7">
        <f t="shared" si="4"/>
        <v>0.75734964257425985</v>
      </c>
      <c r="P55" s="6">
        <f t="shared" si="7"/>
        <v>3429992.2947516129</v>
      </c>
      <c r="Q55" s="6">
        <v>16384119.783622323</v>
      </c>
      <c r="R55" s="4" t="str">
        <f t="shared" ca="1" si="13"/>
        <v>OK</v>
      </c>
      <c r="S55" s="6">
        <v>3688182.26</v>
      </c>
      <c r="T55" s="5">
        <v>45461</v>
      </c>
      <c r="U55" s="30" t="str">
        <f t="shared" si="1"/>
        <v>PAGADO</v>
      </c>
    </row>
    <row r="56" spans="1:21" x14ac:dyDescent="0.25">
      <c r="A56" s="4" t="str">
        <f t="shared" si="2"/>
        <v>20247</v>
      </c>
      <c r="B56" s="4" t="s">
        <v>24</v>
      </c>
      <c r="C56" s="4" t="s">
        <v>25</v>
      </c>
      <c r="D56" s="29" t="s">
        <v>26</v>
      </c>
      <c r="E56" s="28">
        <v>45486</v>
      </c>
      <c r="F56" s="4">
        <v>33</v>
      </c>
      <c r="G56" s="4">
        <v>3</v>
      </c>
      <c r="H56" s="6">
        <v>3145539.8236109964</v>
      </c>
      <c r="I56" s="6">
        <v>272280.97864937974</v>
      </c>
      <c r="J56" s="6">
        <v>0</v>
      </c>
      <c r="K56" s="6">
        <v>0</v>
      </c>
      <c r="L56" s="6">
        <f t="shared" si="6"/>
        <v>0</v>
      </c>
      <c r="M56" s="7">
        <f t="shared" si="12"/>
        <v>1.0196107500000001E-2</v>
      </c>
      <c r="N56" s="7">
        <f t="shared" si="15"/>
        <v>1.7918126045717249E-2</v>
      </c>
      <c r="O56" s="7">
        <f t="shared" si="4"/>
        <v>0.75734965973213275</v>
      </c>
      <c r="P56" s="6">
        <f t="shared" si="7"/>
        <v>3417820.802260376</v>
      </c>
      <c r="Q56" s="6">
        <v>13238579.960011326</v>
      </c>
      <c r="R56" s="4" t="str">
        <f t="shared" ca="1" si="13"/>
        <v>OK</v>
      </c>
      <c r="S56" s="6">
        <v>3720293.45</v>
      </c>
      <c r="T56" s="5">
        <v>45505</v>
      </c>
      <c r="U56" s="30" t="str">
        <f t="shared" si="1"/>
        <v>PAGADO</v>
      </c>
    </row>
    <row r="57" spans="1:21" x14ac:dyDescent="0.25">
      <c r="A57" s="4" t="str">
        <f t="shared" si="2"/>
        <v>20248</v>
      </c>
      <c r="B57" s="4" t="s">
        <v>24</v>
      </c>
      <c r="C57" s="4" t="s">
        <v>25</v>
      </c>
      <c r="D57" s="29" t="s">
        <v>26</v>
      </c>
      <c r="E57" s="28">
        <v>45517</v>
      </c>
      <c r="F57" s="4">
        <v>34</v>
      </c>
      <c r="G57" s="4">
        <v>2</v>
      </c>
      <c r="H57" s="6">
        <v>3185488.1793708559</v>
      </c>
      <c r="I57" s="6">
        <v>220006.49376826189</v>
      </c>
      <c r="J57" s="6">
        <v>0</v>
      </c>
      <c r="K57" s="6">
        <v>0</v>
      </c>
      <c r="L57" s="6">
        <f t="shared" si="6"/>
        <v>0</v>
      </c>
      <c r="M57" s="7">
        <f t="shared" si="12"/>
        <v>1.0196107500000001E-2</v>
      </c>
      <c r="N57" s="7">
        <f t="shared" si="15"/>
        <v>1.7918477951552117E-2</v>
      </c>
      <c r="O57" s="7">
        <f t="shared" si="4"/>
        <v>0.75738417347523224</v>
      </c>
      <c r="P57" s="6">
        <f t="shared" si="7"/>
        <v>3405494.6731391177</v>
      </c>
      <c r="Q57" s="6">
        <v>10053091.78064047</v>
      </c>
      <c r="R57" s="4">
        <f t="shared" ca="1" si="13"/>
        <v>21</v>
      </c>
      <c r="S57" s="6"/>
      <c r="T57" s="5"/>
      <c r="U57" s="30" t="str">
        <f t="shared" si="1"/>
        <v>PENDIENTE</v>
      </c>
    </row>
    <row r="58" spans="1:21" x14ac:dyDescent="0.25">
      <c r="A58" s="4" t="str">
        <f t="shared" si="2"/>
        <v>20249</v>
      </c>
      <c r="B58" s="4" t="s">
        <v>24</v>
      </c>
      <c r="C58" s="4" t="s">
        <v>25</v>
      </c>
      <c r="D58" s="29" t="s">
        <v>26</v>
      </c>
      <c r="E58" s="28">
        <v>45548</v>
      </c>
      <c r="F58" s="4">
        <v>35</v>
      </c>
      <c r="G58" s="4">
        <v>1</v>
      </c>
      <c r="H58" s="6">
        <v>3225943.8792488659</v>
      </c>
      <c r="I58" s="6">
        <v>167068.20250611263</v>
      </c>
      <c r="J58" s="6">
        <v>0</v>
      </c>
      <c r="K58" s="6">
        <v>0</v>
      </c>
      <c r="L58" s="6">
        <f t="shared" si="6"/>
        <v>0</v>
      </c>
      <c r="M58" s="7">
        <f t="shared" si="12"/>
        <v>1.0196107500000001E-2</v>
      </c>
      <c r="N58" s="7">
        <f t="shared" si="15"/>
        <v>1.7918350832280855E-2</v>
      </c>
      <c r="O58" s="7">
        <f t="shared" si="4"/>
        <v>0.75737170604378723</v>
      </c>
      <c r="P58" s="6">
        <f t="shared" si="7"/>
        <v>3393012.0817549787</v>
      </c>
      <c r="Q58" s="6">
        <v>6827147.901391604</v>
      </c>
      <c r="R58" s="4">
        <f t="shared" ca="1" si="13"/>
        <v>21</v>
      </c>
      <c r="S58" s="6"/>
      <c r="T58" s="5"/>
      <c r="U58" s="30" t="str">
        <f t="shared" si="1"/>
        <v>PENDIENTE</v>
      </c>
    </row>
    <row r="59" spans="1:21" x14ac:dyDescent="0.25">
      <c r="A59" s="4" t="str">
        <f t="shared" si="2"/>
        <v>202410</v>
      </c>
      <c r="B59" s="4" t="s">
        <v>24</v>
      </c>
      <c r="C59" s="4" t="s">
        <v>25</v>
      </c>
      <c r="D59" s="29" t="s">
        <v>26</v>
      </c>
      <c r="E59" s="28">
        <v>45578</v>
      </c>
      <c r="F59" s="4">
        <v>36</v>
      </c>
      <c r="G59" s="4">
        <v>0</v>
      </c>
      <c r="H59" s="6">
        <v>3266913.3665153263</v>
      </c>
      <c r="I59" s="6">
        <v>113457.56467386302</v>
      </c>
      <c r="J59" s="6">
        <v>0</v>
      </c>
      <c r="K59" s="6">
        <v>0</v>
      </c>
      <c r="L59" s="6">
        <f t="shared" si="6"/>
        <v>0</v>
      </c>
      <c r="M59" s="7">
        <f t="shared" si="12"/>
        <v>1.0196107500000001E-2</v>
      </c>
      <c r="N59" s="7">
        <f t="shared" si="15"/>
        <v>1.7918270175080988E-2</v>
      </c>
      <c r="O59" s="7">
        <f t="shared" si="4"/>
        <v>0.75736379545635302</v>
      </c>
      <c r="P59" s="6">
        <f t="shared" si="7"/>
        <v>3380370.9311891892</v>
      </c>
      <c r="Q59" s="6">
        <v>3560234.5348762777</v>
      </c>
      <c r="R59" s="4">
        <f t="shared" ca="1" si="13"/>
        <v>-10</v>
      </c>
      <c r="S59" s="6"/>
      <c r="T59" s="5"/>
      <c r="U59" s="30" t="str">
        <f t="shared" si="1"/>
        <v>PENDIENTE</v>
      </c>
    </row>
    <row r="60" spans="1:21" x14ac:dyDescent="0.25">
      <c r="A60" s="4" t="str">
        <f t="shared" si="2"/>
        <v>20226</v>
      </c>
      <c r="B60" s="4" t="s">
        <v>24</v>
      </c>
      <c r="C60" s="4" t="s">
        <v>21</v>
      </c>
      <c r="D60" s="29" t="s">
        <v>28</v>
      </c>
      <c r="E60" s="28">
        <v>44738</v>
      </c>
      <c r="F60" s="4">
        <v>1</v>
      </c>
      <c r="G60" s="4">
        <v>35</v>
      </c>
      <c r="H60" s="6">
        <v>702911.21</v>
      </c>
      <c r="I60" s="6">
        <v>470435</v>
      </c>
      <c r="J60" s="6">
        <v>0</v>
      </c>
      <c r="K60" s="6">
        <v>0</v>
      </c>
      <c r="L60" s="6">
        <f t="shared" si="6"/>
        <v>0</v>
      </c>
      <c r="M60" s="7">
        <f>0.17201626/12</f>
        <v>1.4334688333333333E-2</v>
      </c>
      <c r="N60" s="7">
        <f>I60/32818000</f>
        <v>1.4334663903955146E-2</v>
      </c>
      <c r="O60" s="7">
        <f t="shared" si="4"/>
        <v>-1.7042141147172174E-6</v>
      </c>
      <c r="P60" s="6">
        <f t="shared" si="7"/>
        <v>1173346.21</v>
      </c>
      <c r="Q60" s="6">
        <v>32115088.789999999</v>
      </c>
      <c r="R60" s="4" t="s">
        <v>27</v>
      </c>
      <c r="S60" s="6">
        <v>1180000</v>
      </c>
      <c r="T60" s="5">
        <v>44742</v>
      </c>
      <c r="U60" s="30" t="str">
        <f t="shared" si="1"/>
        <v>PAGADO</v>
      </c>
    </row>
    <row r="61" spans="1:21" x14ac:dyDescent="0.25">
      <c r="A61" s="4" t="str">
        <f t="shared" si="2"/>
        <v>20227</v>
      </c>
      <c r="B61" s="4" t="s">
        <v>24</v>
      </c>
      <c r="C61" s="4" t="s">
        <v>21</v>
      </c>
      <c r="D61" s="29" t="s">
        <v>28</v>
      </c>
      <c r="E61" s="28">
        <v>44768</v>
      </c>
      <c r="F61" s="4">
        <v>2</v>
      </c>
      <c r="G61" s="4">
        <v>34</v>
      </c>
      <c r="H61" s="6">
        <v>708571.15</v>
      </c>
      <c r="I61" s="6">
        <v>466730.34</v>
      </c>
      <c r="J61" s="6">
        <v>0</v>
      </c>
      <c r="K61" s="6">
        <v>0</v>
      </c>
      <c r="L61" s="6">
        <f t="shared" si="6"/>
        <v>0</v>
      </c>
      <c r="M61" s="7">
        <f t="shared" ref="M61:M95" si="16">0.17201626/12</f>
        <v>1.4334688333333333E-2</v>
      </c>
      <c r="N61" s="7">
        <f>I61/Q60</f>
        <v>1.4533054635219648E-2</v>
      </c>
      <c r="O61" s="7">
        <f t="shared" si="4"/>
        <v>1.3838201241183734E-2</v>
      </c>
      <c r="P61" s="6">
        <f t="shared" si="7"/>
        <v>1175301.49</v>
      </c>
      <c r="Q61" s="6">
        <v>31406517.640000001</v>
      </c>
      <c r="R61" s="4" t="str">
        <f t="shared" ref="R61:R95" ca="1" si="17">IF(T60="",TODAY()-E60,IF(T61="",TODAY()-E61,"OK"))</f>
        <v>OK</v>
      </c>
      <c r="S61" s="6">
        <v>1250000</v>
      </c>
      <c r="T61" s="5">
        <v>44786</v>
      </c>
      <c r="U61" s="30" t="str">
        <f t="shared" si="1"/>
        <v>PAGADO</v>
      </c>
    </row>
    <row r="62" spans="1:21" x14ac:dyDescent="0.25">
      <c r="A62" s="4" t="str">
        <f t="shared" si="2"/>
        <v>20228</v>
      </c>
      <c r="B62" s="4" t="s">
        <v>24</v>
      </c>
      <c r="C62" s="4" t="s">
        <v>21</v>
      </c>
      <c r="D62" s="29" t="s">
        <v>28</v>
      </c>
      <c r="E62" s="28">
        <v>44799</v>
      </c>
      <c r="F62" s="4">
        <v>3</v>
      </c>
      <c r="G62" s="4">
        <v>33</v>
      </c>
      <c r="H62" s="6">
        <v>703100</v>
      </c>
      <c r="I62" s="6">
        <v>500563.23</v>
      </c>
      <c r="J62" s="6">
        <v>0</v>
      </c>
      <c r="K62" s="6">
        <v>0</v>
      </c>
      <c r="L62" s="6">
        <f t="shared" si="6"/>
        <v>0</v>
      </c>
      <c r="M62" s="7">
        <f t="shared" si="16"/>
        <v>1.4334688333333333E-2</v>
      </c>
      <c r="N62" s="7">
        <f t="shared" ref="N62:N68" si="18">I62/Q61</f>
        <v>1.593819587824892E-2</v>
      </c>
      <c r="O62" s="7">
        <f t="shared" si="4"/>
        <v>0.11186204454734128</v>
      </c>
      <c r="P62" s="6">
        <f t="shared" si="7"/>
        <v>1203663.23</v>
      </c>
      <c r="Q62" s="6">
        <v>30703417.640000001</v>
      </c>
      <c r="R62" s="4" t="str">
        <f t="shared" ca="1" si="17"/>
        <v>OK</v>
      </c>
      <c r="S62" s="6">
        <v>1143954.7</v>
      </c>
      <c r="T62" s="5">
        <v>44805</v>
      </c>
      <c r="U62" s="30" t="str">
        <f t="shared" si="1"/>
        <v>PAGADO</v>
      </c>
    </row>
    <row r="63" spans="1:21" x14ac:dyDescent="0.25">
      <c r="A63" s="4" t="str">
        <f t="shared" si="2"/>
        <v>20229</v>
      </c>
      <c r="B63" s="4" t="s">
        <v>24</v>
      </c>
      <c r="C63" s="4" t="s">
        <v>21</v>
      </c>
      <c r="D63" s="29" t="s">
        <v>28</v>
      </c>
      <c r="E63" s="28">
        <v>44830</v>
      </c>
      <c r="F63" s="4">
        <v>4</v>
      </c>
      <c r="G63" s="4">
        <v>32</v>
      </c>
      <c r="H63" s="6">
        <v>704532.9</v>
      </c>
      <c r="I63" s="6">
        <v>513976.46</v>
      </c>
      <c r="J63" s="6">
        <v>0</v>
      </c>
      <c r="K63" s="6">
        <v>0</v>
      </c>
      <c r="L63" s="6">
        <f t="shared" si="6"/>
        <v>59708.530000000028</v>
      </c>
      <c r="M63" s="7">
        <f t="shared" si="16"/>
        <v>1.4334688333333333E-2</v>
      </c>
      <c r="N63" s="7">
        <f t="shared" si="18"/>
        <v>1.6740040669948039E-2</v>
      </c>
      <c r="O63" s="7">
        <f t="shared" si="4"/>
        <v>0.16779941640038265</v>
      </c>
      <c r="P63" s="6">
        <f t="shared" si="7"/>
        <v>1278217.8900000001</v>
      </c>
      <c r="Q63" s="6">
        <v>29998884.740000002</v>
      </c>
      <c r="R63" s="4" t="str">
        <f t="shared" ca="1" si="17"/>
        <v>OK</v>
      </c>
      <c r="S63" s="6">
        <v>1220844.5900000001</v>
      </c>
      <c r="T63" s="5">
        <v>44834</v>
      </c>
      <c r="U63" s="30" t="str">
        <f t="shared" si="1"/>
        <v>PAGADO</v>
      </c>
    </row>
    <row r="64" spans="1:21" x14ac:dyDescent="0.25">
      <c r="A64" s="4" t="str">
        <f t="shared" si="2"/>
        <v>202210</v>
      </c>
      <c r="B64" s="4" t="s">
        <v>24</v>
      </c>
      <c r="C64" s="4" t="s">
        <v>21</v>
      </c>
      <c r="D64" s="29" t="s">
        <v>28</v>
      </c>
      <c r="E64" s="28">
        <v>44860</v>
      </c>
      <c r="F64" s="4">
        <v>5</v>
      </c>
      <c r="G64" s="4">
        <v>31</v>
      </c>
      <c r="H64" s="6">
        <v>712454.68</v>
      </c>
      <c r="I64" s="6">
        <v>511953.71</v>
      </c>
      <c r="J64" s="6">
        <v>0</v>
      </c>
      <c r="K64" s="6">
        <v>0</v>
      </c>
      <c r="L64" s="6">
        <f t="shared" si="6"/>
        <v>57373.300000000047</v>
      </c>
      <c r="M64" s="7">
        <f t="shared" si="16"/>
        <v>1.4334688333333333E-2</v>
      </c>
      <c r="N64" s="7">
        <f t="shared" si="18"/>
        <v>1.7065758091912318E-2</v>
      </c>
      <c r="O64" s="7">
        <f t="shared" si="4"/>
        <v>0.19052173964802988</v>
      </c>
      <c r="P64" s="6">
        <f t="shared" si="7"/>
        <v>1281781.6900000002</v>
      </c>
      <c r="Q64" s="6">
        <v>29286430.060000002</v>
      </c>
      <c r="R64" s="4" t="str">
        <f t="shared" ca="1" si="17"/>
        <v>OK</v>
      </c>
      <c r="S64" s="6">
        <v>1237088.17</v>
      </c>
      <c r="T64" s="5">
        <v>44877</v>
      </c>
      <c r="U64" s="30" t="str">
        <f t="shared" si="1"/>
        <v>PAGADO</v>
      </c>
    </row>
    <row r="65" spans="1:21" x14ac:dyDescent="0.25">
      <c r="A65" s="4" t="str">
        <f t="shared" si="2"/>
        <v>202211</v>
      </c>
      <c r="B65" s="4" t="s">
        <v>24</v>
      </c>
      <c r="C65" s="4" t="s">
        <v>21</v>
      </c>
      <c r="D65" s="29" t="s">
        <v>28</v>
      </c>
      <c r="E65" s="28">
        <v>44891</v>
      </c>
      <c r="F65" s="4">
        <v>6</v>
      </c>
      <c r="G65" s="4">
        <v>30</v>
      </c>
      <c r="H65" s="6">
        <v>720680.58</v>
      </c>
      <c r="I65" s="6">
        <v>509704.54</v>
      </c>
      <c r="J65" s="6">
        <v>0</v>
      </c>
      <c r="K65" s="6">
        <v>0</v>
      </c>
      <c r="L65" s="6">
        <f t="shared" si="6"/>
        <v>44693.520000000251</v>
      </c>
      <c r="M65" s="7">
        <f t="shared" si="16"/>
        <v>1.4334688333333333E-2</v>
      </c>
      <c r="N65" s="7">
        <f t="shared" si="18"/>
        <v>1.7404119892924907E-2</v>
      </c>
      <c r="O65" s="7">
        <f t="shared" si="4"/>
        <v>0.21412614548821662</v>
      </c>
      <c r="P65" s="6">
        <f t="shared" si="7"/>
        <v>1275078.6400000001</v>
      </c>
      <c r="Q65" s="6">
        <v>28525382.798466966</v>
      </c>
      <c r="R65" s="4" t="str">
        <f t="shared" ca="1" si="17"/>
        <v>OK</v>
      </c>
      <c r="S65" s="6">
        <v>1232324.24</v>
      </c>
      <c r="T65" s="5">
        <v>44894</v>
      </c>
      <c r="U65" s="30" t="str">
        <f t="shared" si="1"/>
        <v>PAGADO</v>
      </c>
    </row>
    <row r="66" spans="1:21" x14ac:dyDescent="0.25">
      <c r="A66" s="4" t="str">
        <f t="shared" si="2"/>
        <v>202212</v>
      </c>
      <c r="B66" s="4" t="s">
        <v>24</v>
      </c>
      <c r="C66" s="4" t="s">
        <v>21</v>
      </c>
      <c r="D66" s="29" t="s">
        <v>28</v>
      </c>
      <c r="E66" s="28">
        <v>44921</v>
      </c>
      <c r="F66" s="4">
        <v>7</v>
      </c>
      <c r="G66" s="4">
        <v>29</v>
      </c>
      <c r="H66" s="6">
        <v>723900.56</v>
      </c>
      <c r="I66" s="6">
        <v>520684.19</v>
      </c>
      <c r="J66" s="6">
        <v>0</v>
      </c>
      <c r="K66" s="6">
        <v>0</v>
      </c>
      <c r="L66" s="6">
        <f t="shared" si="6"/>
        <v>42754.40000000014</v>
      </c>
      <c r="M66" s="7">
        <f t="shared" si="16"/>
        <v>1.4334688333333333E-2</v>
      </c>
      <c r="N66" s="7">
        <f t="shared" si="18"/>
        <v>1.8253363808600074E-2</v>
      </c>
      <c r="O66" s="7">
        <f t="shared" si="4"/>
        <v>0.27337012037816022</v>
      </c>
      <c r="P66" s="6">
        <f t="shared" si="7"/>
        <v>1287339.1500000001</v>
      </c>
      <c r="Q66" s="6">
        <v>27804702.218466967</v>
      </c>
      <c r="R66" s="4" t="str">
        <f t="shared" ca="1" si="17"/>
        <v>OK</v>
      </c>
      <c r="S66" s="6">
        <v>1263011.6000000001</v>
      </c>
      <c r="T66" s="5">
        <v>44946</v>
      </c>
      <c r="U66" s="30" t="str">
        <f t="shared" ref="U66:U129" si="19">IF(AND(S66="",T66=""),"PENDIENTE",IF(AND(S66&lt;&gt;"",T66&lt;&gt;""),"PAGADO","ABONADO"))</f>
        <v>PAGADO</v>
      </c>
    </row>
    <row r="67" spans="1:21" x14ac:dyDescent="0.25">
      <c r="A67" s="4" t="str">
        <f t="shared" ref="A67:A130" si="20">CONCATENATE(YEAR($E67),MONTH($E67))</f>
        <v>20231</v>
      </c>
      <c r="B67" s="4" t="s">
        <v>24</v>
      </c>
      <c r="C67" s="4" t="s">
        <v>21</v>
      </c>
      <c r="D67" s="29" t="s">
        <v>28</v>
      </c>
      <c r="E67" s="28">
        <v>44952</v>
      </c>
      <c r="F67" s="4">
        <v>8</v>
      </c>
      <c r="G67" s="4">
        <v>28</v>
      </c>
      <c r="H67" s="6">
        <v>728789.74</v>
      </c>
      <c r="I67" s="6">
        <v>528516.1</v>
      </c>
      <c r="J67" s="6">
        <v>0</v>
      </c>
      <c r="K67" s="6">
        <v>0</v>
      </c>
      <c r="L67" s="6">
        <f t="shared" si="6"/>
        <v>24327.550000000047</v>
      </c>
      <c r="M67" s="7">
        <f t="shared" si="16"/>
        <v>1.4334688333333333E-2</v>
      </c>
      <c r="N67" s="7">
        <f t="shared" si="18"/>
        <v>1.9008155377725173E-2</v>
      </c>
      <c r="O67" s="7">
        <f t="shared" ref="O67:O130" si="21">(N67/M67)-1</f>
        <v>0.32602501956909236</v>
      </c>
      <c r="P67" s="6">
        <f t="shared" si="7"/>
        <v>1281633.3899999999</v>
      </c>
      <c r="Q67" s="6">
        <v>27012441.17854261</v>
      </c>
      <c r="R67" s="4" t="str">
        <f t="shared" ca="1" si="17"/>
        <v>OK</v>
      </c>
      <c r="S67" s="6">
        <v>1259486.24</v>
      </c>
      <c r="T67" s="5">
        <v>44952</v>
      </c>
      <c r="U67" s="30" t="str">
        <f t="shared" si="19"/>
        <v>PAGADO</v>
      </c>
    </row>
    <row r="68" spans="1:21" x14ac:dyDescent="0.25">
      <c r="A68" s="4" t="str">
        <f t="shared" si="20"/>
        <v>20232</v>
      </c>
      <c r="B68" s="4" t="s">
        <v>24</v>
      </c>
      <c r="C68" s="4" t="s">
        <v>21</v>
      </c>
      <c r="D68" s="29" t="s">
        <v>28</v>
      </c>
      <c r="E68" s="28">
        <v>44983</v>
      </c>
      <c r="F68" s="4">
        <v>9</v>
      </c>
      <c r="G68" s="4">
        <v>27</v>
      </c>
      <c r="H68" s="6">
        <v>741317.37</v>
      </c>
      <c r="I68" s="6">
        <v>517986.45</v>
      </c>
      <c r="J68" s="6">
        <v>0</v>
      </c>
      <c r="K68" s="6">
        <v>0</v>
      </c>
      <c r="L68" s="6">
        <f t="shared" ref="L68:L131" si="22">IF(S67="",0,IF(S67&lt;=P67,P67-S67,0))</f>
        <v>22147.149999999907</v>
      </c>
      <c r="M68" s="7">
        <f t="shared" si="16"/>
        <v>1.4334688333333333E-2</v>
      </c>
      <c r="N68" s="7">
        <f t="shared" si="18"/>
        <v>1.9175847402176434E-2</v>
      </c>
      <c r="O68" s="7">
        <f t="shared" si="21"/>
        <v>0.33772335723446845</v>
      </c>
      <c r="P68" s="6">
        <f t="shared" ref="P68:P131" si="23">H68+I68+J68+K68+L68</f>
        <v>1281450.97</v>
      </c>
      <c r="Q68" s="6">
        <v>26216267.38656202</v>
      </c>
      <c r="R68" s="4" t="str">
        <f t="shared" ca="1" si="17"/>
        <v>OK</v>
      </c>
      <c r="S68" s="6">
        <v>1278767.6000000001</v>
      </c>
      <c r="T68" s="5">
        <v>45008</v>
      </c>
      <c r="U68" s="30" t="str">
        <f t="shared" si="19"/>
        <v>PAGADO</v>
      </c>
    </row>
    <row r="69" spans="1:21" x14ac:dyDescent="0.25">
      <c r="A69" s="4" t="str">
        <f t="shared" si="20"/>
        <v>20233</v>
      </c>
      <c r="B69" s="4" t="s">
        <v>24</v>
      </c>
      <c r="C69" s="4" t="s">
        <v>21</v>
      </c>
      <c r="D69" s="29" t="s">
        <v>28</v>
      </c>
      <c r="E69" s="28">
        <v>45011</v>
      </c>
      <c r="F69" s="4">
        <v>10</v>
      </c>
      <c r="G69" s="4">
        <v>26</v>
      </c>
      <c r="H69" s="6">
        <v>752227.12</v>
      </c>
      <c r="I69" s="6">
        <v>512019.4</v>
      </c>
      <c r="J69" s="6">
        <v>0</v>
      </c>
      <c r="K69" s="6">
        <v>0</v>
      </c>
      <c r="L69" s="6">
        <f t="shared" si="22"/>
        <v>2683.3699999998789</v>
      </c>
      <c r="M69" s="7">
        <f t="shared" si="16"/>
        <v>1.4334688333333333E-2</v>
      </c>
      <c r="N69" s="7">
        <f>I69/Q68</f>
        <v>1.9530598786250245E-2</v>
      </c>
      <c r="O69" s="7">
        <f t="shared" si="21"/>
        <v>0.36247111427142387</v>
      </c>
      <c r="P69" s="6">
        <f t="shared" si="23"/>
        <v>1266929.8899999999</v>
      </c>
      <c r="Q69" s="6">
        <v>25408132.860445559</v>
      </c>
      <c r="R69" s="4" t="str">
        <f t="shared" ca="1" si="17"/>
        <v>OK</v>
      </c>
      <c r="S69" s="6">
        <v>1278536.05</v>
      </c>
      <c r="T69" s="5">
        <v>45029</v>
      </c>
      <c r="U69" s="30" t="str">
        <f t="shared" si="19"/>
        <v>PAGADO</v>
      </c>
    </row>
    <row r="70" spans="1:21" x14ac:dyDescent="0.25">
      <c r="A70" s="4" t="str">
        <f t="shared" si="20"/>
        <v>20234</v>
      </c>
      <c r="B70" s="4" t="s">
        <v>24</v>
      </c>
      <c r="C70" s="4" t="s">
        <v>21</v>
      </c>
      <c r="D70" s="29" t="s">
        <v>28</v>
      </c>
      <c r="E70" s="28">
        <v>45042</v>
      </c>
      <c r="F70" s="4">
        <v>11</v>
      </c>
      <c r="G70" s="4">
        <v>25</v>
      </c>
      <c r="H70" s="6">
        <v>774748.76</v>
      </c>
      <c r="I70" s="6">
        <v>477633.97</v>
      </c>
      <c r="J70" s="6">
        <v>0</v>
      </c>
      <c r="K70" s="6">
        <v>0</v>
      </c>
      <c r="L70" s="6">
        <f t="shared" si="22"/>
        <v>0</v>
      </c>
      <c r="M70" s="7">
        <f t="shared" si="16"/>
        <v>1.4334688333333333E-2</v>
      </c>
      <c r="N70" s="7">
        <f t="shared" ref="N70:N79" si="24">I70/Q69</f>
        <v>1.8798467900943749E-2</v>
      </c>
      <c r="O70" s="7">
        <f t="shared" si="21"/>
        <v>0.31139704357788611</v>
      </c>
      <c r="P70" s="6">
        <f t="shared" si="23"/>
        <v>1252382.73</v>
      </c>
      <c r="Q70" s="6">
        <v>24587397.67132315</v>
      </c>
      <c r="R70" s="4" t="str">
        <f t="shared" ca="1" si="17"/>
        <v>OK</v>
      </c>
      <c r="S70" s="6">
        <v>1274157.33</v>
      </c>
      <c r="T70" s="5">
        <v>45066</v>
      </c>
      <c r="U70" s="30" t="str">
        <f t="shared" si="19"/>
        <v>PAGADO</v>
      </c>
    </row>
    <row r="71" spans="1:21" x14ac:dyDescent="0.25">
      <c r="A71" s="4" t="str">
        <f t="shared" si="20"/>
        <v>20235</v>
      </c>
      <c r="B71" s="4" t="s">
        <v>24</v>
      </c>
      <c r="C71" s="4" t="s">
        <v>21</v>
      </c>
      <c r="D71" s="29" t="s">
        <v>28</v>
      </c>
      <c r="E71" s="28">
        <v>45072</v>
      </c>
      <c r="F71" s="4">
        <v>12</v>
      </c>
      <c r="G71" s="4">
        <v>24</v>
      </c>
      <c r="H71" s="6">
        <v>795099.67</v>
      </c>
      <c r="I71" s="6">
        <v>448612.53</v>
      </c>
      <c r="J71" s="6">
        <v>0</v>
      </c>
      <c r="K71" s="6">
        <v>0</v>
      </c>
      <c r="L71" s="6">
        <f t="shared" si="22"/>
        <v>0</v>
      </c>
      <c r="M71" s="7">
        <f t="shared" si="16"/>
        <v>1.4334688333333333E-2</v>
      </c>
      <c r="N71" s="7">
        <f t="shared" si="24"/>
        <v>1.8245628756524614E-2</v>
      </c>
      <c r="O71" s="7">
        <f t="shared" si="21"/>
        <v>0.27283051659357871</v>
      </c>
      <c r="P71" s="6">
        <f t="shared" si="23"/>
        <v>1243712.2000000002</v>
      </c>
      <c r="Q71" s="6">
        <v>23754208.305943593</v>
      </c>
      <c r="R71" s="4" t="str">
        <f t="shared" ca="1" si="17"/>
        <v>OK</v>
      </c>
      <c r="S71" s="6">
        <v>1255078.52</v>
      </c>
      <c r="T71" s="5">
        <v>45086</v>
      </c>
      <c r="U71" s="30" t="str">
        <f t="shared" si="19"/>
        <v>PAGADO</v>
      </c>
    </row>
    <row r="72" spans="1:21" x14ac:dyDescent="0.25">
      <c r="A72" s="4" t="str">
        <f t="shared" si="20"/>
        <v>20236</v>
      </c>
      <c r="B72" s="4" t="s">
        <v>24</v>
      </c>
      <c r="C72" s="4" t="s">
        <v>21</v>
      </c>
      <c r="D72" s="29" t="s">
        <v>28</v>
      </c>
      <c r="E72" s="28">
        <v>45103</v>
      </c>
      <c r="F72" s="4">
        <v>13</v>
      </c>
      <c r="G72" s="4">
        <v>23</v>
      </c>
      <c r="H72" s="6">
        <v>819782.4</v>
      </c>
      <c r="I72" s="6">
        <v>430112.25</v>
      </c>
      <c r="J72" s="6">
        <v>0</v>
      </c>
      <c r="K72" s="6">
        <v>0</v>
      </c>
      <c r="L72" s="6">
        <f t="shared" si="22"/>
        <v>0</v>
      </c>
      <c r="M72" s="7">
        <f t="shared" si="16"/>
        <v>1.4334688333333333E-2</v>
      </c>
      <c r="N72" s="7">
        <f t="shared" si="24"/>
        <v>1.8106781100020102E-2</v>
      </c>
      <c r="O72" s="7">
        <f t="shared" si="21"/>
        <v>0.26314438646812355</v>
      </c>
      <c r="P72" s="6">
        <f t="shared" si="23"/>
        <v>1249894.6499999999</v>
      </c>
      <c r="Q72" s="6">
        <v>22910461.836912416</v>
      </c>
      <c r="R72" s="4" t="str">
        <f t="shared" ca="1" si="17"/>
        <v>OK</v>
      </c>
      <c r="S72" s="6">
        <f>1268288.18</f>
        <v>1268288.18</v>
      </c>
      <c r="T72" s="5">
        <v>45133</v>
      </c>
      <c r="U72" s="30" t="str">
        <f t="shared" si="19"/>
        <v>PAGADO</v>
      </c>
    </row>
    <row r="73" spans="1:21" x14ac:dyDescent="0.25">
      <c r="A73" s="4" t="str">
        <f t="shared" si="20"/>
        <v>20237</v>
      </c>
      <c r="B73" s="4" t="s">
        <v>24</v>
      </c>
      <c r="C73" s="4" t="s">
        <v>21</v>
      </c>
      <c r="D73" s="29" t="s">
        <v>28</v>
      </c>
      <c r="E73" s="28">
        <v>45133</v>
      </c>
      <c r="F73" s="4">
        <v>14</v>
      </c>
      <c r="G73" s="4">
        <v>22</v>
      </c>
      <c r="H73" s="6">
        <v>856135.82282441715</v>
      </c>
      <c r="I73" s="6">
        <v>440556.78200802748</v>
      </c>
      <c r="J73" s="6">
        <v>0</v>
      </c>
      <c r="K73" s="6">
        <v>0</v>
      </c>
      <c r="L73" s="6">
        <f t="shared" si="22"/>
        <v>0</v>
      </c>
      <c r="M73" s="7">
        <f t="shared" si="16"/>
        <v>1.4334688333333333E-2</v>
      </c>
      <c r="N73" s="7">
        <f t="shared" si="24"/>
        <v>1.922950244932296E-2</v>
      </c>
      <c r="O73" s="7">
        <f t="shared" si="21"/>
        <v>0.34146637877067865</v>
      </c>
      <c r="P73" s="6">
        <f t="shared" si="23"/>
        <v>1296692.6048324446</v>
      </c>
      <c r="Q73" s="6">
        <v>22054326.014087997</v>
      </c>
      <c r="R73" s="4" t="str">
        <f t="shared" ca="1" si="17"/>
        <v>OK</v>
      </c>
      <c r="S73" s="6">
        <v>1275213.1299999999</v>
      </c>
      <c r="T73" s="5">
        <v>45163</v>
      </c>
      <c r="U73" s="30" t="str">
        <f t="shared" si="19"/>
        <v>PAGADO</v>
      </c>
    </row>
    <row r="74" spans="1:21" x14ac:dyDescent="0.25">
      <c r="A74" s="4" t="str">
        <f t="shared" si="20"/>
        <v>20238</v>
      </c>
      <c r="B74" s="4" t="s">
        <v>24</v>
      </c>
      <c r="C74" s="4" t="s">
        <v>21</v>
      </c>
      <c r="D74" s="29" t="s">
        <v>28</v>
      </c>
      <c r="E74" s="28">
        <v>45164</v>
      </c>
      <c r="F74" s="4">
        <v>15</v>
      </c>
      <c r="G74" s="4">
        <v>21</v>
      </c>
      <c r="H74" s="6">
        <v>831827.72</v>
      </c>
      <c r="I74" s="6">
        <v>422561.68</v>
      </c>
      <c r="J74" s="6">
        <v>0</v>
      </c>
      <c r="K74" s="6">
        <v>1167828</v>
      </c>
      <c r="L74" s="6">
        <f t="shared" si="22"/>
        <v>21479.474832444685</v>
      </c>
      <c r="M74" s="7">
        <f t="shared" si="16"/>
        <v>1.4334688333333333E-2</v>
      </c>
      <c r="N74" s="7">
        <f t="shared" si="24"/>
        <v>1.9160035982513066E-2</v>
      </c>
      <c r="O74" s="7">
        <f t="shared" si="21"/>
        <v>0.33662033920605405</v>
      </c>
      <c r="P74" s="6">
        <f t="shared" si="23"/>
        <v>2443696.8748324448</v>
      </c>
      <c r="Q74" s="6">
        <v>21185791.681557734</v>
      </c>
      <c r="R74" s="4" t="str">
        <f t="shared" ca="1" si="17"/>
        <v>OK</v>
      </c>
      <c r="S74" s="6">
        <v>2444104.64</v>
      </c>
      <c r="T74" s="5">
        <v>45191</v>
      </c>
      <c r="U74" s="30" t="str">
        <f t="shared" si="19"/>
        <v>PAGADO</v>
      </c>
    </row>
    <row r="75" spans="1:21" x14ac:dyDescent="0.25">
      <c r="A75" s="4" t="str">
        <f t="shared" si="20"/>
        <v>20239</v>
      </c>
      <c r="B75" s="4" t="s">
        <v>24</v>
      </c>
      <c r="C75" s="4" t="s">
        <v>21</v>
      </c>
      <c r="D75" s="29" t="s">
        <v>28</v>
      </c>
      <c r="E75" s="28">
        <v>45195</v>
      </c>
      <c r="F75" s="4">
        <v>16</v>
      </c>
      <c r="G75" s="4">
        <v>20</v>
      </c>
      <c r="H75" s="6">
        <v>845399.43</v>
      </c>
      <c r="I75" s="6">
        <v>412005.05</v>
      </c>
      <c r="J75" s="6">
        <v>0</v>
      </c>
      <c r="K75" s="6">
        <v>0</v>
      </c>
      <c r="L75" s="6">
        <f t="shared" si="22"/>
        <v>0</v>
      </c>
      <c r="M75" s="7">
        <f t="shared" si="16"/>
        <v>1.4334688333333333E-2</v>
      </c>
      <c r="N75" s="7">
        <f t="shared" si="24"/>
        <v>1.944723407993533E-2</v>
      </c>
      <c r="O75" s="7">
        <f t="shared" si="21"/>
        <v>0.3566555217467462</v>
      </c>
      <c r="P75" s="6">
        <f t="shared" si="23"/>
        <v>1257404.48</v>
      </c>
      <c r="Q75" s="6">
        <v>20304887.766875181</v>
      </c>
      <c r="R75" s="4" t="str">
        <f t="shared" ca="1" si="17"/>
        <v>OK</v>
      </c>
      <c r="S75" s="6">
        <v>1281127.52</v>
      </c>
      <c r="T75" s="5">
        <v>45225</v>
      </c>
      <c r="U75" s="30" t="str">
        <f t="shared" si="19"/>
        <v>PAGADO</v>
      </c>
    </row>
    <row r="76" spans="1:21" x14ac:dyDescent="0.25">
      <c r="A76" s="4" t="str">
        <f t="shared" si="20"/>
        <v>202310</v>
      </c>
      <c r="B76" s="4" t="s">
        <v>24</v>
      </c>
      <c r="C76" s="4" t="s">
        <v>21</v>
      </c>
      <c r="D76" s="29" t="s">
        <v>28</v>
      </c>
      <c r="E76" s="28">
        <v>45225</v>
      </c>
      <c r="F76" s="4">
        <v>17</v>
      </c>
      <c r="G76" s="4">
        <v>19</v>
      </c>
      <c r="H76" s="6">
        <v>893280.77331998316</v>
      </c>
      <c r="I76" s="6">
        <v>389840.08792674303</v>
      </c>
      <c r="J76" s="6">
        <v>0</v>
      </c>
      <c r="K76" s="6">
        <v>0</v>
      </c>
      <c r="L76" s="6">
        <f t="shared" si="22"/>
        <v>0</v>
      </c>
      <c r="M76" s="7">
        <f t="shared" si="16"/>
        <v>1.4334688333333333E-2</v>
      </c>
      <c r="N76" s="7">
        <f t="shared" si="24"/>
        <v>1.919932246868742E-2</v>
      </c>
      <c r="O76" s="7">
        <f t="shared" si="21"/>
        <v>0.33936099775828765</v>
      </c>
      <c r="P76" s="6">
        <f t="shared" si="23"/>
        <v>1283120.8612467262</v>
      </c>
      <c r="Q76" s="6">
        <v>19411606.993555199</v>
      </c>
      <c r="R76" s="4" t="str">
        <f t="shared" ca="1" si="17"/>
        <v>OK</v>
      </c>
      <c r="S76" s="6">
        <v>1350000</v>
      </c>
      <c r="T76" s="5">
        <v>45257</v>
      </c>
      <c r="U76" s="30" t="str">
        <f t="shared" si="19"/>
        <v>PAGADO</v>
      </c>
    </row>
    <row r="77" spans="1:21" x14ac:dyDescent="0.25">
      <c r="A77" s="4" t="str">
        <f t="shared" si="20"/>
        <v>202311</v>
      </c>
      <c r="B77" s="4" t="s">
        <v>24</v>
      </c>
      <c r="C77" s="4" t="s">
        <v>21</v>
      </c>
      <c r="D77" s="29" t="s">
        <v>28</v>
      </c>
      <c r="E77" s="28">
        <v>45256</v>
      </c>
      <c r="F77" s="4">
        <v>18</v>
      </c>
      <c r="G77" s="4">
        <v>18</v>
      </c>
      <c r="H77" s="6">
        <v>906099.53118095291</v>
      </c>
      <c r="I77" s="6">
        <v>372595.31835832313</v>
      </c>
      <c r="J77" s="6">
        <v>0</v>
      </c>
      <c r="K77" s="6">
        <v>0</v>
      </c>
      <c r="L77" s="6">
        <f t="shared" si="22"/>
        <v>0</v>
      </c>
      <c r="M77" s="7">
        <f t="shared" si="16"/>
        <v>1.4334688333333333E-2</v>
      </c>
      <c r="N77" s="7">
        <f t="shared" si="24"/>
        <v>1.9194460225885862E-2</v>
      </c>
      <c r="O77" s="7">
        <f t="shared" si="21"/>
        <v>0.33902180358200051</v>
      </c>
      <c r="P77" s="6">
        <f t="shared" si="23"/>
        <v>1278694.849539276</v>
      </c>
      <c r="Q77" s="6">
        <v>18505507.462374248</v>
      </c>
      <c r="R77" s="4" t="str">
        <f t="shared" ca="1" si="17"/>
        <v>OK</v>
      </c>
      <c r="S77" s="6">
        <v>1251000</v>
      </c>
      <c r="T77" s="5">
        <v>45286</v>
      </c>
      <c r="U77" s="30" t="str">
        <f t="shared" si="19"/>
        <v>PAGADO</v>
      </c>
    </row>
    <row r="78" spans="1:21" x14ac:dyDescent="0.25">
      <c r="A78" s="4" t="str">
        <f t="shared" si="20"/>
        <v>202312</v>
      </c>
      <c r="B78" s="4" t="s">
        <v>24</v>
      </c>
      <c r="C78" s="4" t="s">
        <v>21</v>
      </c>
      <c r="D78" s="29" t="s">
        <v>28</v>
      </c>
      <c r="E78" s="28">
        <v>45286</v>
      </c>
      <c r="F78" s="4">
        <v>19</v>
      </c>
      <c r="G78" s="4">
        <v>17</v>
      </c>
      <c r="H78" s="6">
        <v>919037.41302114213</v>
      </c>
      <c r="I78" s="6">
        <v>355041.10841454822</v>
      </c>
      <c r="J78" s="6">
        <v>0</v>
      </c>
      <c r="K78" s="6">
        <v>0</v>
      </c>
      <c r="L78" s="6">
        <f t="shared" si="22"/>
        <v>27694.84953927598</v>
      </c>
      <c r="M78" s="7">
        <f t="shared" si="16"/>
        <v>1.4334688333333333E-2</v>
      </c>
      <c r="N78" s="7">
        <f t="shared" si="24"/>
        <v>1.918569967002659E-2</v>
      </c>
      <c r="O78" s="7">
        <f t="shared" si="21"/>
        <v>0.33841065978483131</v>
      </c>
      <c r="P78" s="6">
        <f t="shared" si="23"/>
        <v>1301773.3709749663</v>
      </c>
      <c r="Q78" s="6">
        <v>17586470.049353104</v>
      </c>
      <c r="R78" s="4" t="str">
        <f t="shared" ca="1" si="17"/>
        <v>OK</v>
      </c>
      <c r="S78" s="6">
        <v>1219399.19</v>
      </c>
      <c r="T78" s="5">
        <v>45316</v>
      </c>
      <c r="U78" s="30" t="str">
        <f t="shared" si="19"/>
        <v>PAGADO</v>
      </c>
    </row>
    <row r="79" spans="1:21" x14ac:dyDescent="0.25">
      <c r="A79" s="4" t="str">
        <f t="shared" si="20"/>
        <v>20241</v>
      </c>
      <c r="B79" s="4" t="s">
        <v>24</v>
      </c>
      <c r="C79" s="4" t="s">
        <v>21</v>
      </c>
      <c r="D79" s="29" t="s">
        <v>28</v>
      </c>
      <c r="E79" s="28">
        <v>45317</v>
      </c>
      <c r="F79" s="4">
        <v>20</v>
      </c>
      <c r="G79" s="4">
        <v>16</v>
      </c>
      <c r="H79" s="6">
        <v>917026.04</v>
      </c>
      <c r="I79" s="6">
        <v>331045</v>
      </c>
      <c r="J79" s="6">
        <v>0</v>
      </c>
      <c r="K79" s="6">
        <v>0</v>
      </c>
      <c r="L79" s="6">
        <f t="shared" si="22"/>
        <v>82374.180974966381</v>
      </c>
      <c r="M79" s="7">
        <f t="shared" si="16"/>
        <v>1.4334688333333333E-2</v>
      </c>
      <c r="N79" s="7">
        <f t="shared" si="24"/>
        <v>1.8823845778657387E-2</v>
      </c>
      <c r="O79" s="7">
        <f t="shared" si="21"/>
        <v>0.31316742582293466</v>
      </c>
      <c r="P79" s="6">
        <f t="shared" si="23"/>
        <v>1330445.2209749664</v>
      </c>
      <c r="Q79" s="6">
        <v>16654351.137054166</v>
      </c>
      <c r="R79" s="4" t="str">
        <f t="shared" ca="1" si="17"/>
        <v>OK</v>
      </c>
      <c r="S79" s="6">
        <v>1271634.25</v>
      </c>
      <c r="T79" s="5">
        <v>45346</v>
      </c>
      <c r="U79" s="30" t="str">
        <f t="shared" si="19"/>
        <v>PAGADO</v>
      </c>
    </row>
    <row r="80" spans="1:21" x14ac:dyDescent="0.25">
      <c r="A80" s="4" t="str">
        <f t="shared" si="20"/>
        <v>20242</v>
      </c>
      <c r="B80" s="4" t="s">
        <v>24</v>
      </c>
      <c r="C80" s="4" t="s">
        <v>21</v>
      </c>
      <c r="D80" s="29" t="s">
        <v>28</v>
      </c>
      <c r="E80" s="28">
        <v>45348</v>
      </c>
      <c r="F80" s="4">
        <v>21</v>
      </c>
      <c r="G80" s="4">
        <v>15</v>
      </c>
      <c r="H80" s="6">
        <v>939268.05</v>
      </c>
      <c r="I80" s="6">
        <v>301315.96999999997</v>
      </c>
      <c r="J80" s="6">
        <v>0</v>
      </c>
      <c r="K80" s="6">
        <v>0</v>
      </c>
      <c r="L80" s="6">
        <f t="shared" si="22"/>
        <v>58810.970974966418</v>
      </c>
      <c r="M80" s="7">
        <f t="shared" si="16"/>
        <v>1.4334688333333333E-2</v>
      </c>
      <c r="N80" s="7">
        <f t="shared" ref="N80:N95" si="25">AVERAGE(N76:N79)</f>
        <v>1.9100832035814315E-2</v>
      </c>
      <c r="O80" s="7">
        <f t="shared" si="21"/>
        <v>0.33249022173701359</v>
      </c>
      <c r="P80" s="6">
        <f t="shared" si="23"/>
        <v>1299394.9909749664</v>
      </c>
      <c r="Q80" s="6">
        <v>15708969.503518147</v>
      </c>
      <c r="R80" s="4" t="str">
        <f t="shared" ca="1" si="17"/>
        <v>OK</v>
      </c>
      <c r="S80" s="6">
        <v>1265000</v>
      </c>
      <c r="T80" s="5">
        <v>45378</v>
      </c>
      <c r="U80" s="30" t="str">
        <f t="shared" si="19"/>
        <v>PAGADO</v>
      </c>
    </row>
    <row r="81" spans="1:21" x14ac:dyDescent="0.25">
      <c r="A81" s="4" t="str">
        <f t="shared" si="20"/>
        <v>20243</v>
      </c>
      <c r="B81" s="4" t="s">
        <v>24</v>
      </c>
      <c r="C81" s="4" t="s">
        <v>21</v>
      </c>
      <c r="D81" s="29" t="s">
        <v>28</v>
      </c>
      <c r="E81" s="28">
        <v>45377</v>
      </c>
      <c r="F81" s="4">
        <v>22</v>
      </c>
      <c r="G81" s="4">
        <v>14</v>
      </c>
      <c r="H81" s="6">
        <v>958873.71072897897</v>
      </c>
      <c r="I81" s="6">
        <f t="shared" ref="I81:I95" si="26">Q80*N81</f>
        <v>299667.59214083152</v>
      </c>
      <c r="J81" s="6">
        <v>0</v>
      </c>
      <c r="K81" s="6">
        <v>0</v>
      </c>
      <c r="L81" s="6">
        <f t="shared" si="22"/>
        <v>34394.990974966437</v>
      </c>
      <c r="M81" s="7">
        <f t="shared" si="16"/>
        <v>1.4334688333333333E-2</v>
      </c>
      <c r="N81" s="7">
        <f t="shared" si="25"/>
        <v>1.9076209427596039E-2</v>
      </c>
      <c r="O81" s="7">
        <f t="shared" si="21"/>
        <v>0.33077252773169508</v>
      </c>
      <c r="P81" s="6">
        <f t="shared" si="23"/>
        <v>1292936.2938447769</v>
      </c>
      <c r="Q81" s="6">
        <v>14750095.792789169</v>
      </c>
      <c r="R81" s="4" t="str">
        <f t="shared" ca="1" si="17"/>
        <v>OK</v>
      </c>
      <c r="S81" s="6">
        <v>1257801.43</v>
      </c>
      <c r="T81" s="5">
        <v>45407</v>
      </c>
      <c r="U81" s="30" t="str">
        <f t="shared" si="19"/>
        <v>PAGADO</v>
      </c>
    </row>
    <row r="82" spans="1:21" x14ac:dyDescent="0.25">
      <c r="A82" s="4" t="str">
        <f t="shared" si="20"/>
        <v>20244</v>
      </c>
      <c r="B82" s="4" t="s">
        <v>24</v>
      </c>
      <c r="C82" s="4" t="s">
        <v>21</v>
      </c>
      <c r="D82" s="29" t="s">
        <v>28</v>
      </c>
      <c r="E82" s="28">
        <v>45408</v>
      </c>
      <c r="F82" s="4">
        <v>23</v>
      </c>
      <c r="G82" s="4">
        <v>13</v>
      </c>
      <c r="H82" s="6">
        <v>972540.89704658603</v>
      </c>
      <c r="I82" s="6">
        <f t="shared" si="26"/>
        <v>280939.86376976222</v>
      </c>
      <c r="J82" s="6">
        <v>0</v>
      </c>
      <c r="K82" s="6">
        <v>0</v>
      </c>
      <c r="L82" s="6">
        <f t="shared" si="22"/>
        <v>35134.863844776992</v>
      </c>
      <c r="M82" s="7">
        <f t="shared" si="16"/>
        <v>1.4334688333333333E-2</v>
      </c>
      <c r="N82" s="7">
        <f t="shared" si="25"/>
        <v>1.9046646728023583E-2</v>
      </c>
      <c r="O82" s="7">
        <f t="shared" si="21"/>
        <v>0.32871020876911872</v>
      </c>
      <c r="P82" s="6">
        <f t="shared" si="23"/>
        <v>1288615.6246611252</v>
      </c>
      <c r="Q82" s="6">
        <v>13777554.895742582</v>
      </c>
      <c r="R82" s="4" t="str">
        <f t="shared" ca="1" si="17"/>
        <v>OK</v>
      </c>
      <c r="S82" s="6">
        <v>1400000</v>
      </c>
      <c r="T82" s="5">
        <v>45439</v>
      </c>
      <c r="U82" s="30" t="str">
        <f t="shared" si="19"/>
        <v>PAGADO</v>
      </c>
    </row>
    <row r="83" spans="1:21" x14ac:dyDescent="0.25">
      <c r="A83" s="4" t="str">
        <f t="shared" si="20"/>
        <v>20245</v>
      </c>
      <c r="B83" s="4" t="s">
        <v>24</v>
      </c>
      <c r="C83" s="4" t="s">
        <v>21</v>
      </c>
      <c r="D83" s="29" t="s">
        <v>28</v>
      </c>
      <c r="E83" s="28">
        <v>45438</v>
      </c>
      <c r="F83" s="4">
        <v>24</v>
      </c>
      <c r="G83" s="4">
        <v>12</v>
      </c>
      <c r="H83" s="6">
        <v>986396.67250406998</v>
      </c>
      <c r="I83" s="6">
        <f t="shared" si="26"/>
        <v>261937.26848969553</v>
      </c>
      <c r="J83" s="6">
        <v>0</v>
      </c>
      <c r="K83" s="6">
        <v>0</v>
      </c>
      <c r="L83" s="6">
        <f t="shared" si="22"/>
        <v>0</v>
      </c>
      <c r="M83" s="7">
        <f t="shared" si="16"/>
        <v>1.4334688333333333E-2</v>
      </c>
      <c r="N83" s="7">
        <f t="shared" si="25"/>
        <v>1.9011883492522832E-2</v>
      </c>
      <c r="O83" s="7">
        <f t="shared" si="21"/>
        <v>0.32628509601519062</v>
      </c>
      <c r="P83" s="6">
        <f t="shared" si="23"/>
        <v>1248333.9409937656</v>
      </c>
      <c r="Q83" s="6">
        <v>12791158.223238513</v>
      </c>
      <c r="R83" s="4" t="str">
        <f t="shared" ca="1" si="17"/>
        <v>OK</v>
      </c>
      <c r="S83" s="6">
        <v>1106711</v>
      </c>
      <c r="T83" s="5">
        <v>45456</v>
      </c>
      <c r="U83" s="30" t="str">
        <f t="shared" si="19"/>
        <v>PAGADO</v>
      </c>
    </row>
    <row r="84" spans="1:21" x14ac:dyDescent="0.25">
      <c r="A84" s="4" t="str">
        <f t="shared" si="20"/>
        <v>20246</v>
      </c>
      <c r="B84" s="4" t="s">
        <v>24</v>
      </c>
      <c r="C84" s="4" t="s">
        <v>21</v>
      </c>
      <c r="D84" s="29" t="s">
        <v>28</v>
      </c>
      <c r="E84" s="28">
        <v>45469</v>
      </c>
      <c r="F84" s="4">
        <v>25</v>
      </c>
      <c r="G84" s="4">
        <v>11</v>
      </c>
      <c r="H84" s="6">
        <v>1000453.1287373255</v>
      </c>
      <c r="I84" s="6">
        <f t="shared" si="26"/>
        <v>243785.31491213318</v>
      </c>
      <c r="J84" s="6">
        <v>0</v>
      </c>
      <c r="K84" s="6">
        <v>0</v>
      </c>
      <c r="L84" s="6">
        <f t="shared" si="22"/>
        <v>141622.9409937656</v>
      </c>
      <c r="M84" s="7">
        <f t="shared" si="16"/>
        <v>1.4334688333333333E-2</v>
      </c>
      <c r="N84" s="7">
        <f t="shared" si="25"/>
        <v>1.9058892920989192E-2</v>
      </c>
      <c r="O84" s="7">
        <f t="shared" si="21"/>
        <v>0.32956451356325456</v>
      </c>
      <c r="P84" s="6">
        <f t="shared" si="23"/>
        <v>1385861.3846432243</v>
      </c>
      <c r="Q84" s="6">
        <v>11790705.094501188</v>
      </c>
      <c r="R84" s="4" t="str">
        <f t="shared" ca="1" si="17"/>
        <v>OK</v>
      </c>
      <c r="S84" s="6">
        <v>1233974.8600000001</v>
      </c>
      <c r="T84" s="5">
        <v>45471</v>
      </c>
      <c r="U84" s="30" t="str">
        <f t="shared" si="19"/>
        <v>PAGADO</v>
      </c>
    </row>
    <row r="85" spans="1:21" x14ac:dyDescent="0.25">
      <c r="A85" s="4" t="str">
        <f t="shared" si="20"/>
        <v>20247</v>
      </c>
      <c r="B85" s="4" t="s">
        <v>24</v>
      </c>
      <c r="C85" s="4" t="s">
        <v>21</v>
      </c>
      <c r="D85" s="29" t="s">
        <v>28</v>
      </c>
      <c r="E85" s="28">
        <v>45499</v>
      </c>
      <c r="F85" s="4">
        <v>26</v>
      </c>
      <c r="G85" s="4">
        <v>10</v>
      </c>
      <c r="H85" s="6">
        <v>1014714.932224308</v>
      </c>
      <c r="I85" s="6">
        <f t="shared" si="26"/>
        <v>224594.16292535307</v>
      </c>
      <c r="J85" s="6">
        <v>0</v>
      </c>
      <c r="K85" s="6">
        <v>0</v>
      </c>
      <c r="L85" s="6">
        <f t="shared" si="22"/>
        <v>151886.5246432242</v>
      </c>
      <c r="M85" s="7">
        <f t="shared" si="16"/>
        <v>1.4334688333333333E-2</v>
      </c>
      <c r="N85" s="7">
        <f t="shared" si="25"/>
        <v>1.9048408142282914E-2</v>
      </c>
      <c r="O85" s="7">
        <f t="shared" si="21"/>
        <v>0.3288330865198148</v>
      </c>
      <c r="P85" s="6">
        <f t="shared" si="23"/>
        <v>1391195.6197928854</v>
      </c>
      <c r="Q85" s="6">
        <v>10775990.162276881</v>
      </c>
      <c r="R85" s="4" t="str">
        <f t="shared" ca="1" si="17"/>
        <v>OK</v>
      </c>
      <c r="S85" s="6">
        <v>1916707.6</v>
      </c>
      <c r="T85" s="5">
        <v>45514</v>
      </c>
      <c r="U85" s="30" t="str">
        <f t="shared" si="19"/>
        <v>PAGADO</v>
      </c>
    </row>
    <row r="86" spans="1:21" x14ac:dyDescent="0.25">
      <c r="A86" s="4" t="str">
        <f t="shared" si="20"/>
        <v>20248</v>
      </c>
      <c r="B86" s="4" t="s">
        <v>24</v>
      </c>
      <c r="C86" s="4" t="s">
        <v>21</v>
      </c>
      <c r="D86" s="29" t="s">
        <v>28</v>
      </c>
      <c r="E86" s="28">
        <v>45530</v>
      </c>
      <c r="F86" s="4">
        <v>27</v>
      </c>
      <c r="G86" s="4">
        <v>9</v>
      </c>
      <c r="H86" s="6">
        <v>1029176.1437887509</v>
      </c>
      <c r="I86" s="6">
        <f t="shared" si="26"/>
        <v>205190.56215401724</v>
      </c>
      <c r="J86" s="6">
        <v>0</v>
      </c>
      <c r="K86" s="6">
        <v>0</v>
      </c>
      <c r="L86" s="6">
        <f t="shared" si="22"/>
        <v>0</v>
      </c>
      <c r="M86" s="7">
        <f t="shared" si="16"/>
        <v>1.4334688333333333E-2</v>
      </c>
      <c r="N86" s="7">
        <f t="shared" si="25"/>
        <v>1.9041457820954628E-2</v>
      </c>
      <c r="O86" s="7">
        <f t="shared" si="21"/>
        <v>0.32834822621684445</v>
      </c>
      <c r="P86" s="6">
        <f t="shared" si="23"/>
        <v>1234366.7059427681</v>
      </c>
      <c r="Q86" s="6">
        <v>9746814.0184881296</v>
      </c>
      <c r="R86" s="4">
        <f t="shared" ca="1" si="17"/>
        <v>8</v>
      </c>
      <c r="S86" s="6"/>
      <c r="T86" s="5"/>
      <c r="U86" s="30" t="str">
        <f t="shared" si="19"/>
        <v>PENDIENTE</v>
      </c>
    </row>
    <row r="87" spans="1:21" x14ac:dyDescent="0.25">
      <c r="A87" s="4" t="str">
        <f t="shared" si="20"/>
        <v>20249</v>
      </c>
      <c r="B87" s="4" t="s">
        <v>24</v>
      </c>
      <c r="C87" s="4" t="s">
        <v>21</v>
      </c>
      <c r="D87" s="29" t="s">
        <v>28</v>
      </c>
      <c r="E87" s="28">
        <v>45561</v>
      </c>
      <c r="F87" s="4">
        <v>28</v>
      </c>
      <c r="G87" s="4">
        <v>8</v>
      </c>
      <c r="H87" s="6">
        <v>1043843.0482153675</v>
      </c>
      <c r="I87" s="6">
        <f t="shared" si="26"/>
        <v>185580.90419369098</v>
      </c>
      <c r="J87" s="6">
        <v>0</v>
      </c>
      <c r="K87" s="6">
        <v>0</v>
      </c>
      <c r="L87" s="6">
        <f t="shared" si="22"/>
        <v>0</v>
      </c>
      <c r="M87" s="7">
        <f t="shared" si="16"/>
        <v>1.4334688333333333E-2</v>
      </c>
      <c r="N87" s="7">
        <f t="shared" si="25"/>
        <v>1.9040160594187394E-2</v>
      </c>
      <c r="O87" s="7">
        <f t="shared" si="21"/>
        <v>0.32825773057877639</v>
      </c>
      <c r="P87" s="6">
        <f t="shared" si="23"/>
        <v>1229423.9524090583</v>
      </c>
      <c r="Q87" s="6">
        <v>8702970.9702727627</v>
      </c>
      <c r="R87" s="4">
        <f t="shared" ca="1" si="17"/>
        <v>8</v>
      </c>
      <c r="S87" s="6"/>
      <c r="T87" s="5"/>
      <c r="U87" s="30" t="str">
        <f t="shared" si="19"/>
        <v>PENDIENTE</v>
      </c>
    </row>
    <row r="88" spans="1:21" x14ac:dyDescent="0.25">
      <c r="A88" s="4" t="str">
        <f t="shared" si="20"/>
        <v>202410</v>
      </c>
      <c r="B88" s="4" t="s">
        <v>24</v>
      </c>
      <c r="C88" s="4" t="s">
        <v>21</v>
      </c>
      <c r="D88" s="29" t="s">
        <v>28</v>
      </c>
      <c r="E88" s="28">
        <v>45591</v>
      </c>
      <c r="F88" s="4">
        <v>29</v>
      </c>
      <c r="G88" s="4">
        <v>7</v>
      </c>
      <c r="H88" s="6">
        <v>1058719.9645632715</v>
      </c>
      <c r="I88" s="6">
        <f t="shared" si="26"/>
        <v>165767.48861927181</v>
      </c>
      <c r="J88" s="6">
        <v>0</v>
      </c>
      <c r="K88" s="6">
        <v>0</v>
      </c>
      <c r="L88" s="6">
        <f t="shared" si="22"/>
        <v>0</v>
      </c>
      <c r="M88" s="7">
        <f t="shared" si="16"/>
        <v>1.4334688333333333E-2</v>
      </c>
      <c r="N88" s="7">
        <f t="shared" si="25"/>
        <v>1.9047229869603534E-2</v>
      </c>
      <c r="O88" s="7">
        <f t="shared" si="21"/>
        <v>0.32875088921967266</v>
      </c>
      <c r="P88" s="6">
        <f t="shared" si="23"/>
        <v>1224487.4531825434</v>
      </c>
      <c r="Q88" s="6">
        <v>7644251.0057094917</v>
      </c>
      <c r="R88" s="4">
        <f t="shared" ca="1" si="17"/>
        <v>-23</v>
      </c>
      <c r="S88" s="6"/>
      <c r="T88" s="5"/>
      <c r="U88" s="30" t="str">
        <f t="shared" si="19"/>
        <v>PENDIENTE</v>
      </c>
    </row>
    <row r="89" spans="1:21" x14ac:dyDescent="0.25">
      <c r="A89" s="4" t="str">
        <f t="shared" si="20"/>
        <v>202411</v>
      </c>
      <c r="B89" s="4" t="s">
        <v>24</v>
      </c>
      <c r="C89" s="4" t="s">
        <v>21</v>
      </c>
      <c r="D89" s="29" t="s">
        <v>28</v>
      </c>
      <c r="E89" s="28">
        <v>45622</v>
      </c>
      <c r="F89" s="4">
        <v>30</v>
      </c>
      <c r="G89" s="4">
        <v>6</v>
      </c>
      <c r="H89" s="6">
        <v>1073809.333984399</v>
      </c>
      <c r="I89" s="6">
        <f t="shared" si="26"/>
        <v>145579.51726362554</v>
      </c>
      <c r="J89" s="6">
        <v>0</v>
      </c>
      <c r="K89" s="6">
        <v>0</v>
      </c>
      <c r="L89" s="6">
        <f t="shared" si="22"/>
        <v>0</v>
      </c>
      <c r="M89" s="7">
        <f t="shared" si="16"/>
        <v>1.4334688333333333E-2</v>
      </c>
      <c r="N89" s="7">
        <f t="shared" si="25"/>
        <v>1.9044314106757117E-2</v>
      </c>
      <c r="O89" s="7">
        <f t="shared" si="21"/>
        <v>0.32854748313377713</v>
      </c>
      <c r="P89" s="6">
        <f t="shared" si="23"/>
        <v>1219388.8512480245</v>
      </c>
      <c r="Q89" s="6">
        <v>6570441.6717250925</v>
      </c>
      <c r="R89" s="4">
        <f t="shared" ca="1" si="17"/>
        <v>-53</v>
      </c>
      <c r="S89" s="6"/>
      <c r="T89" s="5"/>
      <c r="U89" s="30" t="str">
        <f t="shared" si="19"/>
        <v>PENDIENTE</v>
      </c>
    </row>
    <row r="90" spans="1:21" x14ac:dyDescent="0.25">
      <c r="A90" s="4" t="str">
        <f t="shared" si="20"/>
        <v>202412</v>
      </c>
      <c r="B90" s="4" t="s">
        <v>24</v>
      </c>
      <c r="C90" s="4" t="s">
        <v>21</v>
      </c>
      <c r="D90" s="29" t="s">
        <v>28</v>
      </c>
      <c r="E90" s="28">
        <v>45652</v>
      </c>
      <c r="F90" s="4">
        <v>31</v>
      </c>
      <c r="G90" s="4">
        <v>5</v>
      </c>
      <c r="H90" s="6">
        <v>1089113.0510275713</v>
      </c>
      <c r="I90" s="6">
        <f t="shared" si="26"/>
        <v>125122.83011105296</v>
      </c>
      <c r="J90" s="6">
        <v>0</v>
      </c>
      <c r="K90" s="6">
        <v>0</v>
      </c>
      <c r="L90" s="6">
        <f t="shared" si="22"/>
        <v>0</v>
      </c>
      <c r="M90" s="7">
        <f t="shared" si="16"/>
        <v>1.4334688333333333E-2</v>
      </c>
      <c r="N90" s="7">
        <f t="shared" si="25"/>
        <v>1.904329059787567E-2</v>
      </c>
      <c r="O90" s="7">
        <f t="shared" si="21"/>
        <v>0.32847608228726766</v>
      </c>
      <c r="P90" s="6">
        <f t="shared" si="23"/>
        <v>1214235.8811386242</v>
      </c>
      <c r="Q90" s="6">
        <v>5481328.6206975207</v>
      </c>
      <c r="R90" s="4">
        <f t="shared" ca="1" si="17"/>
        <v>-84</v>
      </c>
      <c r="S90" s="6"/>
      <c r="T90" s="5"/>
      <c r="U90" s="30" t="str">
        <f t="shared" si="19"/>
        <v>PENDIENTE</v>
      </c>
    </row>
    <row r="91" spans="1:21" x14ac:dyDescent="0.25">
      <c r="A91" s="4" t="str">
        <f t="shared" si="20"/>
        <v>20251</v>
      </c>
      <c r="B91" s="4" t="s">
        <v>24</v>
      </c>
      <c r="C91" s="4" t="s">
        <v>21</v>
      </c>
      <c r="D91" s="29" t="s">
        <v>28</v>
      </c>
      <c r="E91" s="28">
        <v>45683</v>
      </c>
      <c r="F91" s="4">
        <v>32</v>
      </c>
      <c r="G91" s="4">
        <v>4</v>
      </c>
      <c r="H91" s="6">
        <v>1104634.9469692395</v>
      </c>
      <c r="I91" s="6">
        <f t="shared" si="26"/>
        <v>104385.04529954407</v>
      </c>
      <c r="J91" s="6">
        <v>0</v>
      </c>
      <c r="K91" s="6">
        <v>0</v>
      </c>
      <c r="L91" s="6">
        <f t="shared" si="22"/>
        <v>0</v>
      </c>
      <c r="M91" s="7">
        <f t="shared" si="16"/>
        <v>1.4334688333333333E-2</v>
      </c>
      <c r="N91" s="7">
        <f t="shared" si="25"/>
        <v>1.9043748792105929E-2</v>
      </c>
      <c r="O91" s="7">
        <f t="shared" si="21"/>
        <v>0.32850804630487351</v>
      </c>
      <c r="P91" s="6">
        <f t="shared" si="23"/>
        <v>1209019.9922687835</v>
      </c>
      <c r="Q91" s="6">
        <v>4376693.6737282816</v>
      </c>
      <c r="R91" s="4">
        <f t="shared" ca="1" si="17"/>
        <v>-114</v>
      </c>
      <c r="S91" s="6"/>
      <c r="T91" s="5"/>
      <c r="U91" s="30" t="str">
        <f t="shared" si="19"/>
        <v>PENDIENTE</v>
      </c>
    </row>
    <row r="92" spans="1:21" x14ac:dyDescent="0.25">
      <c r="A92" s="4" t="str">
        <f t="shared" si="20"/>
        <v>20252</v>
      </c>
      <c r="B92" s="4" t="s">
        <v>24</v>
      </c>
      <c r="C92" s="4" t="s">
        <v>21</v>
      </c>
      <c r="D92" s="29" t="s">
        <v>28</v>
      </c>
      <c r="E92" s="28">
        <v>45714</v>
      </c>
      <c r="F92" s="4">
        <v>33</v>
      </c>
      <c r="G92" s="4">
        <v>3</v>
      </c>
      <c r="H92" s="6">
        <v>1120378.2533466527</v>
      </c>
      <c r="I92" s="6">
        <f t="shared" si="26"/>
        <v>83352.580973263161</v>
      </c>
      <c r="J92" s="6">
        <v>0</v>
      </c>
      <c r="K92" s="6">
        <v>0</v>
      </c>
      <c r="L92" s="6">
        <f t="shared" si="22"/>
        <v>0</v>
      </c>
      <c r="M92" s="7">
        <f t="shared" si="16"/>
        <v>1.4334688333333333E-2</v>
      </c>
      <c r="N92" s="7">
        <f t="shared" si="25"/>
        <v>1.9044645841585564E-2</v>
      </c>
      <c r="O92" s="7">
        <f t="shared" si="21"/>
        <v>0.3285706252363978</v>
      </c>
      <c r="P92" s="6">
        <f t="shared" si="23"/>
        <v>1203730.8343199159</v>
      </c>
      <c r="Q92" s="6">
        <v>3256315.4203816289</v>
      </c>
      <c r="R92" s="4">
        <f t="shared" ca="1" si="17"/>
        <v>-145</v>
      </c>
      <c r="S92" s="6"/>
      <c r="T92" s="5"/>
      <c r="U92" s="30" t="str">
        <f t="shared" si="19"/>
        <v>PENDIENTE</v>
      </c>
    </row>
    <row r="93" spans="1:21" x14ac:dyDescent="0.25">
      <c r="A93" s="4" t="str">
        <f t="shared" si="20"/>
        <v>20253</v>
      </c>
      <c r="B93" s="4" t="s">
        <v>24</v>
      </c>
      <c r="C93" s="4" t="s">
        <v>21</v>
      </c>
      <c r="D93" s="29" t="s">
        <v>28</v>
      </c>
      <c r="E93" s="28">
        <v>45742</v>
      </c>
      <c r="F93" s="4">
        <v>34</v>
      </c>
      <c r="G93" s="4">
        <v>2</v>
      </c>
      <c r="H93" s="6">
        <v>1136345.9301713752</v>
      </c>
      <c r="I93" s="6">
        <f t="shared" si="26"/>
        <v>62013.27032709153</v>
      </c>
      <c r="J93" s="6">
        <v>0</v>
      </c>
      <c r="K93" s="6">
        <v>0</v>
      </c>
      <c r="L93" s="6">
        <f t="shared" si="22"/>
        <v>0</v>
      </c>
      <c r="M93" s="7">
        <f t="shared" si="16"/>
        <v>1.4334688333333333E-2</v>
      </c>
      <c r="N93" s="7">
        <f t="shared" si="25"/>
        <v>1.904399983458107E-2</v>
      </c>
      <c r="O93" s="7">
        <f t="shared" si="21"/>
        <v>0.32852555924057891</v>
      </c>
      <c r="P93" s="6">
        <f t="shared" si="23"/>
        <v>1198359.2004984666</v>
      </c>
      <c r="Q93" s="6">
        <v>2119969.4902102537</v>
      </c>
      <c r="R93" s="4">
        <f t="shared" ca="1" si="17"/>
        <v>-176</v>
      </c>
      <c r="S93" s="6"/>
      <c r="T93" s="5"/>
      <c r="U93" s="30" t="str">
        <f t="shared" si="19"/>
        <v>PENDIENTE</v>
      </c>
    </row>
    <row r="94" spans="1:21" x14ac:dyDescent="0.25">
      <c r="A94" s="4" t="str">
        <f t="shared" si="20"/>
        <v>20254</v>
      </c>
      <c r="B94" s="4" t="s">
        <v>24</v>
      </c>
      <c r="C94" s="4" t="s">
        <v>21</v>
      </c>
      <c r="D94" s="29" t="s">
        <v>28</v>
      </c>
      <c r="E94" s="28">
        <v>45773</v>
      </c>
      <c r="F94" s="4">
        <v>35</v>
      </c>
      <c r="G94" s="4">
        <v>1</v>
      </c>
      <c r="H94" s="6">
        <v>1152541.0662324603</v>
      </c>
      <c r="I94" s="6">
        <f t="shared" si="26"/>
        <v>40372.532059024779</v>
      </c>
      <c r="J94" s="6">
        <v>0</v>
      </c>
      <c r="K94" s="6">
        <v>0</v>
      </c>
      <c r="L94" s="6">
        <f t="shared" si="22"/>
        <v>0</v>
      </c>
      <c r="M94" s="7">
        <f t="shared" si="16"/>
        <v>1.4334688333333333E-2</v>
      </c>
      <c r="N94" s="7">
        <f t="shared" si="25"/>
        <v>1.9043921266537058E-2</v>
      </c>
      <c r="O94" s="7">
        <f t="shared" si="21"/>
        <v>0.32852007826727947</v>
      </c>
      <c r="P94" s="6">
        <f t="shared" si="23"/>
        <v>1192913.5982914851</v>
      </c>
      <c r="Q94" s="6">
        <v>967428.42397779343</v>
      </c>
      <c r="R94" s="4">
        <f t="shared" ca="1" si="17"/>
        <v>-204</v>
      </c>
      <c r="S94" s="6"/>
      <c r="T94" s="5"/>
      <c r="U94" s="30" t="str">
        <f t="shared" si="19"/>
        <v>PENDIENTE</v>
      </c>
    </row>
    <row r="95" spans="1:21" x14ac:dyDescent="0.25">
      <c r="A95" s="4" t="str">
        <f t="shared" si="20"/>
        <v>20255</v>
      </c>
      <c r="B95" s="4" t="s">
        <v>24</v>
      </c>
      <c r="C95" s="4" t="s">
        <v>21</v>
      </c>
      <c r="D95" s="29" t="s">
        <v>28</v>
      </c>
      <c r="E95" s="28">
        <v>45803</v>
      </c>
      <c r="F95" s="4">
        <v>36</v>
      </c>
      <c r="G95" s="4">
        <v>0</v>
      </c>
      <c r="H95" s="6">
        <v>880996.56</v>
      </c>
      <c r="I95" s="6">
        <f t="shared" si="26"/>
        <v>18423.783268940417</v>
      </c>
      <c r="J95" s="6">
        <v>0</v>
      </c>
      <c r="K95" s="6">
        <v>0</v>
      </c>
      <c r="L95" s="6">
        <f t="shared" si="22"/>
        <v>0</v>
      </c>
      <c r="M95" s="7">
        <f t="shared" si="16"/>
        <v>1.4334688333333333E-2</v>
      </c>
      <c r="N95" s="7">
        <f t="shared" si="25"/>
        <v>1.9044078933702406E-2</v>
      </c>
      <c r="O95" s="7">
        <f t="shared" si="21"/>
        <v>0.32853107726228248</v>
      </c>
      <c r="P95" s="6">
        <f t="shared" si="23"/>
        <v>899420.34326894046</v>
      </c>
      <c r="Q95" s="6">
        <v>86431.863977793371</v>
      </c>
      <c r="R95" s="4">
        <f t="shared" ca="1" si="17"/>
        <v>-235</v>
      </c>
      <c r="S95" s="6"/>
      <c r="T95" s="5"/>
      <c r="U95" s="30" t="str">
        <f t="shared" si="19"/>
        <v>PENDIENTE</v>
      </c>
    </row>
    <row r="96" spans="1:21" x14ac:dyDescent="0.25">
      <c r="A96" s="4" t="str">
        <f t="shared" si="20"/>
        <v>20226</v>
      </c>
      <c r="B96" s="4" t="s">
        <v>24</v>
      </c>
      <c r="C96" s="4" t="s">
        <v>25</v>
      </c>
      <c r="D96" s="29" t="s">
        <v>29</v>
      </c>
      <c r="E96" s="28">
        <v>44738</v>
      </c>
      <c r="F96" s="4">
        <v>1</v>
      </c>
      <c r="G96" s="4">
        <v>35</v>
      </c>
      <c r="H96" s="6">
        <v>351434.18</v>
      </c>
      <c r="I96" s="6">
        <v>235203.57</v>
      </c>
      <c r="J96" s="6">
        <v>0</v>
      </c>
      <c r="K96" s="6">
        <v>0</v>
      </c>
      <c r="L96" s="6">
        <f t="shared" si="22"/>
        <v>0</v>
      </c>
      <c r="M96" s="7">
        <f>0.17201626/12</f>
        <v>1.4334688333333333E-2</v>
      </c>
      <c r="N96" s="7">
        <f>I96/16408000</f>
        <v>1.4334688566552902E-2</v>
      </c>
      <c r="O96" s="7">
        <f t="shared" si="21"/>
        <v>1.6269594560469613E-8</v>
      </c>
      <c r="P96" s="6">
        <f t="shared" si="23"/>
        <v>586637.75</v>
      </c>
      <c r="Q96" s="6">
        <v>16056565.82</v>
      </c>
      <c r="R96" s="4" t="s">
        <v>27</v>
      </c>
      <c r="S96" s="6">
        <v>590000</v>
      </c>
      <c r="T96" s="5">
        <v>44742</v>
      </c>
      <c r="U96" s="30" t="str">
        <f t="shared" si="19"/>
        <v>PAGADO</v>
      </c>
    </row>
    <row r="97" spans="1:21" x14ac:dyDescent="0.25">
      <c r="A97" s="4" t="str">
        <f t="shared" si="20"/>
        <v>20227</v>
      </c>
      <c r="B97" s="4" t="s">
        <v>24</v>
      </c>
      <c r="C97" s="4" t="s">
        <v>25</v>
      </c>
      <c r="D97" s="29" t="s">
        <v>29</v>
      </c>
      <c r="E97" s="28">
        <v>44768</v>
      </c>
      <c r="F97" s="4">
        <v>2</v>
      </c>
      <c r="G97" s="4">
        <v>34</v>
      </c>
      <c r="H97" s="6">
        <v>354263.98</v>
      </c>
      <c r="I97" s="6">
        <v>233314.99</v>
      </c>
      <c r="J97" s="6">
        <v>0</v>
      </c>
      <c r="K97" s="6">
        <v>0</v>
      </c>
      <c r="L97" s="6">
        <f t="shared" si="22"/>
        <v>0</v>
      </c>
      <c r="M97" s="7">
        <f t="shared" ref="M97:M131" si="27">0.17201626/12</f>
        <v>1.4334688333333333E-2</v>
      </c>
      <c r="N97" s="7">
        <f>I97/Q96</f>
        <v>1.4530815157833046E-2</v>
      </c>
      <c r="O97" s="7">
        <f t="shared" si="21"/>
        <v>1.3681973401796776E-2</v>
      </c>
      <c r="P97" s="6">
        <f t="shared" si="23"/>
        <v>587578.97</v>
      </c>
      <c r="Q97" s="6">
        <f>Q96-H97</f>
        <v>15702301.84</v>
      </c>
      <c r="R97" s="4" t="str">
        <f t="shared" ref="R97:R131" ca="1" si="28">IF(T96="",TODAY()-E96,IF(T97="",TODAY()-E97,"OK"))</f>
        <v>OK</v>
      </c>
      <c r="S97" s="6">
        <v>610000</v>
      </c>
      <c r="T97" s="5">
        <v>44786</v>
      </c>
      <c r="U97" s="30" t="str">
        <f t="shared" si="19"/>
        <v>PAGADO</v>
      </c>
    </row>
    <row r="98" spans="1:21" x14ac:dyDescent="0.25">
      <c r="A98" s="4" t="str">
        <f t="shared" si="20"/>
        <v>20228</v>
      </c>
      <c r="B98" s="4" t="s">
        <v>24</v>
      </c>
      <c r="C98" s="4" t="s">
        <v>25</v>
      </c>
      <c r="D98" s="29" t="s">
        <v>29</v>
      </c>
      <c r="E98" s="28">
        <v>44799</v>
      </c>
      <c r="F98" s="4">
        <v>3</v>
      </c>
      <c r="G98" s="4">
        <v>33</v>
      </c>
      <c r="H98" s="6">
        <v>351528.74</v>
      </c>
      <c r="I98" s="6">
        <v>250266.36</v>
      </c>
      <c r="J98" s="6">
        <v>0</v>
      </c>
      <c r="K98" s="6">
        <v>0</v>
      </c>
      <c r="L98" s="6">
        <f t="shared" si="22"/>
        <v>0</v>
      </c>
      <c r="M98" s="7">
        <f t="shared" si="27"/>
        <v>1.4334688333333333E-2</v>
      </c>
      <c r="N98" s="7">
        <f t="shared" ref="N98:N131" si="29">I98/Q97</f>
        <v>1.5938195721245923E-2</v>
      </c>
      <c r="O98" s="7">
        <f t="shared" si="21"/>
        <v>0.11186203359467917</v>
      </c>
      <c r="P98" s="6">
        <f t="shared" si="23"/>
        <v>601795.1</v>
      </c>
      <c r="Q98" s="6">
        <f t="shared" ref="Q98:Q131" si="30">Q97-H98</f>
        <v>15350773.1</v>
      </c>
      <c r="R98" s="4" t="str">
        <f t="shared" ca="1" si="28"/>
        <v>OK</v>
      </c>
      <c r="S98" s="6">
        <v>586868.43999999994</v>
      </c>
      <c r="T98" s="5">
        <v>44805</v>
      </c>
      <c r="U98" s="30" t="str">
        <f t="shared" si="19"/>
        <v>PAGADO</v>
      </c>
    </row>
    <row r="99" spans="1:21" x14ac:dyDescent="0.25">
      <c r="A99" s="4" t="str">
        <f t="shared" si="20"/>
        <v>20229</v>
      </c>
      <c r="B99" s="4" t="s">
        <v>24</v>
      </c>
      <c r="C99" s="4" t="s">
        <v>25</v>
      </c>
      <c r="D99" s="29" t="s">
        <v>29</v>
      </c>
      <c r="E99" s="28">
        <v>44830</v>
      </c>
      <c r="F99" s="4">
        <v>4</v>
      </c>
      <c r="G99" s="4">
        <v>32</v>
      </c>
      <c r="H99" s="6">
        <v>352244.98</v>
      </c>
      <c r="I99" s="6">
        <v>256972.57</v>
      </c>
      <c r="J99" s="6">
        <v>0</v>
      </c>
      <c r="K99" s="6">
        <v>0</v>
      </c>
      <c r="L99" s="6">
        <f t="shared" si="22"/>
        <v>14926.660000000033</v>
      </c>
      <c r="M99" s="7">
        <f t="shared" si="27"/>
        <v>1.4334688333333333E-2</v>
      </c>
      <c r="N99" s="7">
        <f t="shared" si="29"/>
        <v>1.6740040929925544E-2</v>
      </c>
      <c r="O99" s="7">
        <f t="shared" si="21"/>
        <v>0.1677994345366336</v>
      </c>
      <c r="P99" s="6">
        <f t="shared" si="23"/>
        <v>624144.21000000008</v>
      </c>
      <c r="Q99" s="6">
        <f t="shared" si="30"/>
        <v>14998528.119999999</v>
      </c>
      <c r="R99" s="4" t="str">
        <f t="shared" ca="1" si="28"/>
        <v>OK</v>
      </c>
      <c r="S99" s="6">
        <v>613392.42000000004</v>
      </c>
      <c r="T99" s="5">
        <v>44842</v>
      </c>
      <c r="U99" s="30" t="str">
        <f t="shared" si="19"/>
        <v>PAGADO</v>
      </c>
    </row>
    <row r="100" spans="1:21" x14ac:dyDescent="0.25">
      <c r="A100" s="4" t="str">
        <f t="shared" si="20"/>
        <v>202210</v>
      </c>
      <c r="B100" s="4" t="s">
        <v>24</v>
      </c>
      <c r="C100" s="4" t="s">
        <v>25</v>
      </c>
      <c r="D100" s="29" t="s">
        <v>29</v>
      </c>
      <c r="E100" s="28">
        <v>44860</v>
      </c>
      <c r="F100" s="4">
        <v>5</v>
      </c>
      <c r="G100" s="4">
        <v>31</v>
      </c>
      <c r="H100" s="6">
        <v>356205.62</v>
      </c>
      <c r="I100" s="6">
        <v>255961.26</v>
      </c>
      <c r="J100" s="6">
        <v>0</v>
      </c>
      <c r="K100" s="6">
        <v>0</v>
      </c>
      <c r="L100" s="6">
        <f t="shared" si="22"/>
        <v>10751.790000000037</v>
      </c>
      <c r="M100" s="7">
        <f t="shared" si="27"/>
        <v>1.4334688333333333E-2</v>
      </c>
      <c r="N100" s="7">
        <f t="shared" si="29"/>
        <v>1.706575858324957E-2</v>
      </c>
      <c r="O100" s="7">
        <f t="shared" si="21"/>
        <v>0.19052177392413272</v>
      </c>
      <c r="P100" s="6">
        <f t="shared" si="23"/>
        <v>622918.67000000004</v>
      </c>
      <c r="Q100" s="6">
        <f t="shared" si="30"/>
        <v>14642322.5</v>
      </c>
      <c r="R100" s="4" t="str">
        <f t="shared" ca="1" si="28"/>
        <v>OK</v>
      </c>
      <c r="S100" s="6">
        <v>700000</v>
      </c>
      <c r="T100" s="5">
        <v>44853</v>
      </c>
      <c r="U100" s="30" t="str">
        <f t="shared" si="19"/>
        <v>PAGADO</v>
      </c>
    </row>
    <row r="101" spans="1:21" x14ac:dyDescent="0.25">
      <c r="A101" s="4" t="str">
        <f t="shared" si="20"/>
        <v>202211</v>
      </c>
      <c r="B101" s="4" t="s">
        <v>24</v>
      </c>
      <c r="C101" s="4" t="s">
        <v>25</v>
      </c>
      <c r="D101" s="29" t="s">
        <v>29</v>
      </c>
      <c r="E101" s="28">
        <v>44891</v>
      </c>
      <c r="F101" s="4">
        <v>6</v>
      </c>
      <c r="G101" s="4">
        <v>30</v>
      </c>
      <c r="H101" s="6">
        <v>362284.54</v>
      </c>
      <c r="I101" s="6">
        <v>162049.22</v>
      </c>
      <c r="J101" s="6">
        <v>0</v>
      </c>
      <c r="K101" s="6">
        <v>0</v>
      </c>
      <c r="L101" s="6">
        <f t="shared" si="22"/>
        <v>0</v>
      </c>
      <c r="M101" s="7">
        <f t="shared" si="27"/>
        <v>1.4334688333333333E-2</v>
      </c>
      <c r="N101" s="7">
        <f t="shared" si="29"/>
        <v>1.1067180087038787E-2</v>
      </c>
      <c r="O101" s="7">
        <f t="shared" si="21"/>
        <v>-0.22794414292889842</v>
      </c>
      <c r="P101" s="6">
        <f t="shared" si="23"/>
        <v>524333.76</v>
      </c>
      <c r="Q101" s="6">
        <f t="shared" si="30"/>
        <v>14280037.960000001</v>
      </c>
      <c r="R101" s="4" t="str">
        <f t="shared" ca="1" si="28"/>
        <v>OK</v>
      </c>
      <c r="S101" s="6">
        <v>525308.55000000005</v>
      </c>
      <c r="T101" s="5">
        <v>44894</v>
      </c>
      <c r="U101" s="30" t="str">
        <f t="shared" si="19"/>
        <v>PAGADO</v>
      </c>
    </row>
    <row r="102" spans="1:21" x14ac:dyDescent="0.25">
      <c r="A102" s="4" t="str">
        <f t="shared" si="20"/>
        <v>202212</v>
      </c>
      <c r="B102" s="4" t="s">
        <v>24</v>
      </c>
      <c r="C102" s="4" t="s">
        <v>25</v>
      </c>
      <c r="D102" s="29" t="s">
        <v>29</v>
      </c>
      <c r="E102" s="28">
        <v>44921</v>
      </c>
      <c r="F102" s="4">
        <v>7</v>
      </c>
      <c r="G102" s="4">
        <v>29</v>
      </c>
      <c r="H102" s="6">
        <v>361878.4</v>
      </c>
      <c r="I102" s="6">
        <v>260290.39</v>
      </c>
      <c r="J102" s="6">
        <v>0</v>
      </c>
      <c r="K102" s="6">
        <v>325.52</v>
      </c>
      <c r="L102" s="6">
        <f t="shared" si="22"/>
        <v>0</v>
      </c>
      <c r="M102" s="7">
        <f t="shared" si="27"/>
        <v>1.4334688333333333E-2</v>
      </c>
      <c r="N102" s="7">
        <f t="shared" si="29"/>
        <v>1.8227569893658743E-2</v>
      </c>
      <c r="O102" s="7">
        <f t="shared" si="21"/>
        <v>0.27157071502371299</v>
      </c>
      <c r="P102" s="6">
        <f t="shared" si="23"/>
        <v>622494.31000000006</v>
      </c>
      <c r="Q102" s="6">
        <f t="shared" si="30"/>
        <v>13918159.560000001</v>
      </c>
      <c r="R102" s="4" t="str">
        <f t="shared" ca="1" si="28"/>
        <v>OK</v>
      </c>
      <c r="S102" s="6">
        <v>622838.35</v>
      </c>
      <c r="T102" s="5">
        <v>44922</v>
      </c>
      <c r="U102" s="30" t="str">
        <f t="shared" si="19"/>
        <v>PAGADO</v>
      </c>
    </row>
    <row r="103" spans="1:21" x14ac:dyDescent="0.25">
      <c r="A103" s="4" t="str">
        <f t="shared" si="20"/>
        <v>20231</v>
      </c>
      <c r="B103" s="4" t="s">
        <v>24</v>
      </c>
      <c r="C103" s="4" t="s">
        <v>25</v>
      </c>
      <c r="D103" s="29" t="s">
        <v>29</v>
      </c>
      <c r="E103" s="28">
        <v>44952</v>
      </c>
      <c r="F103" s="4">
        <v>8</v>
      </c>
      <c r="G103" s="4">
        <v>28</v>
      </c>
      <c r="H103" s="6">
        <v>364322.5</v>
      </c>
      <c r="I103" s="6">
        <v>264205.57</v>
      </c>
      <c r="J103" s="6">
        <v>0</v>
      </c>
      <c r="K103" s="6">
        <v>0</v>
      </c>
      <c r="L103" s="6">
        <f t="shared" si="22"/>
        <v>0</v>
      </c>
      <c r="M103" s="7">
        <f t="shared" si="27"/>
        <v>1.4334688333333333E-2</v>
      </c>
      <c r="N103" s="7">
        <f t="shared" si="29"/>
        <v>1.8982795021211842E-2</v>
      </c>
      <c r="O103" s="7">
        <f t="shared" si="21"/>
        <v>0.32425585961781822</v>
      </c>
      <c r="P103" s="6">
        <f t="shared" si="23"/>
        <v>628528.07000000007</v>
      </c>
      <c r="Q103" s="6">
        <f t="shared" si="30"/>
        <v>13553837.060000001</v>
      </c>
      <c r="R103" s="4" t="str">
        <f t="shared" ca="1" si="28"/>
        <v>OK</v>
      </c>
      <c r="S103" s="6">
        <v>628528.06999999995</v>
      </c>
      <c r="T103" s="5">
        <v>44952</v>
      </c>
      <c r="U103" s="30" t="str">
        <f t="shared" si="19"/>
        <v>PAGADO</v>
      </c>
    </row>
    <row r="104" spans="1:21" x14ac:dyDescent="0.25">
      <c r="A104" s="4" t="str">
        <f t="shared" si="20"/>
        <v>20232</v>
      </c>
      <c r="B104" s="4" t="s">
        <v>24</v>
      </c>
      <c r="C104" s="4" t="s">
        <v>25</v>
      </c>
      <c r="D104" s="29" t="s">
        <v>29</v>
      </c>
      <c r="E104" s="28">
        <v>44983</v>
      </c>
      <c r="F104" s="4">
        <v>9</v>
      </c>
      <c r="G104" s="4">
        <v>27</v>
      </c>
      <c r="H104" s="6">
        <v>370585.07</v>
      </c>
      <c r="I104" s="6">
        <v>258941.79</v>
      </c>
      <c r="J104" s="6">
        <v>0</v>
      </c>
      <c r="K104" s="6">
        <v>0</v>
      </c>
      <c r="L104" s="6">
        <f t="shared" si="22"/>
        <v>1.1641532182693481E-10</v>
      </c>
      <c r="M104" s="7">
        <f t="shared" si="27"/>
        <v>1.4334688333333333E-2</v>
      </c>
      <c r="N104" s="7">
        <f t="shared" si="29"/>
        <v>1.9104685179091269E-2</v>
      </c>
      <c r="O104" s="7">
        <f t="shared" si="21"/>
        <v>0.33275902027573001</v>
      </c>
      <c r="P104" s="6">
        <f t="shared" si="23"/>
        <v>629526.8600000001</v>
      </c>
      <c r="Q104" s="6">
        <f t="shared" si="30"/>
        <v>13183251.99</v>
      </c>
      <c r="R104" s="4" t="str">
        <f t="shared" ca="1" si="28"/>
        <v>OK</v>
      </c>
      <c r="S104" s="6">
        <v>639256.81999999995</v>
      </c>
      <c r="T104" s="5">
        <v>45008</v>
      </c>
      <c r="U104" s="30" t="str">
        <f t="shared" si="19"/>
        <v>PAGADO</v>
      </c>
    </row>
    <row r="105" spans="1:21" x14ac:dyDescent="0.25">
      <c r="A105" s="4" t="str">
        <f t="shared" si="20"/>
        <v>20233</v>
      </c>
      <c r="B105" s="4" t="s">
        <v>24</v>
      </c>
      <c r="C105" s="4" t="s">
        <v>25</v>
      </c>
      <c r="D105" s="29" t="s">
        <v>29</v>
      </c>
      <c r="E105" s="28">
        <v>45011</v>
      </c>
      <c r="F105" s="4">
        <v>10</v>
      </c>
      <c r="G105" s="4">
        <v>26</v>
      </c>
      <c r="H105" s="6">
        <v>376038.87</v>
      </c>
      <c r="I105" s="6">
        <v>255958.85</v>
      </c>
      <c r="J105" s="6">
        <v>0</v>
      </c>
      <c r="K105" s="6">
        <v>0</v>
      </c>
      <c r="L105" s="6">
        <f t="shared" si="22"/>
        <v>0</v>
      </c>
      <c r="M105" s="7">
        <f t="shared" si="27"/>
        <v>1.4334688333333333E-2</v>
      </c>
      <c r="N105" s="7">
        <f t="shared" si="29"/>
        <v>1.9415456079740764E-2</v>
      </c>
      <c r="O105" s="7">
        <f t="shared" si="21"/>
        <v>0.35443866153635217</v>
      </c>
      <c r="P105" s="6">
        <f t="shared" si="23"/>
        <v>631997.72</v>
      </c>
      <c r="Q105" s="6">
        <f t="shared" si="30"/>
        <v>12807213.120000001</v>
      </c>
      <c r="R105" s="4" t="str">
        <f t="shared" ca="1" si="28"/>
        <v>OK</v>
      </c>
      <c r="S105" s="6">
        <v>639141.06999999995</v>
      </c>
      <c r="T105" s="5">
        <v>45029</v>
      </c>
      <c r="U105" s="30" t="str">
        <f t="shared" si="19"/>
        <v>PAGADO</v>
      </c>
    </row>
    <row r="106" spans="1:21" x14ac:dyDescent="0.25">
      <c r="A106" s="4" t="str">
        <f t="shared" si="20"/>
        <v>20234</v>
      </c>
      <c r="B106" s="4" t="s">
        <v>24</v>
      </c>
      <c r="C106" s="4" t="s">
        <v>25</v>
      </c>
      <c r="D106" s="29" t="s">
        <v>29</v>
      </c>
      <c r="E106" s="28">
        <v>45042</v>
      </c>
      <c r="F106" s="4">
        <v>11</v>
      </c>
      <c r="G106" s="4">
        <v>25</v>
      </c>
      <c r="H106" s="6">
        <v>387297.45</v>
      </c>
      <c r="I106" s="6">
        <v>238769.55</v>
      </c>
      <c r="J106" s="6">
        <v>0</v>
      </c>
      <c r="K106" s="6">
        <v>0</v>
      </c>
      <c r="L106" s="6">
        <f t="shared" si="22"/>
        <v>0</v>
      </c>
      <c r="M106" s="7">
        <f t="shared" si="27"/>
        <v>1.4334688333333333E-2</v>
      </c>
      <c r="N106" s="7">
        <f t="shared" si="29"/>
        <v>1.8643365091436846E-2</v>
      </c>
      <c r="O106" s="7">
        <f t="shared" si="21"/>
        <v>0.30057694021043213</v>
      </c>
      <c r="P106" s="6">
        <f t="shared" si="23"/>
        <v>626067</v>
      </c>
      <c r="Q106" s="6">
        <f t="shared" si="30"/>
        <v>12419915.670000002</v>
      </c>
      <c r="R106" s="4" t="str">
        <f t="shared" ca="1" si="28"/>
        <v>OK</v>
      </c>
      <c r="S106" s="6">
        <v>634940.06000000006</v>
      </c>
      <c r="T106" s="5">
        <v>45064</v>
      </c>
      <c r="U106" s="30" t="str">
        <f t="shared" si="19"/>
        <v>PAGADO</v>
      </c>
    </row>
    <row r="107" spans="1:21" x14ac:dyDescent="0.25">
      <c r="A107" s="4" t="str">
        <f t="shared" si="20"/>
        <v>20235</v>
      </c>
      <c r="B107" s="4" t="s">
        <v>24</v>
      </c>
      <c r="C107" s="4" t="s">
        <v>25</v>
      </c>
      <c r="D107" s="29" t="s">
        <v>29</v>
      </c>
      <c r="E107" s="28">
        <v>45072</v>
      </c>
      <c r="F107" s="4">
        <v>12</v>
      </c>
      <c r="G107" s="4">
        <v>24</v>
      </c>
      <c r="H107" s="6">
        <v>397470.87</v>
      </c>
      <c r="I107" s="6">
        <v>224261.72</v>
      </c>
      <c r="J107" s="6">
        <v>0</v>
      </c>
      <c r="K107" s="6">
        <v>0</v>
      </c>
      <c r="L107" s="6">
        <f t="shared" si="22"/>
        <v>0</v>
      </c>
      <c r="M107" s="7">
        <f t="shared" si="27"/>
        <v>1.4334688333333333E-2</v>
      </c>
      <c r="N107" s="7">
        <f t="shared" si="29"/>
        <v>1.8056621796692117E-2</v>
      </c>
      <c r="O107" s="7">
        <f t="shared" si="21"/>
        <v>0.25964523098168391</v>
      </c>
      <c r="P107" s="6">
        <f t="shared" si="23"/>
        <v>621732.59</v>
      </c>
      <c r="Q107" s="6">
        <f t="shared" si="30"/>
        <v>12022444.800000003</v>
      </c>
      <c r="R107" s="4" t="str">
        <f t="shared" ca="1" si="28"/>
        <v>OK</v>
      </c>
      <c r="S107" s="6">
        <v>621720.31999999995</v>
      </c>
      <c r="T107" s="5">
        <v>45072</v>
      </c>
      <c r="U107" s="30" t="str">
        <f t="shared" si="19"/>
        <v>PAGADO</v>
      </c>
    </row>
    <row r="108" spans="1:21" x14ac:dyDescent="0.25">
      <c r="A108" s="4" t="str">
        <f t="shared" si="20"/>
        <v>20236</v>
      </c>
      <c r="B108" s="4" t="s">
        <v>24</v>
      </c>
      <c r="C108" s="4" t="s">
        <v>25</v>
      </c>
      <c r="D108" s="29" t="s">
        <v>29</v>
      </c>
      <c r="E108" s="28">
        <v>45103</v>
      </c>
      <c r="F108" s="4">
        <v>13</v>
      </c>
      <c r="G108" s="4">
        <v>23</v>
      </c>
      <c r="H108" s="6">
        <v>412172.98768318369</v>
      </c>
      <c r="I108" s="6">
        <v>200119.06859071954</v>
      </c>
      <c r="J108" s="6">
        <v>0</v>
      </c>
      <c r="K108" s="6">
        <v>0</v>
      </c>
      <c r="L108" s="6">
        <f t="shared" si="22"/>
        <v>12.270000000018626</v>
      </c>
      <c r="M108" s="7">
        <f t="shared" si="27"/>
        <v>1.4334688333333333E-2</v>
      </c>
      <c r="N108" s="7">
        <f t="shared" si="29"/>
        <v>1.6645455389466168E-2</v>
      </c>
      <c r="O108" s="7">
        <f t="shared" si="21"/>
        <v>0.16120106711769</v>
      </c>
      <c r="P108" s="6">
        <f t="shared" si="23"/>
        <v>612304.32627390325</v>
      </c>
      <c r="Q108" s="6">
        <f t="shared" si="30"/>
        <v>11610271.812316818</v>
      </c>
      <c r="R108" s="4" t="str">
        <f t="shared" ca="1" si="28"/>
        <v>OK</v>
      </c>
      <c r="S108" s="6">
        <v>622961.96</v>
      </c>
      <c r="T108" s="5">
        <v>45106</v>
      </c>
      <c r="U108" s="30" t="str">
        <f t="shared" si="19"/>
        <v>PAGADO</v>
      </c>
    </row>
    <row r="109" spans="1:21" x14ac:dyDescent="0.25">
      <c r="A109" s="4" t="str">
        <f t="shared" si="20"/>
        <v>20237</v>
      </c>
      <c r="B109" s="4" t="s">
        <v>24</v>
      </c>
      <c r="C109" s="4" t="s">
        <v>25</v>
      </c>
      <c r="D109" s="29" t="s">
        <v>29</v>
      </c>
      <c r="E109" s="28">
        <v>45133</v>
      </c>
      <c r="F109" s="4">
        <v>14</v>
      </c>
      <c r="G109" s="4">
        <v>22</v>
      </c>
      <c r="H109" s="6">
        <v>409809.8</v>
      </c>
      <c r="I109" s="6">
        <v>215013.41</v>
      </c>
      <c r="J109" s="6">
        <v>0</v>
      </c>
      <c r="K109" s="6">
        <v>0</v>
      </c>
      <c r="L109" s="6">
        <f t="shared" si="22"/>
        <v>0</v>
      </c>
      <c r="M109" s="7">
        <f t="shared" si="27"/>
        <v>1.4334688333333333E-2</v>
      </c>
      <c r="N109" s="7">
        <f t="shared" si="29"/>
        <v>1.8519239986431832E-2</v>
      </c>
      <c r="O109" s="7">
        <f t="shared" si="21"/>
        <v>0.29191786774797901</v>
      </c>
      <c r="P109" s="6">
        <f t="shared" si="23"/>
        <v>624823.21</v>
      </c>
      <c r="Q109" s="6">
        <f t="shared" si="30"/>
        <v>11200462.012316817</v>
      </c>
      <c r="R109" s="4" t="str">
        <f t="shared" ca="1" si="28"/>
        <v>OK</v>
      </c>
      <c r="S109" s="6">
        <v>633781.5</v>
      </c>
      <c r="T109" s="5">
        <v>45155</v>
      </c>
      <c r="U109" s="30" t="str">
        <f t="shared" si="19"/>
        <v>PAGADO</v>
      </c>
    </row>
    <row r="110" spans="1:21" x14ac:dyDescent="0.25">
      <c r="A110" s="4" t="str">
        <f t="shared" si="20"/>
        <v>20238</v>
      </c>
      <c r="B110" s="4" t="s">
        <v>24</v>
      </c>
      <c r="C110" s="4" t="s">
        <v>25</v>
      </c>
      <c r="D110" s="29" t="s">
        <v>29</v>
      </c>
      <c r="E110" s="28">
        <v>45164</v>
      </c>
      <c r="F110" s="4">
        <v>15</v>
      </c>
      <c r="G110" s="4">
        <v>21</v>
      </c>
      <c r="H110" s="6">
        <v>415831.26</v>
      </c>
      <c r="I110" s="6">
        <v>211238.87</v>
      </c>
      <c r="J110" s="6">
        <v>0</v>
      </c>
      <c r="K110" s="6">
        <v>565116</v>
      </c>
      <c r="L110" s="6">
        <f t="shared" si="22"/>
        <v>0</v>
      </c>
      <c r="M110" s="7">
        <f t="shared" si="27"/>
        <v>1.4334688333333333E-2</v>
      </c>
      <c r="N110" s="7">
        <f t="shared" si="29"/>
        <v>1.8859835403906271E-2</v>
      </c>
      <c r="O110" s="7">
        <f t="shared" si="21"/>
        <v>0.31567809256447776</v>
      </c>
      <c r="P110" s="6">
        <f t="shared" si="23"/>
        <v>1192186.1299999999</v>
      </c>
      <c r="Q110" s="6">
        <f t="shared" si="30"/>
        <v>10784630.752316818</v>
      </c>
      <c r="R110" s="4" t="str">
        <f t="shared" ca="1" si="28"/>
        <v>OK</v>
      </c>
      <c r="S110" s="6">
        <v>1203127.5900000001</v>
      </c>
      <c r="T110" s="5">
        <v>45191</v>
      </c>
      <c r="U110" s="30" t="str">
        <f t="shared" si="19"/>
        <v>PAGADO</v>
      </c>
    </row>
    <row r="111" spans="1:21" x14ac:dyDescent="0.25">
      <c r="A111" s="4" t="str">
        <f t="shared" si="20"/>
        <v>20239</v>
      </c>
      <c r="B111" s="4" t="s">
        <v>24</v>
      </c>
      <c r="C111" s="4" t="s">
        <v>25</v>
      </c>
      <c r="D111" s="29" t="s">
        <v>29</v>
      </c>
      <c r="E111" s="28">
        <v>45195</v>
      </c>
      <c r="F111" s="4">
        <v>16</v>
      </c>
      <c r="G111" s="4">
        <v>20</v>
      </c>
      <c r="H111" s="6">
        <v>422615.77</v>
      </c>
      <c r="I111" s="6">
        <v>205961.61</v>
      </c>
      <c r="J111" s="6">
        <v>0</v>
      </c>
      <c r="K111" s="6">
        <v>0</v>
      </c>
      <c r="L111" s="6">
        <f t="shared" si="22"/>
        <v>0</v>
      </c>
      <c r="M111" s="7">
        <f t="shared" si="27"/>
        <v>1.4334688333333333E-2</v>
      </c>
      <c r="N111" s="7">
        <f t="shared" si="29"/>
        <v>1.9097696966189973E-2</v>
      </c>
      <c r="O111" s="7">
        <f t="shared" si="21"/>
        <v>0.33227151662453114</v>
      </c>
      <c r="P111" s="6">
        <f t="shared" si="23"/>
        <v>628577.38</v>
      </c>
      <c r="Q111" s="6">
        <f t="shared" si="30"/>
        <v>10362014.982316818</v>
      </c>
      <c r="R111" s="4" t="str">
        <f t="shared" ca="1" si="28"/>
        <v>OK</v>
      </c>
      <c r="S111" s="6">
        <v>640436.55000000005</v>
      </c>
      <c r="T111" s="5">
        <v>45225</v>
      </c>
      <c r="U111" s="30" t="str">
        <f t="shared" si="19"/>
        <v>PAGADO</v>
      </c>
    </row>
    <row r="112" spans="1:21" x14ac:dyDescent="0.25">
      <c r="A112" s="4" t="str">
        <f t="shared" si="20"/>
        <v>202310</v>
      </c>
      <c r="B112" s="4" t="s">
        <v>24</v>
      </c>
      <c r="C112" s="4" t="s">
        <v>25</v>
      </c>
      <c r="D112" s="29" t="s">
        <v>29</v>
      </c>
      <c r="E112" s="28">
        <v>45225</v>
      </c>
      <c r="F112" s="4">
        <v>17</v>
      </c>
      <c r="G112" s="4">
        <v>19</v>
      </c>
      <c r="H112" s="6">
        <v>438907.91408557771</v>
      </c>
      <c r="I112" s="6">
        <v>171771.17319832181</v>
      </c>
      <c r="J112" s="6">
        <v>0</v>
      </c>
      <c r="K112" s="6">
        <v>0</v>
      </c>
      <c r="L112" s="6">
        <f t="shared" si="22"/>
        <v>0</v>
      </c>
      <c r="M112" s="7">
        <f t="shared" si="27"/>
        <v>1.4334688333333333E-2</v>
      </c>
      <c r="N112" s="7">
        <f t="shared" si="29"/>
        <v>1.6577004906039607E-2</v>
      </c>
      <c r="O112" s="7">
        <f t="shared" si="21"/>
        <v>0.15642590341445217</v>
      </c>
      <c r="P112" s="6">
        <f t="shared" si="23"/>
        <v>610679.08728389954</v>
      </c>
      <c r="Q112" s="6">
        <f t="shared" si="30"/>
        <v>9923107.0682312399</v>
      </c>
      <c r="R112" s="4" t="str">
        <f t="shared" ca="1" si="28"/>
        <v>OK</v>
      </c>
      <c r="S112" s="6">
        <v>680000</v>
      </c>
      <c r="T112" s="5">
        <v>45257</v>
      </c>
      <c r="U112" s="30" t="str">
        <f t="shared" si="19"/>
        <v>PAGADO</v>
      </c>
    </row>
    <row r="113" spans="1:21" x14ac:dyDescent="0.25">
      <c r="A113" s="4" t="str">
        <f t="shared" si="20"/>
        <v>202311</v>
      </c>
      <c r="B113" s="4" t="s">
        <v>24</v>
      </c>
      <c r="C113" s="4" t="s">
        <v>25</v>
      </c>
      <c r="D113" s="29" t="s">
        <v>29</v>
      </c>
      <c r="E113" s="28">
        <v>45256</v>
      </c>
      <c r="F113" s="4">
        <v>18</v>
      </c>
      <c r="G113" s="4">
        <v>18</v>
      </c>
      <c r="H113" s="6">
        <v>445858.32814066269</v>
      </c>
      <c r="I113" s="6">
        <v>164409.44202546094</v>
      </c>
      <c r="J113" s="6">
        <v>0</v>
      </c>
      <c r="K113" s="6">
        <v>0</v>
      </c>
      <c r="L113" s="6">
        <f t="shared" si="22"/>
        <v>0</v>
      </c>
      <c r="M113" s="7">
        <f t="shared" si="27"/>
        <v>1.4334688333333333E-2</v>
      </c>
      <c r="N113" s="7">
        <f t="shared" si="29"/>
        <v>1.6568343049710374E-2</v>
      </c>
      <c r="O113" s="7">
        <f t="shared" si="21"/>
        <v>0.15582164498009954</v>
      </c>
      <c r="P113" s="6">
        <f t="shared" si="23"/>
        <v>610267.77016612364</v>
      </c>
      <c r="Q113" s="6">
        <f t="shared" si="30"/>
        <v>9477248.7400905769</v>
      </c>
      <c r="R113" s="4" t="str">
        <f t="shared" ca="1" si="28"/>
        <v>OK</v>
      </c>
      <c r="S113" s="6">
        <v>594451.62</v>
      </c>
      <c r="T113" s="5">
        <v>45286</v>
      </c>
      <c r="U113" s="30" t="str">
        <f t="shared" si="19"/>
        <v>PAGADO</v>
      </c>
    </row>
    <row r="114" spans="1:21" x14ac:dyDescent="0.25">
      <c r="A114" s="4" t="str">
        <f t="shared" si="20"/>
        <v>202312</v>
      </c>
      <c r="B114" s="4" t="s">
        <v>24</v>
      </c>
      <c r="C114" s="4" t="s">
        <v>25</v>
      </c>
      <c r="D114" s="29" t="s">
        <v>29</v>
      </c>
      <c r="E114" s="28">
        <v>45286</v>
      </c>
      <c r="F114" s="4">
        <v>19</v>
      </c>
      <c r="G114" s="4">
        <v>17</v>
      </c>
      <c r="H114" s="6">
        <v>452918.80686759978</v>
      </c>
      <c r="I114" s="6">
        <v>156936.25334510914</v>
      </c>
      <c r="J114" s="6">
        <v>0</v>
      </c>
      <c r="K114" s="6">
        <v>0</v>
      </c>
      <c r="L114" s="6">
        <f t="shared" si="22"/>
        <v>15816.15016612364</v>
      </c>
      <c r="M114" s="7">
        <f t="shared" si="27"/>
        <v>1.4334688333333333E-2</v>
      </c>
      <c r="N114" s="7">
        <f t="shared" si="29"/>
        <v>1.6559262888314701E-2</v>
      </c>
      <c r="O114" s="7">
        <f t="shared" si="21"/>
        <v>0.15518820522999643</v>
      </c>
      <c r="P114" s="6">
        <f t="shared" si="23"/>
        <v>625671.21037883253</v>
      </c>
      <c r="Q114" s="6">
        <f t="shared" si="30"/>
        <v>9024329.9332229774</v>
      </c>
      <c r="R114" s="4" t="str">
        <f t="shared" ca="1" si="28"/>
        <v>OK</v>
      </c>
      <c r="S114" s="6">
        <v>635368.59</v>
      </c>
      <c r="T114" s="5">
        <v>45316</v>
      </c>
      <c r="U114" s="30" t="str">
        <f t="shared" si="19"/>
        <v>PAGADO</v>
      </c>
    </row>
    <row r="115" spans="1:21" x14ac:dyDescent="0.25">
      <c r="A115" s="4" t="str">
        <f t="shared" si="20"/>
        <v>20241</v>
      </c>
      <c r="B115" s="4" t="s">
        <v>24</v>
      </c>
      <c r="C115" s="4" t="s">
        <v>25</v>
      </c>
      <c r="D115" s="29" t="s">
        <v>29</v>
      </c>
      <c r="E115" s="28">
        <v>45317</v>
      </c>
      <c r="F115" s="4">
        <v>20</v>
      </c>
      <c r="G115" s="4">
        <v>16</v>
      </c>
      <c r="H115" s="6">
        <v>458421.95</v>
      </c>
      <c r="I115" s="6">
        <v>165489.63</v>
      </c>
      <c r="J115" s="6">
        <v>0</v>
      </c>
      <c r="K115" s="6">
        <v>0</v>
      </c>
      <c r="L115" s="6">
        <f t="shared" si="22"/>
        <v>0</v>
      </c>
      <c r="M115" s="7">
        <f t="shared" si="27"/>
        <v>1.4334688333333333E-2</v>
      </c>
      <c r="N115" s="7">
        <f t="shared" si="29"/>
        <v>1.8338162636402693E-2</v>
      </c>
      <c r="O115" s="7">
        <f t="shared" si="21"/>
        <v>0.27928575843255921</v>
      </c>
      <c r="P115" s="6">
        <f t="shared" si="23"/>
        <v>623911.58000000007</v>
      </c>
      <c r="Q115" s="6">
        <f t="shared" si="30"/>
        <v>8565907.9832229782</v>
      </c>
      <c r="R115" s="4" t="str">
        <f t="shared" ca="1" si="28"/>
        <v>OK</v>
      </c>
      <c r="S115" s="6">
        <v>635690.84</v>
      </c>
      <c r="T115" s="5">
        <v>45346</v>
      </c>
      <c r="U115" s="30" t="str">
        <f t="shared" si="19"/>
        <v>PAGADO</v>
      </c>
    </row>
    <row r="116" spans="1:21" x14ac:dyDescent="0.25">
      <c r="A116" s="4" t="str">
        <f t="shared" si="20"/>
        <v>20242</v>
      </c>
      <c r="B116" s="4" t="s">
        <v>24</v>
      </c>
      <c r="C116" s="4" t="s">
        <v>25</v>
      </c>
      <c r="D116" s="29" t="s">
        <v>29</v>
      </c>
      <c r="E116" s="28">
        <v>45348</v>
      </c>
      <c r="F116" s="4">
        <v>21</v>
      </c>
      <c r="G116" s="4">
        <v>15</v>
      </c>
      <c r="H116" s="6">
        <v>467376.95774237759</v>
      </c>
      <c r="I116" s="6">
        <v>141624.04795585407</v>
      </c>
      <c r="J116" s="6">
        <v>0</v>
      </c>
      <c r="K116" s="6">
        <v>0</v>
      </c>
      <c r="L116" s="6">
        <f t="shared" si="22"/>
        <v>0</v>
      </c>
      <c r="M116" s="7">
        <f t="shared" si="27"/>
        <v>1.4334688333333333E-2</v>
      </c>
      <c r="N116" s="7">
        <f t="shared" si="29"/>
        <v>1.6533454273993626E-2</v>
      </c>
      <c r="O116" s="7">
        <f t="shared" si="21"/>
        <v>0.15338777443436746</v>
      </c>
      <c r="P116" s="6">
        <f t="shared" si="23"/>
        <v>609001.00569823163</v>
      </c>
      <c r="Q116" s="6">
        <f t="shared" si="30"/>
        <v>8098531.025480601</v>
      </c>
      <c r="R116" s="4" t="str">
        <f t="shared" ca="1" si="28"/>
        <v>OK</v>
      </c>
      <c r="S116" s="6">
        <v>640000</v>
      </c>
      <c r="T116" s="5">
        <v>45378</v>
      </c>
      <c r="U116" s="30" t="str">
        <f t="shared" si="19"/>
        <v>PAGADO</v>
      </c>
    </row>
    <row r="117" spans="1:21" x14ac:dyDescent="0.25">
      <c r="A117" s="4" t="str">
        <f t="shared" si="20"/>
        <v>20243</v>
      </c>
      <c r="B117" s="4" t="s">
        <v>24</v>
      </c>
      <c r="C117" s="4" t="s">
        <v>25</v>
      </c>
      <c r="D117" s="29" t="s">
        <v>29</v>
      </c>
      <c r="E117" s="28">
        <v>45377</v>
      </c>
      <c r="F117" s="4">
        <v>22</v>
      </c>
      <c r="G117" s="4">
        <v>14</v>
      </c>
      <c r="H117" s="6">
        <v>474778.19903209858</v>
      </c>
      <c r="I117" s="6">
        <v>133786.97943815938</v>
      </c>
      <c r="J117" s="6">
        <v>0</v>
      </c>
      <c r="K117" s="6">
        <v>0</v>
      </c>
      <c r="L117" s="6">
        <f t="shared" si="22"/>
        <v>0</v>
      </c>
      <c r="M117" s="7">
        <f t="shared" si="27"/>
        <v>1.4334688333333333E-2</v>
      </c>
      <c r="N117" s="7">
        <f t="shared" si="29"/>
        <v>1.6519907007483483E-2</v>
      </c>
      <c r="O117" s="7">
        <f t="shared" si="21"/>
        <v>0.15244270564772067</v>
      </c>
      <c r="P117" s="6">
        <f t="shared" si="23"/>
        <v>608565.1784702579</v>
      </c>
      <c r="Q117" s="6">
        <f t="shared" si="30"/>
        <v>7623752.826448502</v>
      </c>
      <c r="R117" s="4" t="str">
        <f t="shared" ca="1" si="28"/>
        <v>OK</v>
      </c>
      <c r="S117" s="6">
        <v>621150.19999999995</v>
      </c>
      <c r="T117" s="5">
        <v>45407</v>
      </c>
      <c r="U117" s="30" t="str">
        <f t="shared" si="19"/>
        <v>PAGADO</v>
      </c>
    </row>
    <row r="118" spans="1:21" x14ac:dyDescent="0.25">
      <c r="A118" s="4" t="str">
        <f t="shared" si="20"/>
        <v>20244</v>
      </c>
      <c r="B118" s="4" t="s">
        <v>24</v>
      </c>
      <c r="C118" s="4" t="s">
        <v>25</v>
      </c>
      <c r="D118" s="29" t="s">
        <v>29</v>
      </c>
      <c r="E118" s="28">
        <v>45408</v>
      </c>
      <c r="F118" s="4">
        <v>23</v>
      </c>
      <c r="G118" s="4">
        <v>13</v>
      </c>
      <c r="H118" s="6">
        <v>482296.64415851119</v>
      </c>
      <c r="I118" s="6">
        <v>125824.97483707647</v>
      </c>
      <c r="J118" s="6">
        <v>0</v>
      </c>
      <c r="K118" s="6">
        <v>0</v>
      </c>
      <c r="L118" s="6">
        <f t="shared" si="22"/>
        <v>0</v>
      </c>
      <c r="M118" s="7">
        <f t="shared" si="27"/>
        <v>1.4334688333333333E-2</v>
      </c>
      <c r="N118" s="7">
        <f t="shared" si="29"/>
        <v>1.6504335555129951E-2</v>
      </c>
      <c r="O118" s="7">
        <f t="shared" si="21"/>
        <v>0.15135642794209936</v>
      </c>
      <c r="P118" s="6">
        <f t="shared" si="23"/>
        <v>608121.61899558769</v>
      </c>
      <c r="Q118" s="6">
        <f t="shared" si="30"/>
        <v>7141456.1822899906</v>
      </c>
      <c r="R118" s="4" t="str">
        <f t="shared" ca="1" si="28"/>
        <v>OK</v>
      </c>
      <c r="S118" s="6">
        <v>700000</v>
      </c>
      <c r="T118" s="5">
        <v>45439</v>
      </c>
      <c r="U118" s="30" t="str">
        <f t="shared" si="19"/>
        <v>PAGADO</v>
      </c>
    </row>
    <row r="119" spans="1:21" x14ac:dyDescent="0.25">
      <c r="A119" s="4" t="str">
        <f t="shared" si="20"/>
        <v>20245</v>
      </c>
      <c r="B119" s="4" t="s">
        <v>24</v>
      </c>
      <c r="C119" s="4" t="s">
        <v>25</v>
      </c>
      <c r="D119" s="29" t="s">
        <v>29</v>
      </c>
      <c r="E119" s="28">
        <v>45438</v>
      </c>
      <c r="F119" s="4">
        <v>24</v>
      </c>
      <c r="G119" s="4">
        <v>12</v>
      </c>
      <c r="H119" s="6">
        <v>489934.14912641211</v>
      </c>
      <c r="I119" s="6">
        <v>117737.27884223957</v>
      </c>
      <c r="J119" s="6">
        <v>0</v>
      </c>
      <c r="K119" s="6">
        <v>0</v>
      </c>
      <c r="L119" s="6">
        <f t="shared" si="22"/>
        <v>0</v>
      </c>
      <c r="M119" s="7">
        <f t="shared" si="27"/>
        <v>1.4334688333333333E-2</v>
      </c>
      <c r="N119" s="7">
        <f t="shared" si="29"/>
        <v>1.6486452599711359E-2</v>
      </c>
      <c r="O119" s="7">
        <f t="shared" si="21"/>
        <v>0.15010889782475401</v>
      </c>
      <c r="P119" s="6">
        <f t="shared" si="23"/>
        <v>607671.42796865164</v>
      </c>
      <c r="Q119" s="6">
        <f t="shared" si="30"/>
        <v>6651522.0331635782</v>
      </c>
      <c r="R119" s="4" t="str">
        <f t="shared" ca="1" si="28"/>
        <v>OK</v>
      </c>
      <c r="S119" s="6">
        <v>553106.9</v>
      </c>
      <c r="T119" s="5">
        <v>45456</v>
      </c>
      <c r="U119" s="30" t="str">
        <f t="shared" si="19"/>
        <v>PAGADO</v>
      </c>
    </row>
    <row r="120" spans="1:21" x14ac:dyDescent="0.25">
      <c r="A120" s="4" t="str">
        <f t="shared" si="20"/>
        <v>20246</v>
      </c>
      <c r="B120" s="4" t="s">
        <v>24</v>
      </c>
      <c r="C120" s="4" t="s">
        <v>25</v>
      </c>
      <c r="D120" s="29" t="s">
        <v>29</v>
      </c>
      <c r="E120" s="28">
        <v>45469</v>
      </c>
      <c r="F120" s="4">
        <v>25</v>
      </c>
      <c r="G120" s="4">
        <v>11</v>
      </c>
      <c r="H120" s="6">
        <v>497692.59933173325</v>
      </c>
      <c r="I120" s="6">
        <v>109521.50688676687</v>
      </c>
      <c r="J120" s="6">
        <v>0</v>
      </c>
      <c r="K120" s="6">
        <v>0</v>
      </c>
      <c r="L120" s="6">
        <f t="shared" si="22"/>
        <v>54564.527968651615</v>
      </c>
      <c r="M120" s="7">
        <f t="shared" si="27"/>
        <v>1.4334688333333333E-2</v>
      </c>
      <c r="N120" s="7">
        <f t="shared" si="29"/>
        <v>1.646563092487819E-2</v>
      </c>
      <c r="O120" s="7">
        <f t="shared" si="21"/>
        <v>0.14865636015187333</v>
      </c>
      <c r="P120" s="6">
        <f t="shared" si="23"/>
        <v>661778.63418715168</v>
      </c>
      <c r="Q120" s="6">
        <f t="shared" si="30"/>
        <v>6153829.4338318454</v>
      </c>
      <c r="R120" s="4" t="str">
        <f t="shared" ca="1" si="28"/>
        <v>OK</v>
      </c>
      <c r="S120" s="6">
        <v>616861.9</v>
      </c>
      <c r="T120" s="5">
        <v>45471</v>
      </c>
      <c r="U120" s="30" t="str">
        <f t="shared" si="19"/>
        <v>PAGADO</v>
      </c>
    </row>
    <row r="121" spans="1:21" x14ac:dyDescent="0.25">
      <c r="A121" s="4" t="str">
        <f t="shared" si="20"/>
        <v>20247</v>
      </c>
      <c r="B121" s="4" t="s">
        <v>24</v>
      </c>
      <c r="C121" s="4" t="s">
        <v>25</v>
      </c>
      <c r="D121" s="29" t="s">
        <v>29</v>
      </c>
      <c r="E121" s="28">
        <v>45499</v>
      </c>
      <c r="F121" s="4">
        <v>26</v>
      </c>
      <c r="G121" s="4">
        <v>10</v>
      </c>
      <c r="H121" s="6">
        <v>505573.91002697079</v>
      </c>
      <c r="I121" s="6">
        <v>101175.51913470616</v>
      </c>
      <c r="J121" s="6">
        <v>0</v>
      </c>
      <c r="K121" s="6">
        <v>0</v>
      </c>
      <c r="L121" s="6">
        <f t="shared" si="22"/>
        <v>44916.734187151655</v>
      </c>
      <c r="M121" s="7">
        <f t="shared" si="27"/>
        <v>1.4334688333333333E-2</v>
      </c>
      <c r="N121" s="7">
        <f t="shared" si="29"/>
        <v>1.6441066529805742E-2</v>
      </c>
      <c r="O121" s="7">
        <f t="shared" si="21"/>
        <v>0.14694272714491596</v>
      </c>
      <c r="P121" s="6">
        <f t="shared" si="23"/>
        <v>651666.16334882856</v>
      </c>
      <c r="Q121" s="6">
        <f t="shared" si="30"/>
        <v>5648255.5238048751</v>
      </c>
      <c r="R121" s="4" t="str">
        <f t="shared" ca="1" si="28"/>
        <v>OK</v>
      </c>
      <c r="S121" s="6">
        <v>958163.74</v>
      </c>
      <c r="T121" s="5">
        <v>45516</v>
      </c>
      <c r="U121" s="30" t="str">
        <f t="shared" si="19"/>
        <v>PAGADO</v>
      </c>
    </row>
    <row r="122" spans="1:21" x14ac:dyDescent="0.25">
      <c r="A122" s="4" t="str">
        <f t="shared" si="20"/>
        <v>20248</v>
      </c>
      <c r="B122" s="4" t="s">
        <v>24</v>
      </c>
      <c r="C122" s="4" t="s">
        <v>25</v>
      </c>
      <c r="D122" s="29" t="s">
        <v>29</v>
      </c>
      <c r="E122" s="28">
        <v>45530</v>
      </c>
      <c r="F122" s="4">
        <v>27</v>
      </c>
      <c r="G122" s="4">
        <v>9</v>
      </c>
      <c r="H122" s="6">
        <v>513580.02679398487</v>
      </c>
      <c r="I122" s="6">
        <v>92697.437542889587</v>
      </c>
      <c r="J122" s="6">
        <v>0</v>
      </c>
      <c r="K122" s="6">
        <v>0</v>
      </c>
      <c r="L122" s="6">
        <f t="shared" si="22"/>
        <v>0</v>
      </c>
      <c r="M122" s="7">
        <f t="shared" si="27"/>
        <v>1.4334688333333333E-2</v>
      </c>
      <c r="N122" s="7">
        <f t="shared" si="29"/>
        <v>1.6411693336502088E-2</v>
      </c>
      <c r="O122" s="7">
        <f t="shared" si="21"/>
        <v>0.14489362830016805</v>
      </c>
      <c r="P122" s="6">
        <f t="shared" si="23"/>
        <v>606277.46433687443</v>
      </c>
      <c r="Q122" s="6">
        <f t="shared" si="30"/>
        <v>5134675.4970108904</v>
      </c>
      <c r="R122" s="4">
        <f t="shared" ca="1" si="28"/>
        <v>8</v>
      </c>
      <c r="S122" s="6"/>
      <c r="T122" s="5"/>
      <c r="U122" s="30" t="str">
        <f t="shared" si="19"/>
        <v>PENDIENTE</v>
      </c>
    </row>
    <row r="123" spans="1:21" x14ac:dyDescent="0.25">
      <c r="A123" s="4" t="str">
        <f t="shared" si="20"/>
        <v>20249</v>
      </c>
      <c r="B123" s="4" t="s">
        <v>24</v>
      </c>
      <c r="C123" s="4" t="s">
        <v>25</v>
      </c>
      <c r="D123" s="29" t="s">
        <v>29</v>
      </c>
      <c r="E123" s="28">
        <v>45561</v>
      </c>
      <c r="F123" s="4">
        <v>28</v>
      </c>
      <c r="G123" s="4">
        <v>8</v>
      </c>
      <c r="H123" s="6">
        <v>521712.92602428637</v>
      </c>
      <c r="I123" s="6">
        <v>84085.088181936124</v>
      </c>
      <c r="J123" s="6">
        <v>0</v>
      </c>
      <c r="K123" s="6">
        <v>0</v>
      </c>
      <c r="L123" s="6">
        <f t="shared" si="22"/>
        <v>0</v>
      </c>
      <c r="M123" s="7">
        <f t="shared" si="27"/>
        <v>1.4334688333333333E-2</v>
      </c>
      <c r="N123" s="7">
        <f t="shared" si="29"/>
        <v>1.6375930325272858E-2</v>
      </c>
      <c r="O123" s="7">
        <f t="shared" si="21"/>
        <v>0.14239877034458415</v>
      </c>
      <c r="P123" s="6">
        <f t="shared" si="23"/>
        <v>605798.01420622249</v>
      </c>
      <c r="Q123" s="6">
        <f t="shared" si="30"/>
        <v>4612962.5709866043</v>
      </c>
      <c r="R123" s="4">
        <f t="shared" ca="1" si="28"/>
        <v>8</v>
      </c>
      <c r="S123" s="6"/>
      <c r="T123" s="5"/>
      <c r="U123" s="30" t="str">
        <f t="shared" si="19"/>
        <v>PENDIENTE</v>
      </c>
    </row>
    <row r="124" spans="1:21" x14ac:dyDescent="0.25">
      <c r="A124" s="4" t="str">
        <f t="shared" si="20"/>
        <v>202410</v>
      </c>
      <c r="B124" s="4" t="s">
        <v>24</v>
      </c>
      <c r="C124" s="4" t="s">
        <v>25</v>
      </c>
      <c r="D124" s="29" t="s">
        <v>29</v>
      </c>
      <c r="E124" s="28">
        <v>45591</v>
      </c>
      <c r="F124" s="4">
        <v>29</v>
      </c>
      <c r="G124" s="4">
        <v>7</v>
      </c>
      <c r="H124" s="6">
        <v>529974.61540692917</v>
      </c>
      <c r="I124" s="6">
        <v>75336.343494719651</v>
      </c>
      <c r="J124" s="6">
        <v>0</v>
      </c>
      <c r="K124" s="6">
        <v>0</v>
      </c>
      <c r="L124" s="6">
        <f t="shared" si="22"/>
        <v>0</v>
      </c>
      <c r="M124" s="7">
        <f t="shared" si="27"/>
        <v>1.4334688333333333E-2</v>
      </c>
      <c r="N124" s="7">
        <f t="shared" si="29"/>
        <v>1.6331444778795806E-2</v>
      </c>
      <c r="O124" s="7">
        <f t="shared" si="21"/>
        <v>0.1392954209418904</v>
      </c>
      <c r="P124" s="6">
        <f t="shared" si="23"/>
        <v>605310.95890164888</v>
      </c>
      <c r="Q124" s="6">
        <f t="shared" si="30"/>
        <v>4082987.9555796753</v>
      </c>
      <c r="R124" s="4">
        <f t="shared" ca="1" si="28"/>
        <v>-23</v>
      </c>
      <c r="S124" s="6"/>
      <c r="T124" s="5"/>
      <c r="U124" s="30" t="str">
        <f t="shared" si="19"/>
        <v>PENDIENTE</v>
      </c>
    </row>
    <row r="125" spans="1:21" x14ac:dyDescent="0.25">
      <c r="A125" s="4" t="str">
        <f t="shared" si="20"/>
        <v>202411</v>
      </c>
      <c r="B125" s="4" t="s">
        <v>24</v>
      </c>
      <c r="C125" s="4" t="s">
        <v>25</v>
      </c>
      <c r="D125" s="29" t="s">
        <v>29</v>
      </c>
      <c r="E125" s="28">
        <v>45622</v>
      </c>
      <c r="F125" s="4">
        <v>30</v>
      </c>
      <c r="G125" s="4">
        <v>6</v>
      </c>
      <c r="H125" s="6">
        <v>538367.13442412869</v>
      </c>
      <c r="I125" s="6">
        <v>66449.067131486532</v>
      </c>
      <c r="J125" s="6">
        <v>0</v>
      </c>
      <c r="K125" s="6">
        <v>0</v>
      </c>
      <c r="L125" s="6">
        <f t="shared" si="22"/>
        <v>0</v>
      </c>
      <c r="M125" s="7">
        <f t="shared" si="27"/>
        <v>1.4334688333333333E-2</v>
      </c>
      <c r="N125" s="7">
        <f t="shared" si="29"/>
        <v>1.627461747485183E-2</v>
      </c>
      <c r="O125" s="7">
        <f t="shared" si="21"/>
        <v>0.13533110008450344</v>
      </c>
      <c r="P125" s="6">
        <f t="shared" si="23"/>
        <v>604816.20155561517</v>
      </c>
      <c r="Q125" s="6">
        <f t="shared" si="30"/>
        <v>3544620.8211555467</v>
      </c>
      <c r="R125" s="4">
        <f t="shared" ca="1" si="28"/>
        <v>-53</v>
      </c>
      <c r="S125" s="6"/>
      <c r="T125" s="5"/>
      <c r="U125" s="30" t="str">
        <f t="shared" si="19"/>
        <v>PENDIENTE</v>
      </c>
    </row>
    <row r="126" spans="1:21" x14ac:dyDescent="0.25">
      <c r="A126" s="4" t="str">
        <f t="shared" si="20"/>
        <v>202412</v>
      </c>
      <c r="B126" s="4" t="s">
        <v>24</v>
      </c>
      <c r="C126" s="4" t="s">
        <v>25</v>
      </c>
      <c r="D126" s="29" t="s">
        <v>29</v>
      </c>
      <c r="E126" s="28">
        <v>45652</v>
      </c>
      <c r="F126" s="4">
        <v>31</v>
      </c>
      <c r="G126" s="4">
        <v>5</v>
      </c>
      <c r="H126" s="6">
        <v>546892.55485472886</v>
      </c>
      <c r="I126" s="6">
        <v>57421.051456614266</v>
      </c>
      <c r="J126" s="6">
        <v>0</v>
      </c>
      <c r="K126" s="6">
        <v>0</v>
      </c>
      <c r="L126" s="6">
        <f t="shared" si="22"/>
        <v>0</v>
      </c>
      <c r="M126" s="7">
        <f t="shared" si="27"/>
        <v>1.4334688333333333E-2</v>
      </c>
      <c r="N126" s="7">
        <f t="shared" si="29"/>
        <v>1.6199490538989444E-2</v>
      </c>
      <c r="O126" s="7">
        <f t="shared" si="21"/>
        <v>0.13009018140420747</v>
      </c>
      <c r="P126" s="6">
        <f t="shared" si="23"/>
        <v>604313.60631134314</v>
      </c>
      <c r="Q126" s="6">
        <f t="shared" si="30"/>
        <v>2997728.266300818</v>
      </c>
      <c r="R126" s="4">
        <f t="shared" ca="1" si="28"/>
        <v>-84</v>
      </c>
      <c r="S126" s="6"/>
      <c r="T126" s="5"/>
      <c r="U126" s="30" t="str">
        <f t="shared" si="19"/>
        <v>PENDIENTE</v>
      </c>
    </row>
    <row r="127" spans="1:21" x14ac:dyDescent="0.25">
      <c r="A127" s="4" t="str">
        <f t="shared" si="20"/>
        <v>20251</v>
      </c>
      <c r="B127" s="4" t="s">
        <v>24</v>
      </c>
      <c r="C127" s="4" t="s">
        <v>25</v>
      </c>
      <c r="D127" s="29" t="s">
        <v>29</v>
      </c>
      <c r="E127" s="28">
        <v>45683</v>
      </c>
      <c r="F127" s="4">
        <v>32</v>
      </c>
      <c r="G127" s="4">
        <v>4</v>
      </c>
      <c r="H127" s="6">
        <v>555552.9812856419</v>
      </c>
      <c r="I127" s="6">
        <v>48250.069853463989</v>
      </c>
      <c r="J127" s="6">
        <v>0</v>
      </c>
      <c r="K127" s="6">
        <v>0</v>
      </c>
      <c r="L127" s="6">
        <f t="shared" si="22"/>
        <v>0</v>
      </c>
      <c r="M127" s="7">
        <f t="shared" si="27"/>
        <v>1.4334688333333333E-2</v>
      </c>
      <c r="N127" s="7">
        <f t="shared" si="29"/>
        <v>1.6095544881726168E-2</v>
      </c>
      <c r="O127" s="7">
        <f t="shared" si="21"/>
        <v>0.12283884430875314</v>
      </c>
      <c r="P127" s="6">
        <f t="shared" si="23"/>
        <v>603803.05113910593</v>
      </c>
      <c r="Q127" s="6">
        <f t="shared" si="30"/>
        <v>2442175.2850151761</v>
      </c>
      <c r="R127" s="4">
        <f t="shared" ca="1" si="28"/>
        <v>-114</v>
      </c>
      <c r="S127" s="6"/>
      <c r="T127" s="5"/>
      <c r="U127" s="30" t="str">
        <f t="shared" si="19"/>
        <v>PENDIENTE</v>
      </c>
    </row>
    <row r="128" spans="1:21" x14ac:dyDescent="0.25">
      <c r="A128" s="4" t="str">
        <f t="shared" si="20"/>
        <v>20252</v>
      </c>
      <c r="B128" s="4" t="s">
        <v>24</v>
      </c>
      <c r="C128" s="4" t="s">
        <v>25</v>
      </c>
      <c r="D128" s="29" t="s">
        <v>29</v>
      </c>
      <c r="E128" s="28">
        <v>45714</v>
      </c>
      <c r="F128" s="4">
        <v>33</v>
      </c>
      <c r="G128" s="4">
        <v>3</v>
      </c>
      <c r="H128" s="6">
        <v>564350.55163138697</v>
      </c>
      <c r="I128" s="6">
        <v>38933.860656747769</v>
      </c>
      <c r="J128" s="6">
        <v>0</v>
      </c>
      <c r="K128" s="6">
        <v>0</v>
      </c>
      <c r="L128" s="6">
        <f t="shared" si="22"/>
        <v>0</v>
      </c>
      <c r="M128" s="7">
        <f t="shared" si="27"/>
        <v>1.4334688333333333E-2</v>
      </c>
      <c r="N128" s="7">
        <f t="shared" si="29"/>
        <v>1.5942287556360159E-2</v>
      </c>
      <c r="O128" s="7">
        <f t="shared" si="21"/>
        <v>0.11214748347814285</v>
      </c>
      <c r="P128" s="6">
        <f t="shared" si="23"/>
        <v>603284.41228813468</v>
      </c>
      <c r="Q128" s="6">
        <f t="shared" si="30"/>
        <v>1877824.7333837892</v>
      </c>
      <c r="R128" s="4">
        <f t="shared" ca="1" si="28"/>
        <v>-145</v>
      </c>
      <c r="S128" s="6"/>
      <c r="T128" s="5"/>
      <c r="U128" s="30" t="str">
        <f t="shared" si="19"/>
        <v>PENDIENTE</v>
      </c>
    </row>
    <row r="129" spans="1:21" x14ac:dyDescent="0.25">
      <c r="A129" s="4" t="str">
        <f t="shared" si="20"/>
        <v>20253</v>
      </c>
      <c r="B129" s="4" t="s">
        <v>24</v>
      </c>
      <c r="C129" s="4" t="s">
        <v>25</v>
      </c>
      <c r="D129" s="29" t="s">
        <v>29</v>
      </c>
      <c r="E129" s="28">
        <v>45742</v>
      </c>
      <c r="F129" s="4">
        <v>34</v>
      </c>
      <c r="G129" s="4">
        <v>2</v>
      </c>
      <c r="H129" s="6">
        <v>573287.43766185618</v>
      </c>
      <c r="I129" s="6">
        <v>29470.122255204245</v>
      </c>
      <c r="J129" s="6">
        <v>0</v>
      </c>
      <c r="K129" s="6">
        <v>0</v>
      </c>
      <c r="L129" s="6">
        <f t="shared" si="22"/>
        <v>0</v>
      </c>
      <c r="M129" s="7">
        <f t="shared" si="27"/>
        <v>1.4334688333333333E-2</v>
      </c>
      <c r="N129" s="7">
        <f t="shared" si="29"/>
        <v>1.5693755509386589E-2</v>
      </c>
      <c r="O129" s="7">
        <f t="shared" si="21"/>
        <v>9.4809677367936329E-2</v>
      </c>
      <c r="P129" s="6">
        <f t="shared" si="23"/>
        <v>602757.55991706043</v>
      </c>
      <c r="Q129" s="6">
        <f t="shared" si="30"/>
        <v>1304537.295721933</v>
      </c>
      <c r="R129" s="4">
        <f t="shared" ca="1" si="28"/>
        <v>-176</v>
      </c>
      <c r="S129" s="6"/>
      <c r="T129" s="5"/>
      <c r="U129" s="30" t="str">
        <f t="shared" si="19"/>
        <v>PENDIENTE</v>
      </c>
    </row>
    <row r="130" spans="1:21" x14ac:dyDescent="0.25">
      <c r="A130" s="4" t="str">
        <f t="shared" si="20"/>
        <v>20254</v>
      </c>
      <c r="B130" s="4" t="s">
        <v>24</v>
      </c>
      <c r="C130" s="4" t="s">
        <v>25</v>
      </c>
      <c r="D130" s="29" t="s">
        <v>29</v>
      </c>
      <c r="E130" s="28">
        <v>45773</v>
      </c>
      <c r="F130" s="4">
        <v>35</v>
      </c>
      <c r="G130" s="4">
        <v>1</v>
      </c>
      <c r="H130" s="6">
        <v>582365.84553843806</v>
      </c>
      <c r="I130" s="6">
        <v>19856.51892628524</v>
      </c>
      <c r="J130" s="6">
        <v>0</v>
      </c>
      <c r="K130" s="6">
        <v>0</v>
      </c>
      <c r="L130" s="6">
        <f t="shared" si="22"/>
        <v>0</v>
      </c>
      <c r="M130" s="7">
        <f t="shared" si="27"/>
        <v>1.4334688333333333E-2</v>
      </c>
      <c r="N130" s="7">
        <f t="shared" si="29"/>
        <v>1.5221120156090754E-2</v>
      </c>
      <c r="O130" s="7">
        <f t="shared" si="21"/>
        <v>6.183823478715933E-2</v>
      </c>
      <c r="P130" s="6">
        <f t="shared" si="23"/>
        <v>602222.36446472327</v>
      </c>
      <c r="Q130" s="6">
        <f t="shared" si="30"/>
        <v>722171.45018349495</v>
      </c>
      <c r="R130" s="4">
        <f t="shared" ca="1" si="28"/>
        <v>-204</v>
      </c>
      <c r="S130" s="6"/>
      <c r="T130" s="5"/>
      <c r="U130" s="30" t="str">
        <f t="shared" ref="U130:U193" si="31">IF(AND(S130="",T130=""),"PENDIENTE",IF(AND(S130&lt;&gt;"",T130&lt;&gt;""),"PAGADO","ABONADO"))</f>
        <v>PENDIENTE</v>
      </c>
    </row>
    <row r="131" spans="1:21" x14ac:dyDescent="0.25">
      <c r="A131" s="4" t="str">
        <f t="shared" ref="A131:A194" si="32">CONCATENATE(YEAR($E131),MONTH($E131))</f>
        <v>20255</v>
      </c>
      <c r="B131" s="4" t="s">
        <v>24</v>
      </c>
      <c r="C131" s="4" t="s">
        <v>25</v>
      </c>
      <c r="D131" s="29" t="s">
        <v>29</v>
      </c>
      <c r="E131" s="28">
        <v>45803</v>
      </c>
      <c r="F131" s="4">
        <v>36</v>
      </c>
      <c r="G131" s="4">
        <v>0</v>
      </c>
      <c r="H131" s="6">
        <v>601736.78007239755</v>
      </c>
      <c r="I131" s="6">
        <v>10090.67755455113</v>
      </c>
      <c r="J131" s="6">
        <v>0</v>
      </c>
      <c r="K131" s="6">
        <v>0</v>
      </c>
      <c r="L131" s="6">
        <f t="shared" si="22"/>
        <v>0</v>
      </c>
      <c r="M131" s="7">
        <f t="shared" si="27"/>
        <v>1.4334688333333333E-2</v>
      </c>
      <c r="N131" s="7">
        <f t="shared" si="29"/>
        <v>1.3972689659757682E-2</v>
      </c>
      <c r="O131" s="7">
        <f t="shared" ref="O131:O194" si="33">(N131/M131)-1</f>
        <v>-2.5253334091252855E-2</v>
      </c>
      <c r="P131" s="6">
        <f t="shared" si="23"/>
        <v>611827.45762694872</v>
      </c>
      <c r="Q131" s="6">
        <f t="shared" si="30"/>
        <v>120434.6701110974</v>
      </c>
      <c r="R131" s="4">
        <f t="shared" ca="1" si="28"/>
        <v>-235</v>
      </c>
      <c r="S131" s="6"/>
      <c r="T131" s="5"/>
      <c r="U131" s="30" t="str">
        <f t="shared" si="31"/>
        <v>PENDIENTE</v>
      </c>
    </row>
    <row r="132" spans="1:21" x14ac:dyDescent="0.25">
      <c r="A132" s="4" t="str">
        <f t="shared" si="32"/>
        <v>202211</v>
      </c>
      <c r="B132" s="4" t="s">
        <v>24</v>
      </c>
      <c r="C132" s="4" t="s">
        <v>25</v>
      </c>
      <c r="D132" s="29" t="s">
        <v>30</v>
      </c>
      <c r="E132" s="28">
        <v>44890</v>
      </c>
      <c r="F132" s="4">
        <v>1</v>
      </c>
      <c r="G132" s="4">
        <v>35</v>
      </c>
      <c r="H132" s="6">
        <v>267919.49</v>
      </c>
      <c r="I132" s="6">
        <v>238028.37</v>
      </c>
      <c r="J132" s="6">
        <v>0</v>
      </c>
      <c r="K132" s="6">
        <v>0</v>
      </c>
      <c r="L132" s="6">
        <f t="shared" ref="L132:L195" si="34">IF(S131="",0,IF(S131&lt;=P131,P131-S131,0))</f>
        <v>0</v>
      </c>
      <c r="M132" s="7">
        <f>0.2137/12</f>
        <v>1.7808333333333332E-2</v>
      </c>
      <c r="N132" s="7">
        <f>I132/13360000</f>
        <v>1.7816494760479043E-2</v>
      </c>
      <c r="O132" s="7">
        <f t="shared" si="33"/>
        <v>4.5829258656304717E-4</v>
      </c>
      <c r="P132" s="6">
        <f t="shared" ref="P132:P195" si="35">H132+I132+J132+K132+L132</f>
        <v>505947.86</v>
      </c>
      <c r="Q132" s="6">
        <v>13092080.51</v>
      </c>
      <c r="R132" s="4" t="s">
        <v>27</v>
      </c>
      <c r="S132" s="6">
        <v>506909.47</v>
      </c>
      <c r="T132" s="5">
        <v>44894</v>
      </c>
      <c r="U132" s="30" t="str">
        <f t="shared" si="31"/>
        <v>PAGADO</v>
      </c>
    </row>
    <row r="133" spans="1:21" x14ac:dyDescent="0.25">
      <c r="A133" s="4" t="str">
        <f t="shared" si="32"/>
        <v>202212</v>
      </c>
      <c r="B133" s="4" t="s">
        <v>24</v>
      </c>
      <c r="C133" s="4" t="s">
        <v>25</v>
      </c>
      <c r="D133" s="29" t="s">
        <v>30</v>
      </c>
      <c r="E133" s="28">
        <v>44920</v>
      </c>
      <c r="F133" s="4">
        <v>2</v>
      </c>
      <c r="G133" s="4">
        <v>34</v>
      </c>
      <c r="H133" s="6">
        <v>268589.83</v>
      </c>
      <c r="I133" s="6">
        <v>243987.95</v>
      </c>
      <c r="J133" s="6">
        <v>0</v>
      </c>
      <c r="K133" s="6">
        <v>0</v>
      </c>
      <c r="L133" s="6">
        <f t="shared" si="34"/>
        <v>0</v>
      </c>
      <c r="M133" s="7">
        <f t="shared" ref="M133:M196" si="36">0.2137/12</f>
        <v>1.7808333333333332E-2</v>
      </c>
      <c r="N133" s="7">
        <f>I133/Q132</f>
        <v>1.8636300763170299E-2</v>
      </c>
      <c r="O133" s="7">
        <f t="shared" si="33"/>
        <v>4.6493257641757602E-2</v>
      </c>
      <c r="P133" s="6">
        <f t="shared" si="35"/>
        <v>512577.78</v>
      </c>
      <c r="Q133" s="6">
        <v>12819387.633810185</v>
      </c>
      <c r="R133" s="4" t="str">
        <f t="shared" ref="R133:R167" ca="1" si="37">IF(T132="",TODAY()-E132,IF(T133="",TODAY()-E133,"OK"))</f>
        <v>OK</v>
      </c>
      <c r="S133" s="6">
        <v>513329.67</v>
      </c>
      <c r="T133" s="5">
        <v>44922</v>
      </c>
      <c r="U133" s="30" t="str">
        <f t="shared" si="31"/>
        <v>PAGADO</v>
      </c>
    </row>
    <row r="134" spans="1:21" x14ac:dyDescent="0.25">
      <c r="A134" s="4" t="str">
        <f t="shared" si="32"/>
        <v>20231</v>
      </c>
      <c r="B134" s="4" t="s">
        <v>24</v>
      </c>
      <c r="C134" s="4" t="s">
        <v>25</v>
      </c>
      <c r="D134" s="29" t="s">
        <v>30</v>
      </c>
      <c r="E134" s="28">
        <v>44951</v>
      </c>
      <c r="F134" s="4">
        <v>3</v>
      </c>
      <c r="G134" s="4">
        <v>33</v>
      </c>
      <c r="H134" s="6">
        <v>272331.39</v>
      </c>
      <c r="I134" s="6">
        <v>242292.15</v>
      </c>
      <c r="J134" s="6">
        <v>0</v>
      </c>
      <c r="K134" s="6">
        <v>0</v>
      </c>
      <c r="L134" s="6">
        <f t="shared" si="34"/>
        <v>0</v>
      </c>
      <c r="M134" s="7">
        <f t="shared" si="36"/>
        <v>1.7808333333333332E-2</v>
      </c>
      <c r="N134" s="7">
        <f t="shared" ref="N134:N167" si="38">I134/Q133</f>
        <v>1.8900446489422976E-2</v>
      </c>
      <c r="O134" s="7">
        <f t="shared" si="33"/>
        <v>6.1325961034514265E-2</v>
      </c>
      <c r="P134" s="6">
        <f t="shared" si="35"/>
        <v>514623.54000000004</v>
      </c>
      <c r="Q134" s="6">
        <v>12541836.326420514</v>
      </c>
      <c r="R134" s="4" t="str">
        <f t="shared" ca="1" si="37"/>
        <v>OK</v>
      </c>
      <c r="S134" s="6">
        <v>514891.89</v>
      </c>
      <c r="T134" s="5">
        <v>44952</v>
      </c>
      <c r="U134" s="30" t="str">
        <f t="shared" si="31"/>
        <v>PAGADO</v>
      </c>
    </row>
    <row r="135" spans="1:21" x14ac:dyDescent="0.25">
      <c r="A135" s="4" t="str">
        <f t="shared" si="32"/>
        <v>20232</v>
      </c>
      <c r="B135" s="4" t="s">
        <v>24</v>
      </c>
      <c r="C135" s="4" t="s">
        <v>25</v>
      </c>
      <c r="D135" s="29" t="s">
        <v>30</v>
      </c>
      <c r="E135" s="28">
        <v>44982</v>
      </c>
      <c r="F135" s="4">
        <v>4</v>
      </c>
      <c r="G135" s="4">
        <v>32</v>
      </c>
      <c r="H135" s="6">
        <v>274526.12</v>
      </c>
      <c r="I135" s="6">
        <v>244867.74</v>
      </c>
      <c r="J135" s="6">
        <v>0</v>
      </c>
      <c r="K135" s="6">
        <v>0</v>
      </c>
      <c r="L135" s="6">
        <f t="shared" si="34"/>
        <v>0</v>
      </c>
      <c r="M135" s="7">
        <f t="shared" si="36"/>
        <v>1.7808333333333332E-2</v>
      </c>
      <c r="N135" s="7">
        <f t="shared" si="38"/>
        <v>1.9524073957508433E-2</v>
      </c>
      <c r="O135" s="7">
        <f t="shared" si="33"/>
        <v>9.6344817454848908E-2</v>
      </c>
      <c r="P135" s="6">
        <f t="shared" si="35"/>
        <v>519393.86</v>
      </c>
      <c r="Q135" s="6">
        <v>12259340.02761697</v>
      </c>
      <c r="R135" s="4" t="str">
        <f t="shared" ca="1" si="37"/>
        <v>OK</v>
      </c>
      <c r="S135" s="6">
        <v>526883.6</v>
      </c>
      <c r="T135" s="5">
        <v>45008</v>
      </c>
      <c r="U135" s="30" t="str">
        <f t="shared" si="31"/>
        <v>PAGADO</v>
      </c>
    </row>
    <row r="136" spans="1:21" x14ac:dyDescent="0.25">
      <c r="A136" s="4" t="str">
        <f t="shared" si="32"/>
        <v>20233</v>
      </c>
      <c r="B136" s="4" t="s">
        <v>24</v>
      </c>
      <c r="C136" s="4" t="s">
        <v>25</v>
      </c>
      <c r="D136" s="29" t="s">
        <v>30</v>
      </c>
      <c r="E136" s="28">
        <v>45010</v>
      </c>
      <c r="F136" s="4">
        <v>5</v>
      </c>
      <c r="G136" s="4">
        <v>31</v>
      </c>
      <c r="H136" s="6">
        <v>278429.27</v>
      </c>
      <c r="I136" s="6">
        <v>243310.48</v>
      </c>
      <c r="J136" s="6">
        <v>0</v>
      </c>
      <c r="K136" s="6">
        <v>0</v>
      </c>
      <c r="L136" s="6">
        <f t="shared" si="34"/>
        <v>0</v>
      </c>
      <c r="M136" s="7">
        <f t="shared" si="36"/>
        <v>1.7808333333333332E-2</v>
      </c>
      <c r="N136" s="7">
        <f t="shared" si="38"/>
        <v>1.984694767025692E-2</v>
      </c>
      <c r="O136" s="7">
        <f>(N136/M136)-1</f>
        <v>0.11447530202659362</v>
      </c>
      <c r="P136" s="6">
        <f t="shared" si="35"/>
        <v>521739.75</v>
      </c>
      <c r="Q136" s="6">
        <v>11971810.634985939</v>
      </c>
      <c r="R136" s="4" t="str">
        <f t="shared" ca="1" si="37"/>
        <v>OK</v>
      </c>
      <c r="S136" s="6">
        <v>527321.49</v>
      </c>
      <c r="T136" s="5">
        <v>45029</v>
      </c>
      <c r="U136" s="30" t="str">
        <f t="shared" si="31"/>
        <v>PAGADO</v>
      </c>
    </row>
    <row r="137" spans="1:21" x14ac:dyDescent="0.25">
      <c r="A137" s="4" t="str">
        <f t="shared" si="32"/>
        <v>20234</v>
      </c>
      <c r="B137" s="4" t="s">
        <v>24</v>
      </c>
      <c r="C137" s="4" t="s">
        <v>25</v>
      </c>
      <c r="D137" s="29" t="s">
        <v>30</v>
      </c>
      <c r="E137" s="28">
        <v>45041</v>
      </c>
      <c r="F137" s="4">
        <v>6</v>
      </c>
      <c r="G137" s="4">
        <v>30</v>
      </c>
      <c r="H137" s="6">
        <v>287509.11</v>
      </c>
      <c r="I137" s="6">
        <v>228569</v>
      </c>
      <c r="J137" s="6">
        <v>0</v>
      </c>
      <c r="K137" s="6">
        <v>0</v>
      </c>
      <c r="L137" s="6">
        <f t="shared" si="34"/>
        <v>0</v>
      </c>
      <c r="M137" s="7">
        <f t="shared" si="36"/>
        <v>1.7808333333333332E-2</v>
      </c>
      <c r="N137" s="7">
        <f t="shared" si="38"/>
        <v>1.9092266572613429E-2</v>
      </c>
      <c r="O137" s="7">
        <f t="shared" si="33"/>
        <v>7.2097327427988578E-2</v>
      </c>
      <c r="P137" s="6">
        <f t="shared" si="35"/>
        <v>516078.11</v>
      </c>
      <c r="Q137" s="6">
        <v>11679158.476437613</v>
      </c>
      <c r="R137" s="4" t="str">
        <f t="shared" ca="1" si="37"/>
        <v>OK</v>
      </c>
      <c r="S137" s="6">
        <v>516991.41</v>
      </c>
      <c r="T137" s="5">
        <v>45045</v>
      </c>
      <c r="U137" s="30" t="str">
        <f t="shared" si="31"/>
        <v>PAGADO</v>
      </c>
    </row>
    <row r="138" spans="1:21" x14ac:dyDescent="0.25">
      <c r="A138" s="4" t="str">
        <f t="shared" si="32"/>
        <v>20235</v>
      </c>
      <c r="B138" s="4" t="s">
        <v>24</v>
      </c>
      <c r="C138" s="4" t="s">
        <v>25</v>
      </c>
      <c r="D138" s="29" t="s">
        <v>30</v>
      </c>
      <c r="E138" s="28">
        <v>45071</v>
      </c>
      <c r="F138" s="4">
        <v>7</v>
      </c>
      <c r="G138" s="4">
        <v>29</v>
      </c>
      <c r="H138" s="6">
        <v>297866.19419774483</v>
      </c>
      <c r="I138" s="6">
        <v>208081.66580225513</v>
      </c>
      <c r="J138" s="6">
        <v>0</v>
      </c>
      <c r="K138" s="6">
        <v>0</v>
      </c>
      <c r="L138" s="6">
        <f t="shared" si="34"/>
        <v>0</v>
      </c>
      <c r="M138" s="7">
        <f t="shared" si="36"/>
        <v>1.7808333333333332E-2</v>
      </c>
      <c r="N138" s="7">
        <f t="shared" si="38"/>
        <v>1.7816494760479043E-2</v>
      </c>
      <c r="O138" s="7">
        <f t="shared" si="33"/>
        <v>4.5829258656304717E-4</v>
      </c>
      <c r="P138" s="6">
        <f t="shared" si="35"/>
        <v>505947.86</v>
      </c>
      <c r="Q138" s="6">
        <v>11381292.282239869</v>
      </c>
      <c r="R138" s="4" t="str">
        <f t="shared" ca="1" si="37"/>
        <v>OK</v>
      </c>
      <c r="S138" s="6">
        <v>517658.88</v>
      </c>
      <c r="T138" s="5">
        <v>45089</v>
      </c>
      <c r="U138" s="30" t="str">
        <f t="shared" si="31"/>
        <v>PAGADO</v>
      </c>
    </row>
    <row r="139" spans="1:21" x14ac:dyDescent="0.25">
      <c r="A139" s="4" t="str">
        <f t="shared" si="32"/>
        <v>20236</v>
      </c>
      <c r="B139" s="4" t="s">
        <v>24</v>
      </c>
      <c r="C139" s="4" t="s">
        <v>25</v>
      </c>
      <c r="D139" s="29" t="s">
        <v>30</v>
      </c>
      <c r="E139" s="28">
        <v>45102</v>
      </c>
      <c r="F139" s="4">
        <v>8</v>
      </c>
      <c r="G139" s="4">
        <v>28</v>
      </c>
      <c r="H139" s="6">
        <v>303173.12568599277</v>
      </c>
      <c r="I139" s="6">
        <v>202774.73431400719</v>
      </c>
      <c r="J139" s="6">
        <v>0</v>
      </c>
      <c r="K139" s="6">
        <v>0</v>
      </c>
      <c r="L139" s="6">
        <f t="shared" si="34"/>
        <v>0</v>
      </c>
      <c r="M139" s="7">
        <f t="shared" si="36"/>
        <v>1.7808333333333332E-2</v>
      </c>
      <c r="N139" s="7">
        <f t="shared" si="38"/>
        <v>1.7816494760479043E-2</v>
      </c>
      <c r="O139" s="7">
        <f t="shared" si="33"/>
        <v>4.5829258656304717E-4</v>
      </c>
      <c r="P139" s="6">
        <f t="shared" si="35"/>
        <v>505947.86</v>
      </c>
      <c r="Q139" s="6">
        <v>11078119.156553876</v>
      </c>
      <c r="R139" s="4" t="str">
        <f t="shared" ca="1" si="37"/>
        <v>OK</v>
      </c>
      <c r="S139" s="6">
        <v>513138.47</v>
      </c>
      <c r="T139" s="5">
        <v>45106</v>
      </c>
      <c r="U139" s="30" t="str">
        <f t="shared" si="31"/>
        <v>PAGADO</v>
      </c>
    </row>
    <row r="140" spans="1:21" x14ac:dyDescent="0.25">
      <c r="A140" s="4" t="str">
        <f t="shared" si="32"/>
        <v>20237</v>
      </c>
      <c r="B140" s="4" t="s">
        <v>24</v>
      </c>
      <c r="C140" s="4" t="s">
        <v>25</v>
      </c>
      <c r="D140" s="29" t="s">
        <v>30</v>
      </c>
      <c r="E140" s="28">
        <v>45132</v>
      </c>
      <c r="F140" s="4">
        <v>9</v>
      </c>
      <c r="G140" s="4">
        <v>27</v>
      </c>
      <c r="H140" s="6">
        <v>304588.77</v>
      </c>
      <c r="I140" s="6">
        <v>210518.01</v>
      </c>
      <c r="J140" s="6">
        <v>0</v>
      </c>
      <c r="K140" s="6">
        <v>0</v>
      </c>
      <c r="L140" s="6">
        <f t="shared" si="34"/>
        <v>0</v>
      </c>
      <c r="M140" s="7">
        <f t="shared" si="36"/>
        <v>1.7808333333333332E-2</v>
      </c>
      <c r="N140" s="7">
        <f t="shared" si="38"/>
        <v>1.9003046187263332E-2</v>
      </c>
      <c r="O140" s="7">
        <f t="shared" si="33"/>
        <v>6.7087291750865807E-2</v>
      </c>
      <c r="P140" s="6">
        <f t="shared" si="35"/>
        <v>515106.78</v>
      </c>
      <c r="Q140" s="6">
        <v>10769544.548462581</v>
      </c>
      <c r="R140" s="4" t="str">
        <f t="shared" ca="1" si="37"/>
        <v>OK</v>
      </c>
      <c r="S140" s="6">
        <v>522071.49</v>
      </c>
      <c r="T140" s="5">
        <v>45155</v>
      </c>
      <c r="U140" s="30" t="str">
        <f t="shared" si="31"/>
        <v>PAGADO</v>
      </c>
    </row>
    <row r="141" spans="1:21" x14ac:dyDescent="0.25">
      <c r="A141" s="4" t="str">
        <f t="shared" si="32"/>
        <v>20238</v>
      </c>
      <c r="B141" s="4" t="s">
        <v>24</v>
      </c>
      <c r="C141" s="4" t="s">
        <v>25</v>
      </c>
      <c r="D141" s="29" t="s">
        <v>30</v>
      </c>
      <c r="E141" s="28">
        <v>45163</v>
      </c>
      <c r="F141" s="4">
        <v>10</v>
      </c>
      <c r="G141" s="4">
        <v>26</v>
      </c>
      <c r="H141" s="6">
        <v>309020.28999999998</v>
      </c>
      <c r="I141" s="6">
        <v>208113.66</v>
      </c>
      <c r="J141" s="6">
        <v>0</v>
      </c>
      <c r="K141" s="6">
        <v>0</v>
      </c>
      <c r="L141" s="6">
        <f t="shared" si="34"/>
        <v>0</v>
      </c>
      <c r="M141" s="7">
        <f t="shared" si="36"/>
        <v>1.7808333333333332E-2</v>
      </c>
      <c r="N141" s="7">
        <f t="shared" si="38"/>
        <v>1.9324276812589025E-2</v>
      </c>
      <c r="O141" s="7">
        <f t="shared" si="33"/>
        <v>8.5125511235696338E-2</v>
      </c>
      <c r="P141" s="6">
        <f t="shared" si="35"/>
        <v>517133.94999999995</v>
      </c>
      <c r="Q141" s="6">
        <v>10455472.222483011</v>
      </c>
      <c r="R141" s="4" t="str">
        <f t="shared" ca="1" si="37"/>
        <v>OK</v>
      </c>
      <c r="S141" s="6">
        <v>525267.42000000004</v>
      </c>
      <c r="T141" s="5">
        <v>45190</v>
      </c>
      <c r="U141" s="30" t="str">
        <f t="shared" si="31"/>
        <v>PAGADO</v>
      </c>
    </row>
    <row r="142" spans="1:21" x14ac:dyDescent="0.25">
      <c r="A142" s="4" t="str">
        <f t="shared" si="32"/>
        <v>20239</v>
      </c>
      <c r="B142" s="4" t="s">
        <v>24</v>
      </c>
      <c r="C142" s="4" t="s">
        <v>25</v>
      </c>
      <c r="D142" s="29" t="s">
        <v>30</v>
      </c>
      <c r="E142" s="28">
        <v>45194</v>
      </c>
      <c r="F142" s="4">
        <v>11</v>
      </c>
      <c r="G142" s="4">
        <v>25</v>
      </c>
      <c r="H142" s="6">
        <v>313980.86</v>
      </c>
      <c r="I142" s="6">
        <v>204643.92</v>
      </c>
      <c r="J142" s="6">
        <v>0</v>
      </c>
      <c r="K142" s="6">
        <v>0</v>
      </c>
      <c r="L142" s="6">
        <f t="shared" si="34"/>
        <v>0</v>
      </c>
      <c r="M142" s="7">
        <f t="shared" si="36"/>
        <v>1.7808333333333332E-2</v>
      </c>
      <c r="N142" s="7">
        <f t="shared" si="38"/>
        <v>1.9572900739953405E-2</v>
      </c>
      <c r="O142" s="7">
        <f t="shared" si="33"/>
        <v>9.9086611508848232E-2</v>
      </c>
      <c r="P142" s="6">
        <f t="shared" si="35"/>
        <v>518624.78</v>
      </c>
      <c r="Q142" s="6">
        <v>10135804.228553213</v>
      </c>
      <c r="R142" s="4" t="str">
        <f t="shared" ca="1" si="37"/>
        <v>OK</v>
      </c>
      <c r="S142" s="6">
        <v>527500</v>
      </c>
      <c r="T142" s="5">
        <v>45224</v>
      </c>
      <c r="U142" s="30" t="str">
        <f t="shared" si="31"/>
        <v>PAGADO</v>
      </c>
    </row>
    <row r="143" spans="1:21" x14ac:dyDescent="0.25">
      <c r="A143" s="4" t="str">
        <f t="shared" si="32"/>
        <v>202310</v>
      </c>
      <c r="B143" s="4" t="s">
        <v>24</v>
      </c>
      <c r="C143" s="4" t="s">
        <v>25</v>
      </c>
      <c r="D143" s="29" t="s">
        <v>30</v>
      </c>
      <c r="E143" s="28">
        <v>45224</v>
      </c>
      <c r="F143" s="4">
        <v>12</v>
      </c>
      <c r="G143" s="4">
        <v>24</v>
      </c>
      <c r="H143" s="6">
        <v>325363.3570687403</v>
      </c>
      <c r="I143" s="6">
        <v>180584.50293125966</v>
      </c>
      <c r="J143" s="6">
        <v>0</v>
      </c>
      <c r="K143" s="6">
        <v>0</v>
      </c>
      <c r="L143" s="6">
        <f t="shared" si="34"/>
        <v>0</v>
      </c>
      <c r="M143" s="7">
        <f>0.2137/12</f>
        <v>1.7808333333333332E-2</v>
      </c>
      <c r="N143" s="7">
        <f t="shared" si="38"/>
        <v>1.7816494760479043E-2</v>
      </c>
      <c r="O143" s="7">
        <f t="shared" si="33"/>
        <v>4.5829258656304717E-4</v>
      </c>
      <c r="P143" s="6">
        <f t="shared" si="35"/>
        <v>505947.86</v>
      </c>
      <c r="Q143" s="6">
        <v>9810440.8714844733</v>
      </c>
      <c r="R143" s="4" t="str">
        <f t="shared" ca="1" si="37"/>
        <v>OK</v>
      </c>
      <c r="S143" s="6">
        <v>523826.84</v>
      </c>
      <c r="T143" s="5">
        <v>45254</v>
      </c>
      <c r="U143" s="30" t="str">
        <f t="shared" si="31"/>
        <v>PAGADO</v>
      </c>
    </row>
    <row r="144" spans="1:21" x14ac:dyDescent="0.25">
      <c r="A144" s="4" t="str">
        <f t="shared" si="32"/>
        <v>202311</v>
      </c>
      <c r="B144" s="4" t="s">
        <v>24</v>
      </c>
      <c r="C144" s="4" t="s">
        <v>25</v>
      </c>
      <c r="D144" s="29" t="s">
        <v>30</v>
      </c>
      <c r="E144" s="28">
        <v>45255</v>
      </c>
      <c r="F144" s="4">
        <v>13</v>
      </c>
      <c r="G144" s="4">
        <v>23</v>
      </c>
      <c r="H144" s="6">
        <v>331160.19161520741</v>
      </c>
      <c r="I144" s="6">
        <v>174787.66838479257</v>
      </c>
      <c r="J144" s="6">
        <v>0</v>
      </c>
      <c r="K144" s="6">
        <v>0</v>
      </c>
      <c r="L144" s="6">
        <f t="shared" si="34"/>
        <v>0</v>
      </c>
      <c r="M144" s="7">
        <f t="shared" si="36"/>
        <v>1.7808333333333332E-2</v>
      </c>
      <c r="N144" s="7">
        <f t="shared" si="38"/>
        <v>1.7816494760479043E-2</v>
      </c>
      <c r="O144" s="7">
        <f t="shared" si="33"/>
        <v>4.5829258656304717E-4</v>
      </c>
      <c r="P144" s="6">
        <f t="shared" si="35"/>
        <v>505947.86</v>
      </c>
      <c r="Q144" s="6">
        <v>9479280.6798692662</v>
      </c>
      <c r="R144" s="4" t="str">
        <f t="shared" ca="1" si="37"/>
        <v>OK</v>
      </c>
      <c r="S144" s="6">
        <v>1003167.96</v>
      </c>
      <c r="T144" s="5">
        <v>45286</v>
      </c>
      <c r="U144" s="30" t="str">
        <f t="shared" si="31"/>
        <v>PAGADO</v>
      </c>
    </row>
    <row r="145" spans="1:21" x14ac:dyDescent="0.25">
      <c r="A145" s="4" t="str">
        <f t="shared" si="32"/>
        <v>202312</v>
      </c>
      <c r="B145" s="4" t="s">
        <v>24</v>
      </c>
      <c r="C145" s="4" t="s">
        <v>25</v>
      </c>
      <c r="D145" s="29" t="s">
        <v>30</v>
      </c>
      <c r="E145" s="28">
        <v>45285</v>
      </c>
      <c r="F145" s="4">
        <v>14</v>
      </c>
      <c r="G145" s="4">
        <v>22</v>
      </c>
      <c r="H145" s="6">
        <v>337060.30543399899</v>
      </c>
      <c r="I145" s="6">
        <v>168887.554566001</v>
      </c>
      <c r="J145" s="6">
        <v>0</v>
      </c>
      <c r="K145" s="6">
        <v>0</v>
      </c>
      <c r="L145" s="6">
        <f t="shared" si="34"/>
        <v>0</v>
      </c>
      <c r="M145" s="7">
        <f t="shared" si="36"/>
        <v>1.7808333333333332E-2</v>
      </c>
      <c r="N145" s="7">
        <f t="shared" si="38"/>
        <v>1.7816494760479043E-2</v>
      </c>
      <c r="O145" s="7">
        <f t="shared" si="33"/>
        <v>4.5829258656304717E-4</v>
      </c>
      <c r="P145" s="6">
        <f t="shared" si="35"/>
        <v>505947.86</v>
      </c>
      <c r="Q145" s="6">
        <v>9142220.3744352665</v>
      </c>
      <c r="R145" s="4" t="str">
        <f t="shared" ca="1" si="37"/>
        <v>OK</v>
      </c>
      <c r="S145" s="6">
        <v>522381.21</v>
      </c>
      <c r="T145" s="5">
        <v>45315</v>
      </c>
      <c r="U145" s="30" t="str">
        <f t="shared" si="31"/>
        <v>PAGADO</v>
      </c>
    </row>
    <row r="146" spans="1:21" x14ac:dyDescent="0.25">
      <c r="A146" s="4" t="str">
        <f t="shared" si="32"/>
        <v>20241</v>
      </c>
      <c r="B146" s="4" t="s">
        <v>24</v>
      </c>
      <c r="C146" s="4" t="s">
        <v>25</v>
      </c>
      <c r="D146" s="29" t="s">
        <v>30</v>
      </c>
      <c r="E146" s="28">
        <v>45316</v>
      </c>
      <c r="F146" s="4">
        <v>15</v>
      </c>
      <c r="G146" s="4">
        <v>21</v>
      </c>
      <c r="H146" s="6">
        <v>343065.53859972931</v>
      </c>
      <c r="I146" s="6">
        <v>162882.32140027068</v>
      </c>
      <c r="J146" s="6">
        <v>0</v>
      </c>
      <c r="K146" s="6">
        <v>0</v>
      </c>
      <c r="L146" s="6">
        <f t="shared" si="34"/>
        <v>0</v>
      </c>
      <c r="M146" s="7">
        <f t="shared" si="36"/>
        <v>1.7808333333333332E-2</v>
      </c>
      <c r="N146" s="7">
        <f t="shared" si="38"/>
        <v>1.7816494760479043E-2</v>
      </c>
      <c r="O146" s="7">
        <f t="shared" si="33"/>
        <v>4.5829258656304717E-4</v>
      </c>
      <c r="P146" s="6">
        <f t="shared" si="35"/>
        <v>505947.86</v>
      </c>
      <c r="Q146" s="6">
        <v>8799154.8358355369</v>
      </c>
      <c r="R146" s="4" t="str">
        <f t="shared" ca="1" si="37"/>
        <v>OK</v>
      </c>
      <c r="S146" s="6">
        <v>600000</v>
      </c>
      <c r="T146" s="5">
        <v>45346</v>
      </c>
      <c r="U146" s="30" t="str">
        <f t="shared" si="31"/>
        <v>PAGADO</v>
      </c>
    </row>
    <row r="147" spans="1:21" x14ac:dyDescent="0.25">
      <c r="A147" s="4" t="str">
        <f t="shared" si="32"/>
        <v>20242</v>
      </c>
      <c r="B147" s="4" t="s">
        <v>24</v>
      </c>
      <c r="C147" s="4" t="s">
        <v>25</v>
      </c>
      <c r="D147" s="29" t="s">
        <v>30</v>
      </c>
      <c r="E147" s="28">
        <v>45347</v>
      </c>
      <c r="F147" s="4">
        <v>16</v>
      </c>
      <c r="G147" s="4">
        <v>20</v>
      </c>
      <c r="H147" s="6">
        <v>349177.76397069229</v>
      </c>
      <c r="I147" s="6">
        <v>156770.09602930766</v>
      </c>
      <c r="J147" s="6">
        <v>0</v>
      </c>
      <c r="K147" s="6">
        <v>0</v>
      </c>
      <c r="L147" s="6">
        <f t="shared" si="34"/>
        <v>0</v>
      </c>
      <c r="M147" s="7">
        <f t="shared" si="36"/>
        <v>1.7808333333333332E-2</v>
      </c>
      <c r="N147" s="7">
        <f t="shared" si="38"/>
        <v>1.7816494760479043E-2</v>
      </c>
      <c r="O147" s="7">
        <f t="shared" si="33"/>
        <v>4.5829258656304717E-4</v>
      </c>
      <c r="P147" s="6">
        <f t="shared" si="35"/>
        <v>505947.86</v>
      </c>
      <c r="Q147" s="6">
        <v>8449977.0718648452</v>
      </c>
      <c r="R147" s="4" t="str">
        <f t="shared" ca="1" si="37"/>
        <v>OK</v>
      </c>
      <c r="S147" s="6">
        <v>949881.13</v>
      </c>
      <c r="T147" s="5">
        <v>45377</v>
      </c>
      <c r="U147" s="30" t="str">
        <f t="shared" si="31"/>
        <v>PAGADO</v>
      </c>
    </row>
    <row r="148" spans="1:21" x14ac:dyDescent="0.25">
      <c r="A148" s="4" t="str">
        <f t="shared" si="32"/>
        <v>20243</v>
      </c>
      <c r="B148" s="4" t="s">
        <v>24</v>
      </c>
      <c r="C148" s="4" t="s">
        <v>25</v>
      </c>
      <c r="D148" s="29" t="s">
        <v>30</v>
      </c>
      <c r="E148" s="28">
        <v>45376</v>
      </c>
      <c r="F148" s="4">
        <v>17</v>
      </c>
      <c r="G148" s="4">
        <v>19</v>
      </c>
      <c r="H148" s="6">
        <v>355398.88777295192</v>
      </c>
      <c r="I148" s="6">
        <v>150548.97222704807</v>
      </c>
      <c r="J148" s="6">
        <v>0</v>
      </c>
      <c r="K148" s="6">
        <v>0</v>
      </c>
      <c r="L148" s="6">
        <f t="shared" si="34"/>
        <v>0</v>
      </c>
      <c r="M148" s="7">
        <f t="shared" si="36"/>
        <v>1.7808333333333332E-2</v>
      </c>
      <c r="N148" s="7">
        <f t="shared" si="38"/>
        <v>1.7816494760479043E-2</v>
      </c>
      <c r="O148" s="7">
        <f t="shared" si="33"/>
        <v>4.5829258656304717E-4</v>
      </c>
      <c r="P148" s="6">
        <f t="shared" si="35"/>
        <v>505947.86</v>
      </c>
      <c r="Q148" s="6">
        <v>8094578.184091893</v>
      </c>
      <c r="R148" s="4" t="str">
        <f t="shared" ca="1" si="37"/>
        <v>OK</v>
      </c>
      <c r="S148" s="6">
        <v>0</v>
      </c>
      <c r="T148" s="5">
        <v>45377</v>
      </c>
      <c r="U148" s="30" t="str">
        <f t="shared" si="31"/>
        <v>PAGADO</v>
      </c>
    </row>
    <row r="149" spans="1:21" x14ac:dyDescent="0.25">
      <c r="A149" s="4" t="str">
        <f t="shared" si="32"/>
        <v>20244</v>
      </c>
      <c r="B149" s="4" t="s">
        <v>24</v>
      </c>
      <c r="C149" s="4" t="s">
        <v>25</v>
      </c>
      <c r="D149" s="29" t="s">
        <v>30</v>
      </c>
      <c r="E149" s="28">
        <v>45407</v>
      </c>
      <c r="F149" s="4">
        <v>18</v>
      </c>
      <c r="G149" s="4">
        <v>18</v>
      </c>
      <c r="H149" s="6">
        <v>361730.85019483883</v>
      </c>
      <c r="I149" s="6">
        <v>144217.00980516119</v>
      </c>
      <c r="J149" s="6">
        <v>0</v>
      </c>
      <c r="K149" s="6">
        <v>0</v>
      </c>
      <c r="L149" s="6">
        <f t="shared" si="34"/>
        <v>505947.86</v>
      </c>
      <c r="M149" s="7">
        <f t="shared" si="36"/>
        <v>1.7808333333333332E-2</v>
      </c>
      <c r="N149" s="7">
        <f t="shared" si="38"/>
        <v>1.7816494760479043E-2</v>
      </c>
      <c r="O149" s="7">
        <f t="shared" si="33"/>
        <v>4.5829258656304717E-4</v>
      </c>
      <c r="P149" s="6">
        <f t="shared" si="35"/>
        <v>1011895.72</v>
      </c>
      <c r="Q149" s="6">
        <v>7732847.3338970542</v>
      </c>
      <c r="R149" s="4" t="str">
        <f t="shared" ca="1" si="37"/>
        <v>OK</v>
      </c>
      <c r="S149" s="6">
        <v>570000</v>
      </c>
      <c r="T149" s="5">
        <v>45439</v>
      </c>
      <c r="U149" s="30" t="str">
        <f t="shared" si="31"/>
        <v>PAGADO</v>
      </c>
    </row>
    <row r="150" spans="1:21" x14ac:dyDescent="0.25">
      <c r="A150" s="4" t="str">
        <f t="shared" si="32"/>
        <v>20245</v>
      </c>
      <c r="B150" s="4" t="s">
        <v>24</v>
      </c>
      <c r="C150" s="4" t="s">
        <v>25</v>
      </c>
      <c r="D150" s="29" t="s">
        <v>30</v>
      </c>
      <c r="E150" s="28">
        <v>45437</v>
      </c>
      <c r="F150" s="4">
        <v>19</v>
      </c>
      <c r="G150" s="4">
        <v>17</v>
      </c>
      <c r="H150" s="6">
        <v>368175.62599203875</v>
      </c>
      <c r="I150" s="6">
        <v>137772.2340079612</v>
      </c>
      <c r="J150" s="6">
        <v>0</v>
      </c>
      <c r="K150" s="6">
        <v>0</v>
      </c>
      <c r="L150" s="6">
        <f t="shared" si="34"/>
        <v>441895.72</v>
      </c>
      <c r="M150" s="7">
        <f t="shared" si="36"/>
        <v>1.7808333333333332E-2</v>
      </c>
      <c r="N150" s="7">
        <f t="shared" si="38"/>
        <v>1.7816494760479043E-2</v>
      </c>
      <c r="O150" s="7">
        <f t="shared" si="33"/>
        <v>4.5829258656304717E-4</v>
      </c>
      <c r="P150" s="6">
        <f t="shared" si="35"/>
        <v>947843.58</v>
      </c>
      <c r="Q150" s="6">
        <v>7364671.707905015</v>
      </c>
      <c r="R150" s="4" t="str">
        <f t="shared" ca="1" si="37"/>
        <v>OK</v>
      </c>
      <c r="S150" s="6">
        <v>458324.42</v>
      </c>
      <c r="T150" s="5">
        <v>45456</v>
      </c>
      <c r="U150" s="30" t="str">
        <f t="shared" si="31"/>
        <v>PAGADO</v>
      </c>
    </row>
    <row r="151" spans="1:21" x14ac:dyDescent="0.25">
      <c r="A151" s="4" t="str">
        <f t="shared" si="32"/>
        <v>20246</v>
      </c>
      <c r="B151" s="4" t="s">
        <v>24</v>
      </c>
      <c r="C151" s="4" t="s">
        <v>25</v>
      </c>
      <c r="D151" s="29" t="s">
        <v>30</v>
      </c>
      <c r="E151" s="28">
        <v>45468</v>
      </c>
      <c r="F151" s="4">
        <v>20</v>
      </c>
      <c r="G151" s="4">
        <v>16</v>
      </c>
      <c r="H151" s="6">
        <v>374735.225103462</v>
      </c>
      <c r="I151" s="6">
        <v>131212.63489653796</v>
      </c>
      <c r="J151" s="6">
        <v>0</v>
      </c>
      <c r="K151" s="6">
        <v>0</v>
      </c>
      <c r="L151" s="6">
        <f t="shared" si="34"/>
        <v>489519.16</v>
      </c>
      <c r="M151" s="7">
        <f t="shared" si="36"/>
        <v>1.7808333333333332E-2</v>
      </c>
      <c r="N151" s="7">
        <f t="shared" si="38"/>
        <v>1.7816494760479046E-2</v>
      </c>
      <c r="O151" s="7">
        <f t="shared" si="33"/>
        <v>4.5829258656326921E-4</v>
      </c>
      <c r="P151" s="6">
        <f t="shared" si="35"/>
        <v>995467.02</v>
      </c>
      <c r="Q151" s="6">
        <v>6989936.4828015529</v>
      </c>
      <c r="R151" s="4" t="str">
        <f t="shared" ca="1" si="37"/>
        <v>OK</v>
      </c>
      <c r="S151" s="6">
        <v>506518.49</v>
      </c>
      <c r="T151" s="5">
        <v>45471</v>
      </c>
      <c r="U151" s="30" t="str">
        <f t="shared" si="31"/>
        <v>PAGADO</v>
      </c>
    </row>
    <row r="152" spans="1:21" x14ac:dyDescent="0.25">
      <c r="A152" s="4" t="str">
        <f t="shared" si="32"/>
        <v>20247</v>
      </c>
      <c r="B152" s="4" t="s">
        <v>24</v>
      </c>
      <c r="C152" s="4" t="s">
        <v>25</v>
      </c>
      <c r="D152" s="29" t="s">
        <v>30</v>
      </c>
      <c r="E152" s="28">
        <v>45498</v>
      </c>
      <c r="F152" s="4">
        <v>21</v>
      </c>
      <c r="G152" s="4">
        <v>15</v>
      </c>
      <c r="H152" s="6">
        <v>381411.6932780848</v>
      </c>
      <c r="I152" s="6">
        <v>124536.16672191517</v>
      </c>
      <c r="J152" s="6">
        <v>0</v>
      </c>
      <c r="K152" s="6">
        <v>0</v>
      </c>
      <c r="L152" s="6">
        <f t="shared" si="34"/>
        <v>488948.53</v>
      </c>
      <c r="M152" s="7">
        <f t="shared" si="36"/>
        <v>1.7808333333333332E-2</v>
      </c>
      <c r="N152" s="7">
        <f t="shared" si="38"/>
        <v>1.7816494760479043E-2</v>
      </c>
      <c r="O152" s="7">
        <f t="shared" si="33"/>
        <v>4.5829258656304717E-4</v>
      </c>
      <c r="P152" s="6">
        <f t="shared" si="35"/>
        <v>994896.39</v>
      </c>
      <c r="Q152" s="6">
        <v>6608524.7895234684</v>
      </c>
      <c r="R152" s="4" t="str">
        <f t="shared" ca="1" si="37"/>
        <v>OK</v>
      </c>
      <c r="S152" s="6">
        <v>510312.26</v>
      </c>
      <c r="T152" s="5">
        <v>45515</v>
      </c>
      <c r="U152" s="30" t="str">
        <f t="shared" si="31"/>
        <v>PAGADO</v>
      </c>
    </row>
    <row r="153" spans="1:21" x14ac:dyDescent="0.25">
      <c r="A153" s="4" t="str">
        <f t="shared" si="32"/>
        <v>20248</v>
      </c>
      <c r="B153" s="4" t="s">
        <v>24</v>
      </c>
      <c r="C153" s="4" t="s">
        <v>25</v>
      </c>
      <c r="D153" s="29" t="s">
        <v>30</v>
      </c>
      <c r="E153" s="28">
        <v>45529</v>
      </c>
      <c r="F153" s="4">
        <v>22</v>
      </c>
      <c r="G153" s="4">
        <v>14</v>
      </c>
      <c r="H153" s="6">
        <v>388207.11271295924</v>
      </c>
      <c r="I153" s="6">
        <v>117740.74728704075</v>
      </c>
      <c r="J153" s="6">
        <v>0</v>
      </c>
      <c r="K153" s="6">
        <v>0</v>
      </c>
      <c r="L153" s="6">
        <f t="shared" si="34"/>
        <v>484584.13</v>
      </c>
      <c r="M153" s="7">
        <f t="shared" si="36"/>
        <v>1.7808333333333332E-2</v>
      </c>
      <c r="N153" s="7">
        <f t="shared" si="38"/>
        <v>1.7816494760479043E-2</v>
      </c>
      <c r="O153" s="7">
        <f t="shared" si="33"/>
        <v>4.5829258656304717E-4</v>
      </c>
      <c r="P153" s="6">
        <f t="shared" si="35"/>
        <v>990531.99</v>
      </c>
      <c r="Q153" s="6">
        <v>6220317.6768105095</v>
      </c>
      <c r="R153" s="4">
        <f t="shared" ca="1" si="37"/>
        <v>9</v>
      </c>
      <c r="S153" s="6"/>
      <c r="T153" s="5"/>
      <c r="U153" s="30" t="str">
        <f t="shared" si="31"/>
        <v>PENDIENTE</v>
      </c>
    </row>
    <row r="154" spans="1:21" x14ac:dyDescent="0.25">
      <c r="A154" s="4" t="str">
        <f t="shared" si="32"/>
        <v>20249</v>
      </c>
      <c r="B154" s="4" t="s">
        <v>24</v>
      </c>
      <c r="C154" s="4" t="s">
        <v>25</v>
      </c>
      <c r="D154" s="29" t="s">
        <v>30</v>
      </c>
      <c r="E154" s="28">
        <v>45560</v>
      </c>
      <c r="F154" s="4">
        <v>23</v>
      </c>
      <c r="G154" s="4">
        <v>13</v>
      </c>
      <c r="H154" s="6">
        <v>395123.6027025904</v>
      </c>
      <c r="I154" s="6">
        <v>110824.25729740961</v>
      </c>
      <c r="J154" s="6">
        <v>0</v>
      </c>
      <c r="K154" s="6">
        <v>0</v>
      </c>
      <c r="L154" s="6">
        <f t="shared" si="34"/>
        <v>0</v>
      </c>
      <c r="M154" s="7">
        <f t="shared" si="36"/>
        <v>1.7808333333333332E-2</v>
      </c>
      <c r="N154" s="7">
        <f t="shared" si="38"/>
        <v>1.7816494760479043E-2</v>
      </c>
      <c r="O154" s="7">
        <f t="shared" si="33"/>
        <v>4.5829258656304717E-4</v>
      </c>
      <c r="P154" s="6">
        <f t="shared" si="35"/>
        <v>505947.86</v>
      </c>
      <c r="Q154" s="6">
        <v>5825194.0741079189</v>
      </c>
      <c r="R154" s="4">
        <f t="shared" ca="1" si="37"/>
        <v>9</v>
      </c>
      <c r="S154" s="6"/>
      <c r="T154" s="5"/>
      <c r="U154" s="30" t="str">
        <f t="shared" si="31"/>
        <v>PENDIENTE</v>
      </c>
    </row>
    <row r="155" spans="1:21" x14ac:dyDescent="0.25">
      <c r="A155" s="4" t="str">
        <f t="shared" si="32"/>
        <v>202410</v>
      </c>
      <c r="B155" s="4" t="s">
        <v>24</v>
      </c>
      <c r="C155" s="4" t="s">
        <v>25</v>
      </c>
      <c r="D155" s="29" t="s">
        <v>30</v>
      </c>
      <c r="E155" s="28">
        <v>45590</v>
      </c>
      <c r="F155" s="4">
        <v>24</v>
      </c>
      <c r="G155" s="4">
        <v>12</v>
      </c>
      <c r="H155" s="6">
        <v>402163.32029988267</v>
      </c>
      <c r="I155" s="6">
        <v>103784.53970011731</v>
      </c>
      <c r="J155" s="6">
        <v>0</v>
      </c>
      <c r="K155" s="6">
        <v>0</v>
      </c>
      <c r="L155" s="6">
        <f t="shared" si="34"/>
        <v>0</v>
      </c>
      <c r="M155" s="7">
        <f t="shared" si="36"/>
        <v>1.7808333333333332E-2</v>
      </c>
      <c r="N155" s="7">
        <f t="shared" si="38"/>
        <v>1.7816494760479043E-2</v>
      </c>
      <c r="O155" s="7">
        <f t="shared" si="33"/>
        <v>4.5829258656304717E-4</v>
      </c>
      <c r="P155" s="6">
        <f t="shared" si="35"/>
        <v>505947.86</v>
      </c>
      <c r="Q155" s="6">
        <v>5423030.7538080364</v>
      </c>
      <c r="R155" s="4">
        <f t="shared" ca="1" si="37"/>
        <v>-22</v>
      </c>
      <c r="S155" s="6"/>
      <c r="T155" s="5"/>
      <c r="U155" s="30" t="str">
        <f t="shared" si="31"/>
        <v>PENDIENTE</v>
      </c>
    </row>
    <row r="156" spans="1:21" x14ac:dyDescent="0.25">
      <c r="A156" s="4" t="str">
        <f t="shared" si="32"/>
        <v>202411</v>
      </c>
      <c r="B156" s="4" t="s">
        <v>24</v>
      </c>
      <c r="C156" s="4" t="s">
        <v>25</v>
      </c>
      <c r="D156" s="29" t="s">
        <v>30</v>
      </c>
      <c r="E156" s="28">
        <v>45621</v>
      </c>
      <c r="F156" s="4">
        <v>25</v>
      </c>
      <c r="G156" s="4">
        <v>11</v>
      </c>
      <c r="H156" s="6">
        <v>409328.46098886238</v>
      </c>
      <c r="I156" s="6">
        <v>96619.39901113759</v>
      </c>
      <c r="J156" s="6">
        <v>0</v>
      </c>
      <c r="K156" s="6">
        <v>0</v>
      </c>
      <c r="L156" s="6">
        <f t="shared" si="34"/>
        <v>0</v>
      </c>
      <c r="M156" s="7">
        <f t="shared" si="36"/>
        <v>1.7808333333333332E-2</v>
      </c>
      <c r="N156" s="7">
        <f t="shared" si="38"/>
        <v>1.7816494760479043E-2</v>
      </c>
      <c r="O156" s="7">
        <f t="shared" si="33"/>
        <v>4.5829258656304717E-4</v>
      </c>
      <c r="P156" s="6">
        <f t="shared" si="35"/>
        <v>505947.86</v>
      </c>
      <c r="Q156" s="6">
        <v>5013702.292819174</v>
      </c>
      <c r="R156" s="4">
        <f t="shared" ca="1" si="37"/>
        <v>-52</v>
      </c>
      <c r="S156" s="6"/>
      <c r="T156" s="5"/>
      <c r="U156" s="30" t="str">
        <f t="shared" si="31"/>
        <v>PENDIENTE</v>
      </c>
    </row>
    <row r="157" spans="1:21" x14ac:dyDescent="0.25">
      <c r="A157" s="4" t="str">
        <f t="shared" si="32"/>
        <v>202412</v>
      </c>
      <c r="B157" s="4" t="s">
        <v>24</v>
      </c>
      <c r="C157" s="4" t="s">
        <v>25</v>
      </c>
      <c r="D157" s="29" t="s">
        <v>30</v>
      </c>
      <c r="E157" s="28">
        <v>45651</v>
      </c>
      <c r="F157" s="4">
        <v>26</v>
      </c>
      <c r="G157" s="4">
        <v>10</v>
      </c>
      <c r="H157" s="6">
        <v>416621.25936938543</v>
      </c>
      <c r="I157" s="6">
        <v>89326.600630614572</v>
      </c>
      <c r="J157" s="6">
        <v>0</v>
      </c>
      <c r="K157" s="6">
        <v>0</v>
      </c>
      <c r="L157" s="6">
        <f t="shared" si="34"/>
        <v>0</v>
      </c>
      <c r="M157" s="7">
        <f t="shared" si="36"/>
        <v>1.7808333333333332E-2</v>
      </c>
      <c r="N157" s="7">
        <f t="shared" si="38"/>
        <v>1.7816494760479043E-2</v>
      </c>
      <c r="O157" s="7">
        <f t="shared" si="33"/>
        <v>4.5829258656304717E-4</v>
      </c>
      <c r="P157" s="6">
        <f t="shared" si="35"/>
        <v>505947.86</v>
      </c>
      <c r="Q157" s="6">
        <v>4597081.0334497886</v>
      </c>
      <c r="R157" s="4">
        <f t="shared" ca="1" si="37"/>
        <v>-83</v>
      </c>
      <c r="S157" s="6"/>
      <c r="T157" s="5"/>
      <c r="U157" s="30" t="str">
        <f t="shared" si="31"/>
        <v>PENDIENTE</v>
      </c>
    </row>
    <row r="158" spans="1:21" x14ac:dyDescent="0.25">
      <c r="A158" s="4" t="str">
        <f t="shared" si="32"/>
        <v>20251</v>
      </c>
      <c r="B158" s="4" t="s">
        <v>24</v>
      </c>
      <c r="C158" s="4" t="s">
        <v>25</v>
      </c>
      <c r="D158" s="29" t="s">
        <v>30</v>
      </c>
      <c r="E158" s="28">
        <v>45682</v>
      </c>
      <c r="F158" s="4">
        <v>27</v>
      </c>
      <c r="G158" s="4">
        <v>9</v>
      </c>
      <c r="H158" s="6">
        <v>424043.98985404422</v>
      </c>
      <c r="I158" s="6">
        <v>81903.870145955749</v>
      </c>
      <c r="J158" s="6">
        <v>0</v>
      </c>
      <c r="K158" s="6">
        <v>0</v>
      </c>
      <c r="L158" s="6">
        <f t="shared" si="34"/>
        <v>0</v>
      </c>
      <c r="M158" s="7">
        <f t="shared" si="36"/>
        <v>1.7808333333333332E-2</v>
      </c>
      <c r="N158" s="7">
        <f t="shared" si="38"/>
        <v>1.7816494760479043E-2</v>
      </c>
      <c r="O158" s="7">
        <f t="shared" si="33"/>
        <v>4.5829258656304717E-4</v>
      </c>
      <c r="P158" s="6">
        <f t="shared" si="35"/>
        <v>505947.86</v>
      </c>
      <c r="Q158" s="6">
        <v>4173037.0435957443</v>
      </c>
      <c r="R158" s="4">
        <f t="shared" ca="1" si="37"/>
        <v>-113</v>
      </c>
      <c r="S158" s="6"/>
      <c r="T158" s="5"/>
      <c r="U158" s="30" t="str">
        <f t="shared" si="31"/>
        <v>PENDIENTE</v>
      </c>
    </row>
    <row r="159" spans="1:21" x14ac:dyDescent="0.25">
      <c r="A159" s="4" t="str">
        <f t="shared" si="32"/>
        <v>20252</v>
      </c>
      <c r="B159" s="4" t="s">
        <v>24</v>
      </c>
      <c r="C159" s="4" t="s">
        <v>25</v>
      </c>
      <c r="D159" s="29" t="s">
        <v>30</v>
      </c>
      <c r="E159" s="28">
        <v>45713</v>
      </c>
      <c r="F159" s="4">
        <v>28</v>
      </c>
      <c r="G159" s="4">
        <v>8</v>
      </c>
      <c r="H159" s="6">
        <v>431598.96737749147</v>
      </c>
      <c r="I159" s="6">
        <v>74348.892622508531</v>
      </c>
      <c r="J159" s="6">
        <v>0</v>
      </c>
      <c r="K159" s="6">
        <v>0</v>
      </c>
      <c r="L159" s="6">
        <f t="shared" si="34"/>
        <v>0</v>
      </c>
      <c r="M159" s="7">
        <f t="shared" si="36"/>
        <v>1.7808333333333332E-2</v>
      </c>
      <c r="N159" s="7">
        <f t="shared" si="38"/>
        <v>1.7816494760479043E-2</v>
      </c>
      <c r="O159" s="7">
        <f t="shared" si="33"/>
        <v>4.5829258656304717E-4</v>
      </c>
      <c r="P159" s="6">
        <f t="shared" si="35"/>
        <v>505947.86</v>
      </c>
      <c r="Q159" s="6">
        <v>3741438.076218253</v>
      </c>
      <c r="R159" s="4">
        <f t="shared" ca="1" si="37"/>
        <v>-144</v>
      </c>
      <c r="S159" s="6"/>
      <c r="T159" s="5"/>
      <c r="U159" s="30" t="str">
        <f t="shared" si="31"/>
        <v>PENDIENTE</v>
      </c>
    </row>
    <row r="160" spans="1:21" x14ac:dyDescent="0.25">
      <c r="A160" s="4" t="str">
        <f t="shared" si="32"/>
        <v>20253</v>
      </c>
      <c r="B160" s="4" t="s">
        <v>24</v>
      </c>
      <c r="C160" s="4" t="s">
        <v>25</v>
      </c>
      <c r="D160" s="29" t="s">
        <v>30</v>
      </c>
      <c r="E160" s="28">
        <v>45741</v>
      </c>
      <c r="F160" s="4">
        <v>29</v>
      </c>
      <c r="G160" s="4">
        <v>7</v>
      </c>
      <c r="H160" s="6">
        <v>439288.54811840068</v>
      </c>
      <c r="I160" s="6">
        <v>66659.311881599293</v>
      </c>
      <c r="J160" s="6">
        <v>0</v>
      </c>
      <c r="K160" s="6">
        <v>0</v>
      </c>
      <c r="L160" s="6">
        <f t="shared" si="34"/>
        <v>0</v>
      </c>
      <c r="M160" s="7">
        <f t="shared" si="36"/>
        <v>1.7808333333333332E-2</v>
      </c>
      <c r="N160" s="7">
        <f t="shared" si="38"/>
        <v>1.7816494760479043E-2</v>
      </c>
      <c r="O160" s="7">
        <f t="shared" si="33"/>
        <v>4.5829258656304717E-4</v>
      </c>
      <c r="P160" s="6">
        <f t="shared" si="35"/>
        <v>505947.86</v>
      </c>
      <c r="Q160" s="6">
        <v>3302149.5280998521</v>
      </c>
      <c r="R160" s="4">
        <f t="shared" ca="1" si="37"/>
        <v>-175</v>
      </c>
      <c r="S160" s="6"/>
      <c r="T160" s="5"/>
      <c r="U160" s="30" t="str">
        <f t="shared" si="31"/>
        <v>PENDIENTE</v>
      </c>
    </row>
    <row r="161" spans="1:21" x14ac:dyDescent="0.25">
      <c r="A161" s="4" t="str">
        <f t="shared" si="32"/>
        <v>20254</v>
      </c>
      <c r="B161" s="4" t="s">
        <v>24</v>
      </c>
      <c r="C161" s="4" t="s">
        <v>25</v>
      </c>
      <c r="D161" s="29" t="s">
        <v>30</v>
      </c>
      <c r="E161" s="28">
        <v>45772</v>
      </c>
      <c r="F161" s="4">
        <v>30</v>
      </c>
      <c r="G161" s="4">
        <v>6</v>
      </c>
      <c r="H161" s="6">
        <v>447115.13023429061</v>
      </c>
      <c r="I161" s="6">
        <v>58832.729765709359</v>
      </c>
      <c r="J161" s="6">
        <v>0</v>
      </c>
      <c r="K161" s="6">
        <v>0</v>
      </c>
      <c r="L161" s="6">
        <f t="shared" si="34"/>
        <v>0</v>
      </c>
      <c r="M161" s="7">
        <f t="shared" si="36"/>
        <v>1.7808333333333332E-2</v>
      </c>
      <c r="N161" s="7">
        <f t="shared" si="38"/>
        <v>1.7816494760479043E-2</v>
      </c>
      <c r="O161" s="7">
        <f t="shared" si="33"/>
        <v>4.5829258656304717E-4</v>
      </c>
      <c r="P161" s="6">
        <f t="shared" si="35"/>
        <v>505947.86</v>
      </c>
      <c r="Q161" s="6">
        <v>2855034.3978655618</v>
      </c>
      <c r="R161" s="4">
        <f t="shared" ca="1" si="37"/>
        <v>-203</v>
      </c>
      <c r="S161" s="6"/>
      <c r="T161" s="5"/>
      <c r="U161" s="30" t="str">
        <f t="shared" si="31"/>
        <v>PENDIENTE</v>
      </c>
    </row>
    <row r="162" spans="1:21" x14ac:dyDescent="0.25">
      <c r="A162" s="4" t="str">
        <f t="shared" si="32"/>
        <v>20255</v>
      </c>
      <c r="B162" s="4" t="s">
        <v>24</v>
      </c>
      <c r="C162" s="4" t="s">
        <v>25</v>
      </c>
      <c r="D162" s="29" t="s">
        <v>30</v>
      </c>
      <c r="E162" s="28">
        <v>45802</v>
      </c>
      <c r="F162" s="4">
        <v>31</v>
      </c>
      <c r="G162" s="4">
        <v>5</v>
      </c>
      <c r="H162" s="6">
        <v>455081.15460944077</v>
      </c>
      <c r="I162" s="6">
        <v>50866.705390559218</v>
      </c>
      <c r="J162" s="6">
        <v>0</v>
      </c>
      <c r="K162" s="6">
        <v>0</v>
      </c>
      <c r="L162" s="6">
        <f t="shared" si="34"/>
        <v>0</v>
      </c>
      <c r="M162" s="7">
        <f t="shared" si="36"/>
        <v>1.7808333333333332E-2</v>
      </c>
      <c r="N162" s="7">
        <f t="shared" si="38"/>
        <v>1.7816494760479043E-2</v>
      </c>
      <c r="O162" s="7">
        <f t="shared" si="33"/>
        <v>4.5829258656304717E-4</v>
      </c>
      <c r="P162" s="6">
        <f t="shared" si="35"/>
        <v>505947.86</v>
      </c>
      <c r="Q162" s="6">
        <v>2399953.2432561209</v>
      </c>
      <c r="R162" s="4">
        <f t="shared" ca="1" si="37"/>
        <v>-234</v>
      </c>
      <c r="S162" s="6"/>
      <c r="T162" s="5"/>
      <c r="U162" s="30" t="str">
        <f t="shared" si="31"/>
        <v>PENDIENTE</v>
      </c>
    </row>
    <row r="163" spans="1:21" x14ac:dyDescent="0.25">
      <c r="A163" s="4" t="str">
        <f t="shared" si="32"/>
        <v>20256</v>
      </c>
      <c r="B163" s="4" t="s">
        <v>24</v>
      </c>
      <c r="C163" s="4" t="s">
        <v>25</v>
      </c>
      <c r="D163" s="29" t="s">
        <v>30</v>
      </c>
      <c r="E163" s="28">
        <v>45833</v>
      </c>
      <c r="F163" s="4">
        <v>32</v>
      </c>
      <c r="G163" s="4">
        <v>4</v>
      </c>
      <c r="H163" s="6">
        <v>463189.10561613261</v>
      </c>
      <c r="I163" s="6">
        <v>42758.754383867366</v>
      </c>
      <c r="J163" s="6">
        <v>0</v>
      </c>
      <c r="K163" s="6">
        <v>0</v>
      </c>
      <c r="L163" s="6">
        <f t="shared" si="34"/>
        <v>0</v>
      </c>
      <c r="M163" s="7">
        <f t="shared" si="36"/>
        <v>1.7808333333333332E-2</v>
      </c>
      <c r="N163" s="7">
        <f t="shared" si="38"/>
        <v>1.7816494760479043E-2</v>
      </c>
      <c r="O163" s="7">
        <f t="shared" si="33"/>
        <v>4.5829258656304717E-4</v>
      </c>
      <c r="P163" s="6">
        <f t="shared" si="35"/>
        <v>505947.86</v>
      </c>
      <c r="Q163" s="6">
        <v>1936764.1376399882</v>
      </c>
      <c r="R163" s="4">
        <f t="shared" ca="1" si="37"/>
        <v>-264</v>
      </c>
      <c r="S163" s="6"/>
      <c r="T163" s="5"/>
      <c r="U163" s="30" t="str">
        <f t="shared" si="31"/>
        <v>PENDIENTE</v>
      </c>
    </row>
    <row r="164" spans="1:21" x14ac:dyDescent="0.25">
      <c r="A164" s="4" t="str">
        <f t="shared" si="32"/>
        <v>20257</v>
      </c>
      <c r="B164" s="4" t="s">
        <v>24</v>
      </c>
      <c r="C164" s="4" t="s">
        <v>25</v>
      </c>
      <c r="D164" s="29" t="s">
        <v>30</v>
      </c>
      <c r="E164" s="28">
        <v>45863</v>
      </c>
      <c r="F164" s="4">
        <v>33</v>
      </c>
      <c r="G164" s="4">
        <v>3</v>
      </c>
      <c r="H164" s="6">
        <v>471441.5118894534</v>
      </c>
      <c r="I164" s="6">
        <v>34506.348110546562</v>
      </c>
      <c r="J164" s="6">
        <v>0</v>
      </c>
      <c r="K164" s="6">
        <v>0</v>
      </c>
      <c r="L164" s="6">
        <f t="shared" si="34"/>
        <v>0</v>
      </c>
      <c r="M164" s="7">
        <f t="shared" si="36"/>
        <v>1.7808333333333332E-2</v>
      </c>
      <c r="N164" s="7">
        <f t="shared" si="38"/>
        <v>1.7816494760479043E-2</v>
      </c>
      <c r="O164" s="7">
        <f t="shared" si="33"/>
        <v>4.5829258656304717E-4</v>
      </c>
      <c r="P164" s="6">
        <f t="shared" si="35"/>
        <v>505947.86</v>
      </c>
      <c r="Q164" s="6">
        <v>1465322.6257505347</v>
      </c>
      <c r="R164" s="4">
        <f t="shared" ca="1" si="37"/>
        <v>-295</v>
      </c>
      <c r="S164" s="6"/>
      <c r="T164" s="5"/>
      <c r="U164" s="30" t="str">
        <f t="shared" si="31"/>
        <v>PENDIENTE</v>
      </c>
    </row>
    <row r="165" spans="1:21" x14ac:dyDescent="0.25">
      <c r="A165" s="4" t="str">
        <f t="shared" si="32"/>
        <v>20258</v>
      </c>
      <c r="B165" s="4" t="s">
        <v>24</v>
      </c>
      <c r="C165" s="4" t="s">
        <v>25</v>
      </c>
      <c r="D165" s="29" t="s">
        <v>30</v>
      </c>
      <c r="E165" s="28">
        <v>45894</v>
      </c>
      <c r="F165" s="4">
        <v>34</v>
      </c>
      <c r="G165" s="4">
        <v>2</v>
      </c>
      <c r="H165" s="6">
        <v>479840.94711590419</v>
      </c>
      <c r="I165" s="6">
        <v>26106.912884095796</v>
      </c>
      <c r="J165" s="6">
        <v>0</v>
      </c>
      <c r="K165" s="6">
        <v>0</v>
      </c>
      <c r="L165" s="6">
        <f t="shared" si="34"/>
        <v>0</v>
      </c>
      <c r="M165" s="7">
        <f t="shared" si="36"/>
        <v>1.7808333333333332E-2</v>
      </c>
      <c r="N165" s="7">
        <f t="shared" si="38"/>
        <v>1.7816494760479043E-2</v>
      </c>
      <c r="O165" s="7">
        <f t="shared" si="33"/>
        <v>4.5829258656304717E-4</v>
      </c>
      <c r="P165" s="6">
        <f t="shared" si="35"/>
        <v>505947.86</v>
      </c>
      <c r="Q165" s="6">
        <v>985481.67863463052</v>
      </c>
      <c r="R165" s="4">
        <f t="shared" ca="1" si="37"/>
        <v>-325</v>
      </c>
      <c r="S165" s="6"/>
      <c r="T165" s="5"/>
      <c r="U165" s="30" t="str">
        <f t="shared" si="31"/>
        <v>PENDIENTE</v>
      </c>
    </row>
    <row r="166" spans="1:21" x14ac:dyDescent="0.25">
      <c r="A166" s="4" t="str">
        <f t="shared" si="32"/>
        <v>20259</v>
      </c>
      <c r="B166" s="4" t="s">
        <v>24</v>
      </c>
      <c r="C166" s="4" t="s">
        <v>25</v>
      </c>
      <c r="D166" s="29" t="s">
        <v>30</v>
      </c>
      <c r="E166" s="28">
        <v>45925</v>
      </c>
      <c r="F166" s="4">
        <v>35</v>
      </c>
      <c r="G166" s="4">
        <v>1</v>
      </c>
      <c r="H166" s="6">
        <v>488390.03083605802</v>
      </c>
      <c r="I166" s="6">
        <v>17557.829163941988</v>
      </c>
      <c r="J166" s="6">
        <v>0</v>
      </c>
      <c r="K166" s="6">
        <v>0</v>
      </c>
      <c r="L166" s="6">
        <f t="shared" si="34"/>
        <v>0</v>
      </c>
      <c r="M166" s="7">
        <f t="shared" si="36"/>
        <v>1.7808333333333332E-2</v>
      </c>
      <c r="N166" s="7">
        <f t="shared" si="38"/>
        <v>1.7816494760479043E-2</v>
      </c>
      <c r="O166" s="7">
        <f t="shared" si="33"/>
        <v>4.5829258656304717E-4</v>
      </c>
      <c r="P166" s="6">
        <f t="shared" si="35"/>
        <v>505947.86</v>
      </c>
      <c r="Q166" s="6">
        <v>497091.64779857249</v>
      </c>
      <c r="R166" s="4">
        <f t="shared" ca="1" si="37"/>
        <v>-356</v>
      </c>
      <c r="S166" s="6"/>
      <c r="T166" s="5"/>
      <c r="U166" s="30" t="str">
        <f t="shared" si="31"/>
        <v>PENDIENTE</v>
      </c>
    </row>
    <row r="167" spans="1:21" x14ac:dyDescent="0.25">
      <c r="A167" s="4" t="str">
        <f t="shared" si="32"/>
        <v>202510</v>
      </c>
      <c r="B167" s="4" t="s">
        <v>24</v>
      </c>
      <c r="C167" s="4" t="s">
        <v>25</v>
      </c>
      <c r="D167" s="29" t="s">
        <v>30</v>
      </c>
      <c r="E167" s="28">
        <v>45955</v>
      </c>
      <c r="F167" s="4">
        <v>36</v>
      </c>
      <c r="G167" s="4">
        <v>0</v>
      </c>
      <c r="H167" s="6">
        <v>497091.64779857249</v>
      </c>
      <c r="I167" s="6">
        <v>8856.43073848116</v>
      </c>
      <c r="J167" s="6">
        <v>0</v>
      </c>
      <c r="K167" s="6">
        <v>0</v>
      </c>
      <c r="L167" s="6">
        <f t="shared" si="34"/>
        <v>0</v>
      </c>
      <c r="M167" s="7">
        <f t="shared" si="36"/>
        <v>1.7808333333333332E-2</v>
      </c>
      <c r="N167" s="7">
        <f t="shared" si="38"/>
        <v>1.7816494760479043E-2</v>
      </c>
      <c r="O167" s="7">
        <f t="shared" si="33"/>
        <v>4.5829258656304717E-4</v>
      </c>
      <c r="P167" s="6">
        <f t="shared" si="35"/>
        <v>505948.07853705366</v>
      </c>
      <c r="Q167" s="6">
        <v>0</v>
      </c>
      <c r="R167" s="4">
        <f t="shared" ca="1" si="37"/>
        <v>-387</v>
      </c>
      <c r="S167" s="6"/>
      <c r="T167" s="5"/>
      <c r="U167" s="30" t="str">
        <f t="shared" si="31"/>
        <v>PENDIENTE</v>
      </c>
    </row>
    <row r="168" spans="1:21" x14ac:dyDescent="0.25">
      <c r="A168" s="4" t="str">
        <f t="shared" si="32"/>
        <v>202211</v>
      </c>
      <c r="B168" s="4" t="s">
        <v>24</v>
      </c>
      <c r="C168" s="4" t="s">
        <v>21</v>
      </c>
      <c r="D168" s="29" t="s">
        <v>31</v>
      </c>
      <c r="E168" s="28">
        <v>44890</v>
      </c>
      <c r="F168" s="4">
        <v>1</v>
      </c>
      <c r="G168" s="4">
        <v>35</v>
      </c>
      <c r="H168" s="6">
        <v>1538351.19</v>
      </c>
      <c r="I168" s="6">
        <v>1366721.15</v>
      </c>
      <c r="J168" s="6">
        <v>0</v>
      </c>
      <c r="K168" s="6">
        <v>0</v>
      </c>
      <c r="L168" s="6">
        <f t="shared" si="34"/>
        <v>0</v>
      </c>
      <c r="M168" s="7">
        <f t="shared" si="36"/>
        <v>1.7808333333333332E-2</v>
      </c>
      <c r="N168" s="7">
        <f>I168/76711000</f>
        <v>1.7816495026788854E-2</v>
      </c>
      <c r="O168" s="7">
        <f t="shared" si="33"/>
        <v>4.5830754078735048E-4</v>
      </c>
      <c r="P168" s="6">
        <f t="shared" si="35"/>
        <v>2905072.34</v>
      </c>
      <c r="Q168" s="6">
        <v>75172648.810000002</v>
      </c>
      <c r="R168" s="4" t="s">
        <v>27</v>
      </c>
      <c r="S168" s="6">
        <v>2911977.22</v>
      </c>
      <c r="T168" s="5">
        <v>44895</v>
      </c>
      <c r="U168" s="30" t="str">
        <f t="shared" si="31"/>
        <v>PAGADO</v>
      </c>
    </row>
    <row r="169" spans="1:21" x14ac:dyDescent="0.25">
      <c r="A169" s="4" t="str">
        <f t="shared" si="32"/>
        <v>202212</v>
      </c>
      <c r="B169" s="4" t="s">
        <v>24</v>
      </c>
      <c r="C169" s="4" t="s">
        <v>21</v>
      </c>
      <c r="D169" s="29" t="s">
        <v>31</v>
      </c>
      <c r="E169" s="28">
        <v>44920</v>
      </c>
      <c r="F169" s="4">
        <f t="shared" ref="F169:F203" si="39">F168+1</f>
        <v>2</v>
      </c>
      <c r="G169" s="4">
        <f t="shared" ref="G169:G203" si="40">G168-1</f>
        <v>34</v>
      </c>
      <c r="H169" s="6">
        <v>1542200.17</v>
      </c>
      <c r="I169" s="6">
        <v>1400940.1</v>
      </c>
      <c r="J169" s="6">
        <v>0</v>
      </c>
      <c r="K169" s="6">
        <v>0</v>
      </c>
      <c r="L169" s="6">
        <f t="shared" si="34"/>
        <v>0</v>
      </c>
      <c r="M169" s="7">
        <f t="shared" si="36"/>
        <v>1.7808333333333332E-2</v>
      </c>
      <c r="N169" s="7">
        <f>I169/Q168</f>
        <v>1.8636300864439369E-2</v>
      </c>
      <c r="O169" s="7">
        <f t="shared" si="33"/>
        <v>4.6493263328369006E-2</v>
      </c>
      <c r="P169" s="6">
        <f t="shared" si="35"/>
        <v>2943140.27</v>
      </c>
      <c r="Q169" s="6">
        <f>Q168-H169</f>
        <v>73630448.640000001</v>
      </c>
      <c r="R169" s="4" t="str">
        <f t="shared" ref="R169:R203" ca="1" si="41">IF(T168="",TODAY()-E168,IF(T169="",TODAY()-E169,"OK"))</f>
        <v>OK</v>
      </c>
      <c r="S169" s="6">
        <v>2982495.35</v>
      </c>
      <c r="T169" s="5">
        <v>44946</v>
      </c>
      <c r="U169" s="30" t="str">
        <f t="shared" si="31"/>
        <v>PAGADO</v>
      </c>
    </row>
    <row r="170" spans="1:21" x14ac:dyDescent="0.25">
      <c r="A170" s="4" t="str">
        <f t="shared" si="32"/>
        <v>20231</v>
      </c>
      <c r="B170" s="4" t="s">
        <v>24</v>
      </c>
      <c r="C170" s="4" t="s">
        <v>21</v>
      </c>
      <c r="D170" s="29" t="s">
        <v>31</v>
      </c>
      <c r="E170" s="28">
        <v>44951</v>
      </c>
      <c r="F170" s="4">
        <f t="shared" si="39"/>
        <v>3</v>
      </c>
      <c r="G170" s="4">
        <f t="shared" si="40"/>
        <v>33</v>
      </c>
      <c r="H170" s="6">
        <v>1563683.62</v>
      </c>
      <c r="I170" s="6">
        <v>1391203.08</v>
      </c>
      <c r="J170" s="6">
        <v>0</v>
      </c>
      <c r="K170" s="6">
        <v>0</v>
      </c>
      <c r="L170" s="6">
        <f t="shared" si="34"/>
        <v>0</v>
      </c>
      <c r="M170" s="7">
        <f t="shared" si="36"/>
        <v>1.7808333333333332E-2</v>
      </c>
      <c r="N170" s="7">
        <f t="shared" ref="N170:N203" si="42">I170/Q169</f>
        <v>1.8894399065826472E-2</v>
      </c>
      <c r="O170" s="7">
        <f t="shared" si="33"/>
        <v>6.0986377117069113E-2</v>
      </c>
      <c r="P170" s="6">
        <f t="shared" si="35"/>
        <v>2954886.7</v>
      </c>
      <c r="Q170" s="6">
        <f t="shared" ref="Q170:Q203" si="43">Q169-H170</f>
        <v>72066765.019999996</v>
      </c>
      <c r="R170" s="4" t="str">
        <f t="shared" ca="1" si="41"/>
        <v>OK</v>
      </c>
      <c r="S170" s="6">
        <v>2961072.68</v>
      </c>
      <c r="T170" s="5">
        <v>44952</v>
      </c>
      <c r="U170" s="30" t="str">
        <f t="shared" si="31"/>
        <v>PAGADO</v>
      </c>
    </row>
    <row r="171" spans="1:21" x14ac:dyDescent="0.25">
      <c r="A171" s="4" t="str">
        <f t="shared" si="32"/>
        <v>20232</v>
      </c>
      <c r="B171" s="4" t="s">
        <v>24</v>
      </c>
      <c r="C171" s="4" t="s">
        <v>21</v>
      </c>
      <c r="D171" s="29" t="s">
        <v>31</v>
      </c>
      <c r="E171" s="28">
        <v>44982</v>
      </c>
      <c r="F171" s="4">
        <f t="shared" si="39"/>
        <v>4</v>
      </c>
      <c r="G171" s="4">
        <f t="shared" si="40"/>
        <v>32</v>
      </c>
      <c r="H171" s="6">
        <v>1576285.36</v>
      </c>
      <c r="I171" s="6">
        <v>1405991.72</v>
      </c>
      <c r="J171" s="6">
        <v>0</v>
      </c>
      <c r="K171" s="6">
        <v>0</v>
      </c>
      <c r="L171" s="6">
        <f t="shared" si="34"/>
        <v>0</v>
      </c>
      <c r="M171" s="7">
        <f t="shared" si="36"/>
        <v>1.7808333333333332E-2</v>
      </c>
      <c r="N171" s="7">
        <f t="shared" si="42"/>
        <v>1.9509571709092375E-2</v>
      </c>
      <c r="O171" s="7">
        <f t="shared" si="33"/>
        <v>9.5530465648612672E-2</v>
      </c>
      <c r="P171" s="6">
        <f t="shared" si="35"/>
        <v>2982277.08</v>
      </c>
      <c r="Q171" s="6">
        <f t="shared" si="43"/>
        <v>70490479.659999996</v>
      </c>
      <c r="R171" s="4" t="str">
        <f t="shared" ca="1" si="41"/>
        <v>OK</v>
      </c>
      <c r="S171" s="6">
        <v>3353913</v>
      </c>
      <c r="T171" s="5">
        <v>44999</v>
      </c>
      <c r="U171" s="30" t="str">
        <f t="shared" si="31"/>
        <v>PAGADO</v>
      </c>
    </row>
    <row r="172" spans="1:21" x14ac:dyDescent="0.25">
      <c r="A172" s="4" t="str">
        <f t="shared" si="32"/>
        <v>20233</v>
      </c>
      <c r="B172" s="4" t="s">
        <v>24</v>
      </c>
      <c r="C172" s="4" t="s">
        <v>21</v>
      </c>
      <c r="D172" s="29" t="s">
        <v>31</v>
      </c>
      <c r="E172" s="28">
        <v>45010</v>
      </c>
      <c r="F172" s="4">
        <f t="shared" si="39"/>
        <v>5</v>
      </c>
      <c r="G172" s="4">
        <f t="shared" si="40"/>
        <v>31</v>
      </c>
      <c r="H172" s="6">
        <v>1598696.67</v>
      </c>
      <c r="I172" s="6">
        <v>1397050.17</v>
      </c>
      <c r="J172" s="6">
        <v>0</v>
      </c>
      <c r="K172" s="6">
        <v>0</v>
      </c>
      <c r="L172" s="6">
        <f t="shared" si="34"/>
        <v>0</v>
      </c>
      <c r="M172" s="7">
        <f t="shared" si="36"/>
        <v>1.7808333333333332E-2</v>
      </c>
      <c r="N172" s="7">
        <f t="shared" si="42"/>
        <v>1.9818990830229231E-2</v>
      </c>
      <c r="O172" s="7">
        <f t="shared" si="33"/>
        <v>0.11290542799602621</v>
      </c>
      <c r="P172" s="6">
        <f t="shared" si="35"/>
        <v>2995746.84</v>
      </c>
      <c r="Q172" s="6">
        <f t="shared" si="43"/>
        <v>68891782.989999995</v>
      </c>
      <c r="R172" s="4" t="str">
        <f t="shared" ca="1" si="41"/>
        <v>OK</v>
      </c>
      <c r="S172" s="6">
        <v>3027796.11</v>
      </c>
      <c r="T172" s="5">
        <v>45029</v>
      </c>
      <c r="U172" s="30" t="str">
        <f t="shared" si="31"/>
        <v>PAGADO</v>
      </c>
    </row>
    <row r="173" spans="1:21" x14ac:dyDescent="0.25">
      <c r="A173" s="4" t="str">
        <f t="shared" si="32"/>
        <v>20234</v>
      </c>
      <c r="B173" s="4" t="s">
        <v>24</v>
      </c>
      <c r="C173" s="4" t="s">
        <v>21</v>
      </c>
      <c r="D173" s="29" t="s">
        <v>31</v>
      </c>
      <c r="E173" s="28">
        <v>45041</v>
      </c>
      <c r="F173" s="4">
        <f t="shared" si="39"/>
        <v>6</v>
      </c>
      <c r="G173" s="4">
        <f t="shared" si="40"/>
        <v>30</v>
      </c>
      <c r="H173" s="6">
        <v>1680362.2693996336</v>
      </c>
      <c r="I173" s="6">
        <v>1224710.0706003662</v>
      </c>
      <c r="J173" s="6">
        <v>0</v>
      </c>
      <c r="K173" s="6">
        <v>0</v>
      </c>
      <c r="L173" s="6">
        <f t="shared" si="34"/>
        <v>0</v>
      </c>
      <c r="M173" s="7">
        <f t="shared" si="36"/>
        <v>1.7808333333333332E-2</v>
      </c>
      <c r="N173" s="7">
        <f t="shared" si="42"/>
        <v>1.7777302567102079E-2</v>
      </c>
      <c r="O173" s="7">
        <f t="shared" si="33"/>
        <v>-1.7424857032055652E-3</v>
      </c>
      <c r="P173" s="6">
        <f t="shared" si="35"/>
        <v>2905072.34</v>
      </c>
      <c r="Q173" s="6">
        <f t="shared" si="43"/>
        <v>67211420.720600367</v>
      </c>
      <c r="R173" s="4" t="str">
        <f t="shared" ca="1" si="41"/>
        <v>OK</v>
      </c>
      <c r="S173" s="6">
        <v>2968482.62</v>
      </c>
      <c r="T173" s="5">
        <v>45045</v>
      </c>
      <c r="U173" s="30" t="str">
        <f t="shared" si="31"/>
        <v>PAGADO</v>
      </c>
    </row>
    <row r="174" spans="1:21" x14ac:dyDescent="0.25">
      <c r="A174" s="4" t="str">
        <f t="shared" si="32"/>
        <v>20235</v>
      </c>
      <c r="B174" s="4" t="s">
        <v>24</v>
      </c>
      <c r="C174" s="4" t="s">
        <v>21</v>
      </c>
      <c r="D174" s="29" t="s">
        <v>31</v>
      </c>
      <c r="E174" s="28">
        <v>45071</v>
      </c>
      <c r="F174" s="4">
        <f t="shared" si="39"/>
        <v>7</v>
      </c>
      <c r="G174" s="4">
        <f t="shared" si="40"/>
        <v>29</v>
      </c>
      <c r="H174" s="6">
        <v>1710300.4349680988</v>
      </c>
      <c r="I174" s="6">
        <v>1194771.9050319011</v>
      </c>
      <c r="J174" s="6">
        <v>0</v>
      </c>
      <c r="K174" s="6">
        <v>0</v>
      </c>
      <c r="L174" s="6">
        <f t="shared" si="34"/>
        <v>0</v>
      </c>
      <c r="M174" s="7">
        <f t="shared" si="36"/>
        <v>1.7808333333333332E-2</v>
      </c>
      <c r="N174" s="7">
        <f t="shared" si="42"/>
        <v>1.7776322717512536E-2</v>
      </c>
      <c r="O174" s="7">
        <f t="shared" si="33"/>
        <v>-1.7975076736057582E-3</v>
      </c>
      <c r="P174" s="6">
        <f t="shared" si="35"/>
        <v>2905072.34</v>
      </c>
      <c r="Q174" s="6">
        <f t="shared" si="43"/>
        <v>65501120.285632268</v>
      </c>
      <c r="R174" s="4" t="str">
        <f t="shared" ca="1" si="41"/>
        <v>OK</v>
      </c>
      <c r="S174" s="6">
        <v>2961916.52</v>
      </c>
      <c r="T174" s="5">
        <v>45084</v>
      </c>
      <c r="U174" s="30" t="str">
        <f t="shared" si="31"/>
        <v>PAGADO</v>
      </c>
    </row>
    <row r="175" spans="1:21" x14ac:dyDescent="0.25">
      <c r="A175" s="4" t="str">
        <f t="shared" si="32"/>
        <v>20236</v>
      </c>
      <c r="B175" s="4" t="s">
        <v>24</v>
      </c>
      <c r="C175" s="4" t="s">
        <v>21</v>
      </c>
      <c r="D175" s="29" t="s">
        <v>31</v>
      </c>
      <c r="E175" s="28">
        <v>45102</v>
      </c>
      <c r="F175" s="4">
        <f t="shared" si="39"/>
        <v>8</v>
      </c>
      <c r="G175" s="4">
        <f t="shared" si="40"/>
        <v>28</v>
      </c>
      <c r="H175" s="6">
        <v>1729023.11</v>
      </c>
      <c r="I175" s="6">
        <v>1210329.0549999999</v>
      </c>
      <c r="J175" s="6">
        <v>0</v>
      </c>
      <c r="K175" s="6">
        <v>0</v>
      </c>
      <c r="L175" s="6">
        <f t="shared" si="34"/>
        <v>0</v>
      </c>
      <c r="M175" s="7">
        <f t="shared" si="36"/>
        <v>1.7808333333333332E-2</v>
      </c>
      <c r="N175" s="7">
        <f t="shared" si="42"/>
        <v>1.8477990143101211E-2</v>
      </c>
      <c r="O175" s="7">
        <f t="shared" si="33"/>
        <v>3.7603564423090985E-2</v>
      </c>
      <c r="P175" s="6">
        <f t="shared" si="35"/>
        <v>2939352.165</v>
      </c>
      <c r="Q175" s="6">
        <f t="shared" si="43"/>
        <v>63772097.175632268</v>
      </c>
      <c r="R175" s="4" t="str">
        <f t="shared" ca="1" si="41"/>
        <v>OK</v>
      </c>
      <c r="S175" s="6">
        <v>2939362</v>
      </c>
      <c r="T175" s="5">
        <v>45086</v>
      </c>
      <c r="U175" s="30" t="str">
        <f t="shared" si="31"/>
        <v>PAGADO</v>
      </c>
    </row>
    <row r="176" spans="1:21" x14ac:dyDescent="0.25">
      <c r="A176" s="4" t="str">
        <f t="shared" si="32"/>
        <v>20237</v>
      </c>
      <c r="B176" s="4" t="s">
        <v>24</v>
      </c>
      <c r="C176" s="4" t="s">
        <v>21</v>
      </c>
      <c r="D176" s="29" t="s">
        <v>31</v>
      </c>
      <c r="E176" s="28">
        <v>45132</v>
      </c>
      <c r="F176" s="4">
        <f t="shared" si="39"/>
        <v>9</v>
      </c>
      <c r="G176" s="4">
        <f t="shared" si="40"/>
        <v>27</v>
      </c>
      <c r="H176" s="6">
        <v>1748900.37</v>
      </c>
      <c r="I176" s="6">
        <v>1208761.04</v>
      </c>
      <c r="J176" s="6">
        <v>0</v>
      </c>
      <c r="K176" s="6">
        <v>0</v>
      </c>
      <c r="L176" s="6">
        <f t="shared" si="34"/>
        <v>0</v>
      </c>
      <c r="M176" s="7">
        <f t="shared" si="36"/>
        <v>1.7808333333333332E-2</v>
      </c>
      <c r="N176" s="7">
        <f t="shared" si="42"/>
        <v>1.8954387475622732E-2</v>
      </c>
      <c r="O176" s="7">
        <f t="shared" si="33"/>
        <v>6.4354935458459606E-2</v>
      </c>
      <c r="P176" s="6">
        <f t="shared" si="35"/>
        <v>2957661.41</v>
      </c>
      <c r="Q176" s="6">
        <f t="shared" si="43"/>
        <v>62023196.805632271</v>
      </c>
      <c r="R176" s="4" t="str">
        <f t="shared" ca="1" si="41"/>
        <v>OK</v>
      </c>
      <c r="S176" s="6">
        <v>3009911.74</v>
      </c>
      <c r="T176" s="5">
        <v>45162</v>
      </c>
      <c r="U176" s="30" t="str">
        <f t="shared" si="31"/>
        <v>PAGADO</v>
      </c>
    </row>
    <row r="177" spans="1:21" x14ac:dyDescent="0.25">
      <c r="A177" s="4" t="str">
        <f t="shared" si="32"/>
        <v>20238</v>
      </c>
      <c r="B177" s="4" t="s">
        <v>24</v>
      </c>
      <c r="C177" s="4" t="s">
        <v>21</v>
      </c>
      <c r="D177" s="29" t="s">
        <v>31</v>
      </c>
      <c r="E177" s="28">
        <v>45163</v>
      </c>
      <c r="F177" s="4">
        <f t="shared" si="39"/>
        <v>10</v>
      </c>
      <c r="G177" s="4">
        <f t="shared" si="40"/>
        <v>26</v>
      </c>
      <c r="H177" s="6">
        <v>1774345.4</v>
      </c>
      <c r="I177" s="6">
        <v>1194955.04</v>
      </c>
      <c r="J177" s="6">
        <v>0</v>
      </c>
      <c r="K177" s="6">
        <v>0</v>
      </c>
      <c r="L177" s="6">
        <f t="shared" si="34"/>
        <v>0</v>
      </c>
      <c r="M177" s="7">
        <f t="shared" si="36"/>
        <v>1.7808333333333332E-2</v>
      </c>
      <c r="N177" s="7">
        <f t="shared" si="42"/>
        <v>1.9266260069514624E-2</v>
      </c>
      <c r="O177" s="7">
        <f t="shared" si="33"/>
        <v>8.1867668854354259E-2</v>
      </c>
      <c r="P177" s="6">
        <f t="shared" si="35"/>
        <v>2969300.44</v>
      </c>
      <c r="Q177" s="6">
        <f t="shared" si="43"/>
        <v>60248851.405632272</v>
      </c>
      <c r="R177" s="4" t="str">
        <f t="shared" ca="1" si="41"/>
        <v>OK</v>
      </c>
      <c r="S177" s="6">
        <v>3017742.39</v>
      </c>
      <c r="T177" s="5">
        <v>45191</v>
      </c>
      <c r="U177" s="30" t="str">
        <f t="shared" si="31"/>
        <v>PAGADO</v>
      </c>
    </row>
    <row r="178" spans="1:21" x14ac:dyDescent="0.25">
      <c r="A178" s="4" t="str">
        <f t="shared" si="32"/>
        <v>20239</v>
      </c>
      <c r="B178" s="4" t="s">
        <v>24</v>
      </c>
      <c r="C178" s="4" t="s">
        <v>21</v>
      </c>
      <c r="D178" s="29" t="s">
        <v>31</v>
      </c>
      <c r="E178" s="28">
        <v>45194</v>
      </c>
      <c r="F178" s="4">
        <f t="shared" si="39"/>
        <v>11</v>
      </c>
      <c r="G178" s="4">
        <f t="shared" si="40"/>
        <v>25</v>
      </c>
      <c r="H178" s="6">
        <v>1802828.27</v>
      </c>
      <c r="I178" s="6">
        <v>1175032.92</v>
      </c>
      <c r="J178" s="6">
        <v>0</v>
      </c>
      <c r="K178" s="6">
        <v>0</v>
      </c>
      <c r="L178" s="6">
        <f t="shared" si="34"/>
        <v>0</v>
      </c>
      <c r="M178" s="7">
        <f t="shared" si="36"/>
        <v>1.7808333333333332E-2</v>
      </c>
      <c r="N178" s="7">
        <f t="shared" si="42"/>
        <v>1.950299288012906E-2</v>
      </c>
      <c r="O178" s="7">
        <f t="shared" si="33"/>
        <v>9.5161041467237917E-2</v>
      </c>
      <c r="P178" s="6">
        <f t="shared" si="35"/>
        <v>2977861.19</v>
      </c>
      <c r="Q178" s="6">
        <f t="shared" si="43"/>
        <v>58446023.135632269</v>
      </c>
      <c r="R178" s="4" t="str">
        <f t="shared" ca="1" si="41"/>
        <v>OK</v>
      </c>
      <c r="S178" s="6">
        <v>3028000</v>
      </c>
      <c r="T178" s="5">
        <v>45224</v>
      </c>
      <c r="U178" s="30" t="str">
        <f t="shared" si="31"/>
        <v>PAGADO</v>
      </c>
    </row>
    <row r="179" spans="1:21" x14ac:dyDescent="0.25">
      <c r="A179" s="4" t="str">
        <f t="shared" si="32"/>
        <v>202310</v>
      </c>
      <c r="B179" s="4" t="s">
        <v>24</v>
      </c>
      <c r="C179" s="4" t="s">
        <v>21</v>
      </c>
      <c r="D179" s="29" t="s">
        <v>31</v>
      </c>
      <c r="E179" s="28">
        <v>45224</v>
      </c>
      <c r="F179" s="4">
        <f t="shared" si="39"/>
        <v>12</v>
      </c>
      <c r="G179" s="4">
        <f t="shared" si="40"/>
        <v>24</v>
      </c>
      <c r="H179" s="6">
        <v>1868184.7821506176</v>
      </c>
      <c r="I179" s="6">
        <v>1036887.5578493823</v>
      </c>
      <c r="J179" s="6">
        <v>0</v>
      </c>
      <c r="K179" s="6">
        <v>0</v>
      </c>
      <c r="L179" s="6">
        <f t="shared" si="34"/>
        <v>0</v>
      </c>
      <c r="M179" s="7">
        <f t="shared" si="36"/>
        <v>1.7808333333333332E-2</v>
      </c>
      <c r="N179" s="7">
        <f t="shared" si="42"/>
        <v>1.7740942877210619E-2</v>
      </c>
      <c r="O179" s="7">
        <f t="shared" si="33"/>
        <v>-3.7842090476020163E-3</v>
      </c>
      <c r="P179" s="6">
        <f t="shared" si="35"/>
        <v>2905072.34</v>
      </c>
      <c r="Q179" s="6">
        <f t="shared" si="43"/>
        <v>56577838.35348165</v>
      </c>
      <c r="R179" s="4" t="str">
        <f t="shared" ca="1" si="41"/>
        <v>OK</v>
      </c>
      <c r="S179" s="6">
        <v>3007952.28</v>
      </c>
      <c r="T179" s="5">
        <v>45254</v>
      </c>
      <c r="U179" s="30" t="str">
        <f t="shared" si="31"/>
        <v>PAGADO</v>
      </c>
    </row>
    <row r="180" spans="1:21" x14ac:dyDescent="0.25">
      <c r="A180" s="4" t="str">
        <f t="shared" si="32"/>
        <v>202311</v>
      </c>
      <c r="B180" s="4" t="s">
        <v>24</v>
      </c>
      <c r="C180" s="4" t="s">
        <v>21</v>
      </c>
      <c r="D180" s="29" t="s">
        <v>31</v>
      </c>
      <c r="E180" s="28">
        <v>45255</v>
      </c>
      <c r="F180" s="4">
        <f t="shared" si="39"/>
        <v>13</v>
      </c>
      <c r="G180" s="4">
        <f t="shared" si="40"/>
        <v>23</v>
      </c>
      <c r="H180" s="6">
        <v>1901469.2865334107</v>
      </c>
      <c r="I180" s="6">
        <v>1003603.0534665891</v>
      </c>
      <c r="J180" s="6">
        <v>0</v>
      </c>
      <c r="K180" s="6">
        <v>0</v>
      </c>
      <c r="L180" s="6">
        <f t="shared" si="34"/>
        <v>0</v>
      </c>
      <c r="M180" s="7">
        <f t="shared" si="36"/>
        <v>1.7808333333333332E-2</v>
      </c>
      <c r="N180" s="7">
        <f t="shared" si="42"/>
        <v>1.7738448174643456E-2</v>
      </c>
      <c r="O180" s="7">
        <f t="shared" si="33"/>
        <v>-3.9242952937693643E-3</v>
      </c>
      <c r="P180" s="6">
        <f t="shared" si="35"/>
        <v>2905072.34</v>
      </c>
      <c r="Q180" s="6">
        <f t="shared" si="43"/>
        <v>54676369.066948242</v>
      </c>
      <c r="R180" s="4" t="str">
        <f t="shared" ca="1" si="41"/>
        <v>OK</v>
      </c>
      <c r="S180" s="6">
        <v>3000000</v>
      </c>
      <c r="T180" s="5">
        <v>45286</v>
      </c>
      <c r="U180" s="30" t="str">
        <f t="shared" si="31"/>
        <v>PAGADO</v>
      </c>
    </row>
    <row r="181" spans="1:21" x14ac:dyDescent="0.25">
      <c r="A181" s="4" t="str">
        <f t="shared" si="32"/>
        <v>202312</v>
      </c>
      <c r="B181" s="4" t="s">
        <v>24</v>
      </c>
      <c r="C181" s="4" t="s">
        <v>21</v>
      </c>
      <c r="D181" s="29" t="s">
        <v>31</v>
      </c>
      <c r="E181" s="28">
        <v>45285</v>
      </c>
      <c r="F181" s="4">
        <f t="shared" si="39"/>
        <v>14</v>
      </c>
      <c r="G181" s="4">
        <f t="shared" si="40"/>
        <v>22</v>
      </c>
      <c r="H181" s="6">
        <v>1935346.804114145</v>
      </c>
      <c r="I181" s="6">
        <v>969725.53588585486</v>
      </c>
      <c r="J181" s="6">
        <v>0</v>
      </c>
      <c r="K181" s="6">
        <v>2749237</v>
      </c>
      <c r="L181" s="6">
        <f t="shared" si="34"/>
        <v>0</v>
      </c>
      <c r="M181" s="7">
        <f t="shared" si="36"/>
        <v>1.7808333333333332E-2</v>
      </c>
      <c r="N181" s="7">
        <f t="shared" si="42"/>
        <v>1.7735733963944803E-2</v>
      </c>
      <c r="O181" s="7">
        <f t="shared" si="33"/>
        <v>-4.0767076867681551E-3</v>
      </c>
      <c r="P181" s="6">
        <f t="shared" si="35"/>
        <v>5654309.3399999999</v>
      </c>
      <c r="Q181" s="6">
        <f t="shared" si="43"/>
        <v>52741022.262834094</v>
      </c>
      <c r="R181" s="4" t="str">
        <f t="shared" ca="1" si="41"/>
        <v>OK</v>
      </c>
      <c r="S181" s="6">
        <f>2900000+2861077.14</f>
        <v>5761077.1400000006</v>
      </c>
      <c r="T181" s="5">
        <v>45315</v>
      </c>
      <c r="U181" s="30" t="str">
        <f t="shared" si="31"/>
        <v>PAGADO</v>
      </c>
    </row>
    <row r="182" spans="1:21" x14ac:dyDescent="0.25">
      <c r="A182" s="4" t="str">
        <f t="shared" si="32"/>
        <v>20241</v>
      </c>
      <c r="B182" s="4" t="s">
        <v>24</v>
      </c>
      <c r="C182" s="4" t="s">
        <v>21</v>
      </c>
      <c r="D182" s="29" t="s">
        <v>31</v>
      </c>
      <c r="E182" s="28">
        <v>45316</v>
      </c>
      <c r="F182" s="4">
        <f t="shared" si="39"/>
        <v>15</v>
      </c>
      <c r="G182" s="4">
        <f t="shared" si="40"/>
        <v>21</v>
      </c>
      <c r="H182" s="6">
        <v>1963091.33</v>
      </c>
      <c r="I182" s="6">
        <v>987681.23</v>
      </c>
      <c r="J182" s="6">
        <v>0</v>
      </c>
      <c r="K182" s="6">
        <v>0</v>
      </c>
      <c r="L182" s="6">
        <f t="shared" si="34"/>
        <v>0</v>
      </c>
      <c r="M182" s="7">
        <f t="shared" si="36"/>
        <v>1.7808333333333332E-2</v>
      </c>
      <c r="N182" s="7">
        <f t="shared" si="42"/>
        <v>1.8727002011411635E-2</v>
      </c>
      <c r="O182" s="7">
        <f t="shared" si="33"/>
        <v>5.1586448932801288E-2</v>
      </c>
      <c r="P182" s="6">
        <f t="shared" si="35"/>
        <v>2950772.56</v>
      </c>
      <c r="Q182" s="6">
        <f t="shared" si="43"/>
        <v>50777930.932834096</v>
      </c>
      <c r="R182" s="4" t="str">
        <f t="shared" ca="1" si="41"/>
        <v>OK</v>
      </c>
      <c r="S182" s="6">
        <v>3050000</v>
      </c>
      <c r="T182" s="5">
        <v>45346</v>
      </c>
      <c r="U182" s="30" t="str">
        <f t="shared" si="31"/>
        <v>PAGADO</v>
      </c>
    </row>
    <row r="183" spans="1:21" x14ac:dyDescent="0.25">
      <c r="A183" s="4" t="str">
        <f t="shared" si="32"/>
        <v>20242</v>
      </c>
      <c r="B183" s="4" t="s">
        <v>24</v>
      </c>
      <c r="C183" s="4" t="s">
        <v>21</v>
      </c>
      <c r="D183" s="29" t="s">
        <v>31</v>
      </c>
      <c r="E183" s="28">
        <v>45347</v>
      </c>
      <c r="F183" s="4">
        <f t="shared" si="39"/>
        <v>16</v>
      </c>
      <c r="G183" s="4">
        <f t="shared" si="40"/>
        <v>20</v>
      </c>
      <c r="H183" s="6">
        <v>2015435.33</v>
      </c>
      <c r="I183" s="6">
        <v>913142.76</v>
      </c>
      <c r="J183" s="6">
        <v>0</v>
      </c>
      <c r="K183" s="6">
        <v>0</v>
      </c>
      <c r="L183" s="6">
        <f t="shared" si="34"/>
        <v>0</v>
      </c>
      <c r="M183" s="7">
        <f t="shared" si="36"/>
        <v>1.7808333333333332E-2</v>
      </c>
      <c r="N183" s="7">
        <f t="shared" si="42"/>
        <v>1.7983063571610444E-2</v>
      </c>
      <c r="O183" s="7">
        <f t="shared" si="33"/>
        <v>9.8117120230478694E-3</v>
      </c>
      <c r="P183" s="6">
        <f t="shared" si="35"/>
        <v>2928578.09</v>
      </c>
      <c r="Q183" s="6">
        <f t="shared" si="43"/>
        <v>48762495.602834098</v>
      </c>
      <c r="R183" s="4" t="str">
        <f t="shared" ca="1" si="41"/>
        <v>OK</v>
      </c>
      <c r="S183" s="6">
        <v>2940000</v>
      </c>
      <c r="T183" s="5">
        <v>45377</v>
      </c>
      <c r="U183" s="30" t="str">
        <f t="shared" si="31"/>
        <v>PAGADO</v>
      </c>
    </row>
    <row r="184" spans="1:21" x14ac:dyDescent="0.25">
      <c r="A184" s="4" t="str">
        <f t="shared" si="32"/>
        <v>20243</v>
      </c>
      <c r="B184" s="4" t="s">
        <v>24</v>
      </c>
      <c r="C184" s="4" t="s">
        <v>21</v>
      </c>
      <c r="D184" s="29" t="s">
        <v>31</v>
      </c>
      <c r="E184" s="28">
        <v>45376</v>
      </c>
      <c r="F184" s="4">
        <f t="shared" si="39"/>
        <v>17</v>
      </c>
      <c r="G184" s="4">
        <f t="shared" si="40"/>
        <v>19</v>
      </c>
      <c r="H184" s="6">
        <v>2040644.0347565305</v>
      </c>
      <c r="I184" s="6">
        <v>864428.30524346943</v>
      </c>
      <c r="J184" s="6">
        <v>0</v>
      </c>
      <c r="K184" s="6">
        <v>0</v>
      </c>
      <c r="L184" s="6">
        <f t="shared" si="34"/>
        <v>0</v>
      </c>
      <c r="M184" s="7">
        <f t="shared" si="36"/>
        <v>1.7808333333333332E-2</v>
      </c>
      <c r="N184" s="7">
        <f t="shared" si="42"/>
        <v>1.7727318804274417E-2</v>
      </c>
      <c r="O184" s="7">
        <f t="shared" si="33"/>
        <v>-4.5492482391529254E-3</v>
      </c>
      <c r="P184" s="6">
        <f t="shared" si="35"/>
        <v>2905072.34</v>
      </c>
      <c r="Q184" s="6">
        <f t="shared" si="43"/>
        <v>46721851.568077564</v>
      </c>
      <c r="R184" s="4" t="str">
        <f t="shared" ca="1" si="41"/>
        <v>OK</v>
      </c>
      <c r="S184" s="6">
        <v>2957958.04</v>
      </c>
      <c r="T184" s="5">
        <v>45406</v>
      </c>
      <c r="U184" s="30" t="str">
        <f t="shared" si="31"/>
        <v>PAGADO</v>
      </c>
    </row>
    <row r="185" spans="1:21" x14ac:dyDescent="0.25">
      <c r="A185" s="4" t="str">
        <f t="shared" si="32"/>
        <v>20244</v>
      </c>
      <c r="B185" s="4" t="s">
        <v>24</v>
      </c>
      <c r="C185" s="4" t="s">
        <v>21</v>
      </c>
      <c r="D185" s="29" t="s">
        <v>31</v>
      </c>
      <c r="E185" s="28">
        <v>45407</v>
      </c>
      <c r="F185" s="4">
        <f t="shared" si="39"/>
        <v>18</v>
      </c>
      <c r="G185" s="4">
        <f t="shared" si="40"/>
        <v>18</v>
      </c>
      <c r="H185" s="6">
        <v>2077001.1585097732</v>
      </c>
      <c r="I185" s="6">
        <v>828071.18149022677</v>
      </c>
      <c r="J185" s="6">
        <v>0</v>
      </c>
      <c r="K185" s="6">
        <v>0</v>
      </c>
      <c r="L185" s="6">
        <f t="shared" si="34"/>
        <v>0</v>
      </c>
      <c r="M185" s="7">
        <f t="shared" si="36"/>
        <v>1.7808333333333332E-2</v>
      </c>
      <c r="N185" s="7">
        <f t="shared" si="42"/>
        <v>1.7723423916187465E-2</v>
      </c>
      <c r="O185" s="7">
        <f t="shared" si="33"/>
        <v>-4.7679597835770249E-3</v>
      </c>
      <c r="P185" s="6">
        <f t="shared" si="35"/>
        <v>2905072.34</v>
      </c>
      <c r="Q185" s="6">
        <f t="shared" si="43"/>
        <v>44644850.409567788</v>
      </c>
      <c r="R185" s="4" t="str">
        <f t="shared" ca="1" si="41"/>
        <v>OK</v>
      </c>
      <c r="S185" s="6">
        <v>3000000</v>
      </c>
      <c r="T185" s="5">
        <v>45439</v>
      </c>
      <c r="U185" s="30" t="str">
        <f t="shared" si="31"/>
        <v>PAGADO</v>
      </c>
    </row>
    <row r="186" spans="1:21" x14ac:dyDescent="0.25">
      <c r="A186" s="4" t="str">
        <f t="shared" si="32"/>
        <v>20245</v>
      </c>
      <c r="B186" s="4" t="s">
        <v>24</v>
      </c>
      <c r="C186" s="4" t="s">
        <v>21</v>
      </c>
      <c r="D186" s="29" t="s">
        <v>31</v>
      </c>
      <c r="E186" s="28">
        <v>45437</v>
      </c>
      <c r="F186" s="4">
        <f t="shared" si="39"/>
        <v>19</v>
      </c>
      <c r="G186" s="4">
        <f t="shared" si="40"/>
        <v>17</v>
      </c>
      <c r="H186" s="6">
        <v>2114006.0387678714</v>
      </c>
      <c r="I186" s="6">
        <v>791066.30123212852</v>
      </c>
      <c r="J186" s="6">
        <v>0</v>
      </c>
      <c r="K186" s="6">
        <v>0</v>
      </c>
      <c r="L186" s="6">
        <f t="shared" si="34"/>
        <v>0</v>
      </c>
      <c r="M186" s="7">
        <f t="shared" si="36"/>
        <v>1.7808333333333332E-2</v>
      </c>
      <c r="N186" s="7">
        <f t="shared" si="42"/>
        <v>1.77190940046827E-2</v>
      </c>
      <c r="O186" s="7">
        <f t="shared" si="33"/>
        <v>-5.0110994094879624E-3</v>
      </c>
      <c r="P186" s="6">
        <f t="shared" si="35"/>
        <v>2905072.34</v>
      </c>
      <c r="Q186" s="6">
        <f t="shared" si="43"/>
        <v>42530844.370799914</v>
      </c>
      <c r="R186" s="4" t="str">
        <f t="shared" ca="1" si="41"/>
        <v>OK</v>
      </c>
      <c r="S186" s="6">
        <v>2904475</v>
      </c>
      <c r="T186" s="5">
        <v>45456</v>
      </c>
      <c r="U186" s="30" t="str">
        <f t="shared" si="31"/>
        <v>PAGADO</v>
      </c>
    </row>
    <row r="187" spans="1:21" x14ac:dyDescent="0.25">
      <c r="A187" s="4" t="str">
        <f t="shared" si="32"/>
        <v>20246</v>
      </c>
      <c r="B187" s="4" t="s">
        <v>24</v>
      </c>
      <c r="C187" s="4" t="s">
        <v>21</v>
      </c>
      <c r="D187" s="29" t="s">
        <v>31</v>
      </c>
      <c r="E187" s="28">
        <v>45468</v>
      </c>
      <c r="F187" s="4">
        <f t="shared" si="39"/>
        <v>20</v>
      </c>
      <c r="G187" s="4">
        <f t="shared" si="40"/>
        <v>16</v>
      </c>
      <c r="H187" s="6">
        <v>2151670.2162812003</v>
      </c>
      <c r="I187" s="6">
        <v>753402.12371879956</v>
      </c>
      <c r="J187" s="6">
        <v>0</v>
      </c>
      <c r="K187" s="6">
        <v>0</v>
      </c>
      <c r="L187" s="6">
        <f t="shared" si="34"/>
        <v>597.33999999985099</v>
      </c>
      <c r="M187" s="7">
        <f t="shared" si="36"/>
        <v>1.7808333333333332E-2</v>
      </c>
      <c r="N187" s="7">
        <f t="shared" si="42"/>
        <v>1.7714252676254347E-2</v>
      </c>
      <c r="O187" s="7">
        <f t="shared" si="33"/>
        <v>-5.2829568785578429E-3</v>
      </c>
      <c r="P187" s="6">
        <f t="shared" si="35"/>
        <v>2905669.6799999997</v>
      </c>
      <c r="Q187" s="6">
        <f t="shared" si="43"/>
        <v>40379174.154518716</v>
      </c>
      <c r="R187" s="4" t="str">
        <f t="shared" ca="1" si="41"/>
        <v>OK</v>
      </c>
      <c r="S187" s="6">
        <v>2908348.8</v>
      </c>
      <c r="T187" s="5">
        <v>45471</v>
      </c>
      <c r="U187" s="30" t="str">
        <f t="shared" si="31"/>
        <v>PAGADO</v>
      </c>
    </row>
    <row r="188" spans="1:21" x14ac:dyDescent="0.25">
      <c r="A188" s="4" t="str">
        <f t="shared" si="32"/>
        <v>20247</v>
      </c>
      <c r="B188" s="4" t="s">
        <v>24</v>
      </c>
      <c r="C188" s="4" t="s">
        <v>21</v>
      </c>
      <c r="D188" s="29" t="s">
        <v>31</v>
      </c>
      <c r="E188" s="28">
        <v>45498</v>
      </c>
      <c r="F188" s="4">
        <f t="shared" si="39"/>
        <v>21</v>
      </c>
      <c r="G188" s="4">
        <f t="shared" si="40"/>
        <v>15</v>
      </c>
      <c r="H188" s="6">
        <v>2190005.4374158531</v>
      </c>
      <c r="I188" s="6">
        <v>715066.90258414682</v>
      </c>
      <c r="J188" s="6">
        <v>0</v>
      </c>
      <c r="K188" s="6">
        <v>0</v>
      </c>
      <c r="L188" s="6">
        <f t="shared" si="34"/>
        <v>0</v>
      </c>
      <c r="M188" s="7">
        <f t="shared" si="36"/>
        <v>1.7808333333333332E-2</v>
      </c>
      <c r="N188" s="7">
        <f t="shared" si="42"/>
        <v>1.7708804539880014E-2</v>
      </c>
      <c r="O188" s="7">
        <f t="shared" si="33"/>
        <v>-5.5888887292457889E-3</v>
      </c>
      <c r="P188" s="6">
        <f t="shared" si="35"/>
        <v>2905072.34</v>
      </c>
      <c r="Q188" s="6">
        <f t="shared" si="43"/>
        <v>38189168.717102863</v>
      </c>
      <c r="R188" s="4" t="str">
        <f t="shared" ca="1" si="41"/>
        <v>OK</v>
      </c>
      <c r="S188" s="6">
        <v>2930132</v>
      </c>
      <c r="T188" s="5">
        <v>45516</v>
      </c>
      <c r="U188" s="30" t="str">
        <f t="shared" si="31"/>
        <v>PAGADO</v>
      </c>
    </row>
    <row r="189" spans="1:21" x14ac:dyDescent="0.25">
      <c r="A189" s="4" t="str">
        <f t="shared" si="32"/>
        <v>20248</v>
      </c>
      <c r="B189" s="4" t="s">
        <v>24</v>
      </c>
      <c r="C189" s="4" t="s">
        <v>21</v>
      </c>
      <c r="D189" s="29" t="s">
        <v>31</v>
      </c>
      <c r="E189" s="28">
        <v>45529</v>
      </c>
      <c r="F189" s="4">
        <f t="shared" si="39"/>
        <v>22</v>
      </c>
      <c r="G189" s="4">
        <f t="shared" si="40"/>
        <v>14</v>
      </c>
      <c r="H189" s="6">
        <v>2229023.6578169931</v>
      </c>
      <c r="I189" s="6">
        <v>676048.68218300666</v>
      </c>
      <c r="J189" s="6">
        <v>0</v>
      </c>
      <c r="K189" s="6">
        <v>0</v>
      </c>
      <c r="L189" s="6">
        <f t="shared" si="34"/>
        <v>0</v>
      </c>
      <c r="M189" s="7">
        <f t="shared" si="36"/>
        <v>1.7808333333333332E-2</v>
      </c>
      <c r="N189" s="7">
        <f t="shared" si="42"/>
        <v>1.7702628910072113E-2</v>
      </c>
      <c r="O189" s="7">
        <f t="shared" si="33"/>
        <v>-5.9356718724128399E-3</v>
      </c>
      <c r="P189" s="6">
        <f t="shared" si="35"/>
        <v>2905072.34</v>
      </c>
      <c r="Q189" s="6">
        <f t="shared" si="43"/>
        <v>35960145.059285872</v>
      </c>
      <c r="R189" s="4">
        <f t="shared" ca="1" si="41"/>
        <v>9</v>
      </c>
      <c r="S189" s="6"/>
      <c r="T189" s="5"/>
      <c r="U189" s="30" t="str">
        <f t="shared" si="31"/>
        <v>PENDIENTE</v>
      </c>
    </row>
    <row r="190" spans="1:21" x14ac:dyDescent="0.25">
      <c r="A190" s="4" t="str">
        <f t="shared" si="32"/>
        <v>20249</v>
      </c>
      <c r="B190" s="4" t="s">
        <v>24</v>
      </c>
      <c r="C190" s="4" t="s">
        <v>21</v>
      </c>
      <c r="D190" s="29" t="s">
        <v>31</v>
      </c>
      <c r="E190" s="28">
        <v>45560</v>
      </c>
      <c r="F190" s="4">
        <f t="shared" si="39"/>
        <v>23</v>
      </c>
      <c r="G190" s="4">
        <f t="shared" si="40"/>
        <v>13</v>
      </c>
      <c r="H190" s="6">
        <v>2268737.0461374735</v>
      </c>
      <c r="I190" s="6">
        <v>636335.29386252642</v>
      </c>
      <c r="J190" s="6">
        <v>0</v>
      </c>
      <c r="K190" s="6">
        <v>0</v>
      </c>
      <c r="L190" s="6">
        <f t="shared" si="34"/>
        <v>0</v>
      </c>
      <c r="M190" s="7">
        <f t="shared" si="36"/>
        <v>1.7808333333333332E-2</v>
      </c>
      <c r="N190" s="7">
        <f t="shared" si="42"/>
        <v>1.7695570827465493E-2</v>
      </c>
      <c r="O190" s="7">
        <f t="shared" si="33"/>
        <v>-6.3320078166311244E-3</v>
      </c>
      <c r="P190" s="6">
        <f t="shared" si="35"/>
        <v>2905072.34</v>
      </c>
      <c r="Q190" s="6">
        <f t="shared" si="43"/>
        <v>33691408.013148397</v>
      </c>
      <c r="R190" s="4">
        <f t="shared" ca="1" si="41"/>
        <v>9</v>
      </c>
      <c r="S190" s="6"/>
      <c r="T190" s="5"/>
      <c r="U190" s="30" t="str">
        <f t="shared" si="31"/>
        <v>PENDIENTE</v>
      </c>
    </row>
    <row r="191" spans="1:21" x14ac:dyDescent="0.25">
      <c r="A191" s="4" t="str">
        <f t="shared" si="32"/>
        <v>202410</v>
      </c>
      <c r="B191" s="4" t="s">
        <v>24</v>
      </c>
      <c r="C191" s="4" t="s">
        <v>21</v>
      </c>
      <c r="D191" s="29" t="s">
        <v>31</v>
      </c>
      <c r="E191" s="28">
        <v>45590</v>
      </c>
      <c r="F191" s="4">
        <f t="shared" si="39"/>
        <v>24</v>
      </c>
      <c r="G191" s="4">
        <f t="shared" si="40"/>
        <v>12</v>
      </c>
      <c r="H191" s="6">
        <v>2309157.9878328862</v>
      </c>
      <c r="I191" s="6">
        <v>595914.35216711345</v>
      </c>
      <c r="J191" s="6">
        <v>0</v>
      </c>
      <c r="K191" s="6">
        <v>0</v>
      </c>
      <c r="L191" s="6">
        <f t="shared" si="34"/>
        <v>0</v>
      </c>
      <c r="M191" s="7">
        <f t="shared" si="36"/>
        <v>1.7808333333333332E-2</v>
      </c>
      <c r="N191" s="7">
        <f t="shared" si="42"/>
        <v>1.7687427961887259E-2</v>
      </c>
      <c r="O191" s="7">
        <f t="shared" si="33"/>
        <v>-6.7892581064711299E-3</v>
      </c>
      <c r="P191" s="6">
        <f t="shared" si="35"/>
        <v>2905072.34</v>
      </c>
      <c r="Q191" s="6">
        <f t="shared" si="43"/>
        <v>31382250.025315512</v>
      </c>
      <c r="R191" s="4">
        <f t="shared" ca="1" si="41"/>
        <v>-22</v>
      </c>
      <c r="S191" s="6"/>
      <c r="T191" s="5"/>
      <c r="U191" s="30" t="str">
        <f t="shared" si="31"/>
        <v>PENDIENTE</v>
      </c>
    </row>
    <row r="192" spans="1:21" x14ac:dyDescent="0.25">
      <c r="A192" s="4" t="str">
        <f t="shared" si="32"/>
        <v>202411</v>
      </c>
      <c r="B192" s="4" t="s">
        <v>24</v>
      </c>
      <c r="C192" s="4" t="s">
        <v>21</v>
      </c>
      <c r="D192" s="29" t="s">
        <v>31</v>
      </c>
      <c r="E192" s="28">
        <v>45621</v>
      </c>
      <c r="F192" s="4">
        <f t="shared" si="39"/>
        <v>25</v>
      </c>
      <c r="G192" s="4">
        <f t="shared" si="40"/>
        <v>11</v>
      </c>
      <c r="H192" s="6">
        <v>2350299.0890242294</v>
      </c>
      <c r="I192" s="6">
        <v>554773.25097577053</v>
      </c>
      <c r="J192" s="6">
        <v>0</v>
      </c>
      <c r="K192" s="6">
        <v>0</v>
      </c>
      <c r="L192" s="6">
        <f t="shared" si="34"/>
        <v>0</v>
      </c>
      <c r="M192" s="7">
        <f t="shared" si="36"/>
        <v>1.7808333333333332E-2</v>
      </c>
      <c r="N192" s="7">
        <f t="shared" si="42"/>
        <v>1.7677931012857417E-2</v>
      </c>
      <c r="O192" s="7">
        <f t="shared" si="33"/>
        <v>-7.322544902718664E-3</v>
      </c>
      <c r="P192" s="6">
        <f t="shared" si="35"/>
        <v>2905072.34</v>
      </c>
      <c r="Q192" s="6">
        <f t="shared" si="43"/>
        <v>29031950.936291281</v>
      </c>
      <c r="R192" s="4">
        <f t="shared" ca="1" si="41"/>
        <v>-52</v>
      </c>
      <c r="S192" s="6"/>
      <c r="T192" s="5"/>
      <c r="U192" s="30" t="str">
        <f t="shared" si="31"/>
        <v>PENDIENTE</v>
      </c>
    </row>
    <row r="193" spans="1:21" x14ac:dyDescent="0.25">
      <c r="A193" s="4" t="str">
        <f t="shared" si="32"/>
        <v>202412</v>
      </c>
      <c r="B193" s="4" t="s">
        <v>24</v>
      </c>
      <c r="C193" s="4" t="s">
        <v>21</v>
      </c>
      <c r="D193" s="29" t="s">
        <v>31</v>
      </c>
      <c r="E193" s="28">
        <v>45651</v>
      </c>
      <c r="F193" s="4">
        <f t="shared" si="39"/>
        <v>26</v>
      </c>
      <c r="G193" s="4">
        <f t="shared" si="40"/>
        <v>10</v>
      </c>
      <c r="H193" s="6">
        <v>2392173.1804293883</v>
      </c>
      <c r="I193" s="6">
        <v>512899.15957061161</v>
      </c>
      <c r="J193" s="6">
        <v>0</v>
      </c>
      <c r="K193" s="6">
        <v>0</v>
      </c>
      <c r="L193" s="6">
        <f t="shared" si="34"/>
        <v>0</v>
      </c>
      <c r="M193" s="7">
        <f t="shared" si="36"/>
        <v>1.7808333333333332E-2</v>
      </c>
      <c r="N193" s="7">
        <f t="shared" si="42"/>
        <v>1.7666713501140012E-2</v>
      </c>
      <c r="O193" s="7">
        <f t="shared" si="33"/>
        <v>-7.9524472920909917E-3</v>
      </c>
      <c r="P193" s="6">
        <f t="shared" si="35"/>
        <v>2905072.34</v>
      </c>
      <c r="Q193" s="6">
        <f t="shared" si="43"/>
        <v>26639777.755861893</v>
      </c>
      <c r="R193" s="4">
        <f t="shared" ca="1" si="41"/>
        <v>-83</v>
      </c>
      <c r="S193" s="6"/>
      <c r="T193" s="5"/>
      <c r="U193" s="30" t="str">
        <f t="shared" si="31"/>
        <v>PENDIENTE</v>
      </c>
    </row>
    <row r="194" spans="1:21" x14ac:dyDescent="0.25">
      <c r="A194" s="4" t="str">
        <f t="shared" si="32"/>
        <v>20251</v>
      </c>
      <c r="B194" s="4" t="s">
        <v>24</v>
      </c>
      <c r="C194" s="4" t="s">
        <v>21</v>
      </c>
      <c r="D194" s="29" t="s">
        <v>31</v>
      </c>
      <c r="E194" s="28">
        <v>45682</v>
      </c>
      <c r="F194" s="4">
        <f t="shared" si="39"/>
        <v>27</v>
      </c>
      <c r="G194" s="4">
        <f t="shared" si="40"/>
        <v>9</v>
      </c>
      <c r="H194" s="6">
        <v>2434793.3213646668</v>
      </c>
      <c r="I194" s="6">
        <v>470279.01863533293</v>
      </c>
      <c r="J194" s="6">
        <v>0</v>
      </c>
      <c r="K194" s="6">
        <v>0</v>
      </c>
      <c r="L194" s="6">
        <f t="shared" si="34"/>
        <v>0</v>
      </c>
      <c r="M194" s="7">
        <f t="shared" si="36"/>
        <v>1.7808333333333332E-2</v>
      </c>
      <c r="N194" s="7">
        <f t="shared" si="42"/>
        <v>1.7653263587450591E-2</v>
      </c>
      <c r="O194" s="7">
        <f t="shared" si="33"/>
        <v>-8.7077068347819475E-3</v>
      </c>
      <c r="P194" s="6">
        <f t="shared" si="35"/>
        <v>2905072.34</v>
      </c>
      <c r="Q194" s="6">
        <f t="shared" si="43"/>
        <v>24204984.434497226</v>
      </c>
      <c r="R194" s="4">
        <f t="shared" ca="1" si="41"/>
        <v>-113</v>
      </c>
      <c r="S194" s="6"/>
      <c r="T194" s="5"/>
      <c r="U194" s="30" t="str">
        <f t="shared" ref="U194:U257" si="44">IF(AND(S194="",T194=""),"PENDIENTE",IF(AND(S194&lt;&gt;"",T194&lt;&gt;""),"PAGADO","ABONADO"))</f>
        <v>PENDIENTE</v>
      </c>
    </row>
    <row r="195" spans="1:21" x14ac:dyDescent="0.25">
      <c r="A195" s="4" t="str">
        <f t="shared" ref="A195:A258" si="45">CONCATENATE(YEAR($E195),MONTH($E195))</f>
        <v>20252</v>
      </c>
      <c r="B195" s="4" t="s">
        <v>24</v>
      </c>
      <c r="C195" s="4" t="s">
        <v>21</v>
      </c>
      <c r="D195" s="29" t="s">
        <v>31</v>
      </c>
      <c r="E195" s="28">
        <v>45713</v>
      </c>
      <c r="F195" s="4">
        <f t="shared" si="39"/>
        <v>28</v>
      </c>
      <c r="G195" s="4">
        <f t="shared" si="40"/>
        <v>8</v>
      </c>
      <c r="H195" s="6">
        <v>2478172.8038176098</v>
      </c>
      <c r="I195" s="6">
        <v>426899.53618238994</v>
      </c>
      <c r="J195" s="6">
        <v>0</v>
      </c>
      <c r="K195" s="6">
        <v>0</v>
      </c>
      <c r="L195" s="6">
        <f t="shared" si="34"/>
        <v>0</v>
      </c>
      <c r="M195" s="7">
        <f t="shared" si="36"/>
        <v>1.7808333333333332E-2</v>
      </c>
      <c r="N195" s="7">
        <f t="shared" si="42"/>
        <v>1.7636844069768034E-2</v>
      </c>
      <c r="O195" s="7">
        <f t="shared" ref="O195:O258" si="46">(N195/M195)-1</f>
        <v>-9.6297199943078393E-3</v>
      </c>
      <c r="P195" s="6">
        <f t="shared" si="35"/>
        <v>2905072.34</v>
      </c>
      <c r="Q195" s="6">
        <f t="shared" si="43"/>
        <v>21726811.630679615</v>
      </c>
      <c r="R195" s="4">
        <f t="shared" ca="1" si="41"/>
        <v>-144</v>
      </c>
      <c r="S195" s="6"/>
      <c r="T195" s="5"/>
      <c r="U195" s="30" t="str">
        <f t="shared" si="44"/>
        <v>PENDIENTE</v>
      </c>
    </row>
    <row r="196" spans="1:21" x14ac:dyDescent="0.25">
      <c r="A196" s="4" t="str">
        <f t="shared" si="45"/>
        <v>20253</v>
      </c>
      <c r="B196" s="4" t="s">
        <v>24</v>
      </c>
      <c r="C196" s="4" t="s">
        <v>21</v>
      </c>
      <c r="D196" s="29" t="s">
        <v>31</v>
      </c>
      <c r="E196" s="28">
        <v>45741</v>
      </c>
      <c r="F196" s="4">
        <f t="shared" si="39"/>
        <v>29</v>
      </c>
      <c r="G196" s="4">
        <f t="shared" si="40"/>
        <v>7</v>
      </c>
      <c r="H196" s="6">
        <v>2522325.1565923882</v>
      </c>
      <c r="I196" s="6">
        <v>382747.18340761185</v>
      </c>
      <c r="J196" s="6">
        <v>0</v>
      </c>
      <c r="K196" s="6">
        <v>0</v>
      </c>
      <c r="L196" s="6">
        <f t="shared" ref="L196:L211" si="47">IF(S195="",0,IF(S195&lt;=P195,P195-S195,0))</f>
        <v>0</v>
      </c>
      <c r="M196" s="7">
        <f t="shared" si="36"/>
        <v>1.7808333333333332E-2</v>
      </c>
      <c r="N196" s="7">
        <f t="shared" si="42"/>
        <v>1.7616353007228587E-2</v>
      </c>
      <c r="O196" s="7">
        <f t="shared" si="46"/>
        <v>-1.0780364591749803E-2</v>
      </c>
      <c r="P196" s="6">
        <f t="shared" ref="P196:P259" si="48">H196+I196+J196+K196+L196</f>
        <v>2905072.34</v>
      </c>
      <c r="Q196" s="6">
        <f t="shared" si="43"/>
        <v>19204486.474087227</v>
      </c>
      <c r="R196" s="4">
        <f t="shared" ca="1" si="41"/>
        <v>-175</v>
      </c>
      <c r="S196" s="6"/>
      <c r="T196" s="5"/>
      <c r="U196" s="30" t="str">
        <f t="shared" si="44"/>
        <v>PENDIENTE</v>
      </c>
    </row>
    <row r="197" spans="1:21" x14ac:dyDescent="0.25">
      <c r="A197" s="4" t="str">
        <f t="shared" si="45"/>
        <v>20254</v>
      </c>
      <c r="B197" s="4" t="s">
        <v>24</v>
      </c>
      <c r="C197" s="4" t="s">
        <v>21</v>
      </c>
      <c r="D197" s="29" t="s">
        <v>31</v>
      </c>
      <c r="E197" s="28">
        <v>45772</v>
      </c>
      <c r="F197" s="4">
        <f t="shared" si="39"/>
        <v>30</v>
      </c>
      <c r="G197" s="4">
        <f t="shared" si="40"/>
        <v>6</v>
      </c>
      <c r="H197" s="6">
        <v>2567264.1495290408</v>
      </c>
      <c r="I197" s="6">
        <v>337808.19047095906</v>
      </c>
      <c r="J197" s="6">
        <v>0</v>
      </c>
      <c r="K197" s="6">
        <v>0</v>
      </c>
      <c r="L197" s="6">
        <f t="shared" si="47"/>
        <v>0</v>
      </c>
      <c r="M197" s="7">
        <f t="shared" ref="M197:M203" si="49">0.2137/12</f>
        <v>1.7808333333333332E-2</v>
      </c>
      <c r="N197" s="7">
        <f t="shared" si="42"/>
        <v>1.7590066306993758E-2</v>
      </c>
      <c r="O197" s="7">
        <f t="shared" si="46"/>
        <v>-1.2256454450514265E-2</v>
      </c>
      <c r="P197" s="6">
        <f t="shared" si="48"/>
        <v>2905072.34</v>
      </c>
      <c r="Q197" s="6">
        <f t="shared" si="43"/>
        <v>16637222.324558187</v>
      </c>
      <c r="R197" s="4">
        <f t="shared" ca="1" si="41"/>
        <v>-203</v>
      </c>
      <c r="S197" s="6"/>
      <c r="T197" s="5"/>
      <c r="U197" s="30" t="str">
        <f t="shared" si="44"/>
        <v>PENDIENTE</v>
      </c>
    </row>
    <row r="198" spans="1:21" x14ac:dyDescent="0.25">
      <c r="A198" s="4" t="str">
        <f t="shared" si="45"/>
        <v>20255</v>
      </c>
      <c r="B198" s="4" t="s">
        <v>24</v>
      </c>
      <c r="C198" s="4" t="s">
        <v>21</v>
      </c>
      <c r="D198" s="29" t="s">
        <v>31</v>
      </c>
      <c r="E198" s="28">
        <v>45802</v>
      </c>
      <c r="F198" s="4">
        <f t="shared" si="39"/>
        <v>31</v>
      </c>
      <c r="G198" s="4">
        <f t="shared" si="40"/>
        <v>5</v>
      </c>
      <c r="H198" s="6">
        <v>2613003.7977978904</v>
      </c>
      <c r="I198" s="6">
        <v>292068.54220210924</v>
      </c>
      <c r="J198" s="6">
        <v>0</v>
      </c>
      <c r="K198" s="6">
        <v>0</v>
      </c>
      <c r="L198" s="6">
        <f t="shared" si="47"/>
        <v>0</v>
      </c>
      <c r="M198" s="7">
        <f t="shared" si="49"/>
        <v>1.7808333333333332E-2</v>
      </c>
      <c r="N198" s="7">
        <f t="shared" si="42"/>
        <v>1.7555126481118614E-2</v>
      </c>
      <c r="O198" s="7">
        <f t="shared" si="46"/>
        <v>-1.4218447480470853E-2</v>
      </c>
      <c r="P198" s="6">
        <f t="shared" si="48"/>
        <v>2905072.34</v>
      </c>
      <c r="Q198" s="6">
        <f t="shared" si="43"/>
        <v>14024218.526760297</v>
      </c>
      <c r="R198" s="4">
        <f t="shared" ca="1" si="41"/>
        <v>-234</v>
      </c>
      <c r="S198" s="6"/>
      <c r="T198" s="5"/>
      <c r="U198" s="30" t="str">
        <f t="shared" si="44"/>
        <v>PENDIENTE</v>
      </c>
    </row>
    <row r="199" spans="1:21" x14ac:dyDescent="0.25">
      <c r="A199" s="4" t="str">
        <f t="shared" si="45"/>
        <v>20256</v>
      </c>
      <c r="B199" s="4" t="s">
        <v>24</v>
      </c>
      <c r="C199" s="4" t="s">
        <v>21</v>
      </c>
      <c r="D199" s="29" t="s">
        <v>31</v>
      </c>
      <c r="E199" s="28">
        <v>45833</v>
      </c>
      <c r="F199" s="4">
        <f t="shared" si="39"/>
        <v>32</v>
      </c>
      <c r="G199" s="4">
        <f t="shared" si="40"/>
        <v>4</v>
      </c>
      <c r="H199" s="6">
        <v>2659558.3662704686</v>
      </c>
      <c r="I199" s="6">
        <v>245513.97372953128</v>
      </c>
      <c r="J199" s="6">
        <v>0</v>
      </c>
      <c r="K199" s="6">
        <v>0</v>
      </c>
      <c r="L199" s="6">
        <f t="shared" si="47"/>
        <v>0</v>
      </c>
      <c r="M199" s="7">
        <f t="shared" si="49"/>
        <v>1.7808333333333332E-2</v>
      </c>
      <c r="N199" s="7">
        <f t="shared" si="42"/>
        <v>1.7506428130812001E-2</v>
      </c>
      <c r="O199" s="7">
        <f t="shared" si="46"/>
        <v>-1.695302962216183E-2</v>
      </c>
      <c r="P199" s="6">
        <f t="shared" si="48"/>
        <v>2905072.34</v>
      </c>
      <c r="Q199" s="6">
        <f t="shared" si="43"/>
        <v>11364660.160489827</v>
      </c>
      <c r="R199" s="4">
        <f t="shared" ca="1" si="41"/>
        <v>-264</v>
      </c>
      <c r="S199" s="6"/>
      <c r="T199" s="5"/>
      <c r="U199" s="30" t="str">
        <f t="shared" si="44"/>
        <v>PENDIENTE</v>
      </c>
    </row>
    <row r="200" spans="1:21" x14ac:dyDescent="0.25">
      <c r="A200" s="4" t="str">
        <f t="shared" si="45"/>
        <v>20257</v>
      </c>
      <c r="B200" s="4" t="s">
        <v>24</v>
      </c>
      <c r="C200" s="4" t="s">
        <v>21</v>
      </c>
      <c r="D200" s="29" t="s">
        <v>31</v>
      </c>
      <c r="E200" s="28">
        <v>45863</v>
      </c>
      <c r="F200" s="4">
        <f t="shared" si="39"/>
        <v>33</v>
      </c>
      <c r="G200" s="4">
        <f t="shared" si="40"/>
        <v>3</v>
      </c>
      <c r="H200" s="6">
        <v>2706942.3739683144</v>
      </c>
      <c r="I200" s="6">
        <v>198129.96603168527</v>
      </c>
      <c r="J200" s="6">
        <v>0</v>
      </c>
      <c r="K200" s="6">
        <v>0</v>
      </c>
      <c r="L200" s="6">
        <f t="shared" si="47"/>
        <v>0</v>
      </c>
      <c r="M200" s="7">
        <f t="shared" si="49"/>
        <v>1.7808333333333332E-2</v>
      </c>
      <c r="N200" s="7">
        <f t="shared" si="42"/>
        <v>1.7433866321889705E-2</v>
      </c>
      <c r="O200" s="7">
        <f t="shared" si="46"/>
        <v>-2.1027628157807787E-2</v>
      </c>
      <c r="P200" s="6">
        <f t="shared" si="48"/>
        <v>2905072.34</v>
      </c>
      <c r="Q200" s="6">
        <f t="shared" si="43"/>
        <v>8657717.786521513</v>
      </c>
      <c r="R200" s="4">
        <f t="shared" ca="1" si="41"/>
        <v>-295</v>
      </c>
      <c r="S200" s="6"/>
      <c r="T200" s="5"/>
      <c r="U200" s="30" t="str">
        <f t="shared" si="44"/>
        <v>PENDIENTE</v>
      </c>
    </row>
    <row r="201" spans="1:21" x14ac:dyDescent="0.25">
      <c r="A201" s="4" t="str">
        <f t="shared" si="45"/>
        <v>20258</v>
      </c>
      <c r="B201" s="4" t="s">
        <v>24</v>
      </c>
      <c r="C201" s="4" t="s">
        <v>21</v>
      </c>
      <c r="D201" s="29" t="s">
        <v>31</v>
      </c>
      <c r="E201" s="28">
        <v>45894</v>
      </c>
      <c r="F201" s="4">
        <f t="shared" si="39"/>
        <v>34</v>
      </c>
      <c r="G201" s="4">
        <f t="shared" si="40"/>
        <v>2</v>
      </c>
      <c r="H201" s="6">
        <v>2755170.5985910399</v>
      </c>
      <c r="I201" s="6">
        <v>149901.74140896008</v>
      </c>
      <c r="J201" s="6">
        <v>0</v>
      </c>
      <c r="K201" s="6">
        <v>0</v>
      </c>
      <c r="L201" s="6">
        <f t="shared" si="47"/>
        <v>0</v>
      </c>
      <c r="M201" s="7">
        <f t="shared" si="49"/>
        <v>1.7808333333333332E-2</v>
      </c>
      <c r="N201" s="7">
        <f t="shared" si="42"/>
        <v>1.7314232815757721E-2</v>
      </c>
      <c r="O201" s="7">
        <f t="shared" si="46"/>
        <v>-2.7745466592921542E-2</v>
      </c>
      <c r="P201" s="6">
        <f t="shared" si="48"/>
        <v>2905072.34</v>
      </c>
      <c r="Q201" s="6">
        <f t="shared" si="43"/>
        <v>5902547.1879304731</v>
      </c>
      <c r="R201" s="4">
        <f t="shared" ca="1" si="41"/>
        <v>-325</v>
      </c>
      <c r="S201" s="6"/>
      <c r="T201" s="5"/>
      <c r="U201" s="30" t="str">
        <f t="shared" si="44"/>
        <v>PENDIENTE</v>
      </c>
    </row>
    <row r="202" spans="1:21" x14ac:dyDescent="0.25">
      <c r="A202" s="4" t="str">
        <f t="shared" si="45"/>
        <v>20259</v>
      </c>
      <c r="B202" s="4" t="s">
        <v>24</v>
      </c>
      <c r="C202" s="4" t="s">
        <v>21</v>
      </c>
      <c r="D202" s="29" t="s">
        <v>31</v>
      </c>
      <c r="E202" s="28">
        <v>45925</v>
      </c>
      <c r="F202" s="4">
        <f t="shared" si="39"/>
        <v>35</v>
      </c>
      <c r="G202" s="4">
        <f t="shared" si="40"/>
        <v>1</v>
      </c>
      <c r="H202" s="6">
        <v>2804258.0811250629</v>
      </c>
      <c r="I202" s="6">
        <v>100814.25887493692</v>
      </c>
      <c r="J202" s="6">
        <v>0</v>
      </c>
      <c r="K202" s="6">
        <v>0</v>
      </c>
      <c r="L202" s="6">
        <f t="shared" si="47"/>
        <v>0</v>
      </c>
      <c r="M202" s="7">
        <f t="shared" si="49"/>
        <v>1.7808333333333332E-2</v>
      </c>
      <c r="N202" s="7">
        <f t="shared" si="42"/>
        <v>1.7079788719195993E-2</v>
      </c>
      <c r="O202" s="7">
        <f t="shared" si="46"/>
        <v>-4.0910319932840777E-2</v>
      </c>
      <c r="P202" s="6">
        <f t="shared" si="48"/>
        <v>2905072.34</v>
      </c>
      <c r="Q202" s="6">
        <f t="shared" si="43"/>
        <v>3098289.1068054102</v>
      </c>
      <c r="R202" s="4">
        <f t="shared" ca="1" si="41"/>
        <v>-356</v>
      </c>
      <c r="S202" s="6"/>
      <c r="T202" s="5"/>
      <c r="U202" s="30" t="str">
        <f t="shared" si="44"/>
        <v>PENDIENTE</v>
      </c>
    </row>
    <row r="203" spans="1:21" x14ac:dyDescent="0.25">
      <c r="A203" s="4" t="str">
        <f t="shared" si="45"/>
        <v>202510</v>
      </c>
      <c r="B203" s="4" t="s">
        <v>24</v>
      </c>
      <c r="C203" s="4" t="s">
        <v>21</v>
      </c>
      <c r="D203" s="29" t="s">
        <v>31</v>
      </c>
      <c r="E203" s="28">
        <v>45955</v>
      </c>
      <c r="F203" s="4">
        <f t="shared" si="39"/>
        <v>36</v>
      </c>
      <c r="G203" s="4">
        <f t="shared" si="40"/>
        <v>0</v>
      </c>
      <c r="H203" s="6">
        <v>2854220.7740179487</v>
      </c>
      <c r="I203" s="6">
        <v>50852.209465541222</v>
      </c>
      <c r="J203" s="6">
        <v>0</v>
      </c>
      <c r="K203" s="6">
        <v>0</v>
      </c>
      <c r="L203" s="6">
        <f t="shared" si="47"/>
        <v>0</v>
      </c>
      <c r="M203" s="7">
        <f t="shared" si="49"/>
        <v>1.7808333333333332E-2</v>
      </c>
      <c r="N203" s="7">
        <f t="shared" si="42"/>
        <v>1.6412996887167193E-2</v>
      </c>
      <c r="O203" s="7">
        <f t="shared" si="46"/>
        <v>-7.8353005868009751E-2</v>
      </c>
      <c r="P203" s="6">
        <f t="shared" si="48"/>
        <v>2905072.9834834901</v>
      </c>
      <c r="Q203" s="6">
        <f t="shared" si="43"/>
        <v>244068.33278746158</v>
      </c>
      <c r="R203" s="4">
        <f t="shared" ca="1" si="41"/>
        <v>-387</v>
      </c>
      <c r="S203" s="6"/>
      <c r="T203" s="5"/>
      <c r="U203" s="30" t="str">
        <f t="shared" si="44"/>
        <v>PENDIENTE</v>
      </c>
    </row>
    <row r="204" spans="1:21" x14ac:dyDescent="0.25">
      <c r="A204" s="4" t="str">
        <f t="shared" si="45"/>
        <v>20234</v>
      </c>
      <c r="B204" s="4" t="s">
        <v>32</v>
      </c>
      <c r="C204" s="4" t="s">
        <v>21</v>
      </c>
      <c r="D204" s="29" t="s">
        <v>33</v>
      </c>
      <c r="E204" s="28">
        <v>45045</v>
      </c>
      <c r="F204" s="4">
        <v>0</v>
      </c>
      <c r="G204" s="4">
        <v>60</v>
      </c>
      <c r="H204" s="6">
        <v>54900000</v>
      </c>
      <c r="I204" s="6">
        <v>0</v>
      </c>
      <c r="J204" s="6">
        <v>0</v>
      </c>
      <c r="K204" s="6">
        <v>0</v>
      </c>
      <c r="L204" s="6">
        <v>0</v>
      </c>
      <c r="M204" s="7">
        <f>(0.12131+0.0951)/12</f>
        <v>1.8034166666666667E-2</v>
      </c>
      <c r="N204" s="7">
        <f t="shared" ref="N204" si="50">I204/70000000</f>
        <v>0</v>
      </c>
      <c r="O204" s="7">
        <f t="shared" si="46"/>
        <v>-1</v>
      </c>
      <c r="P204" s="6">
        <f t="shared" si="48"/>
        <v>54900000</v>
      </c>
      <c r="Q204" s="6">
        <v>270000000</v>
      </c>
      <c r="R204" s="4" t="s">
        <v>27</v>
      </c>
      <c r="S204" s="6">
        <v>54900000</v>
      </c>
      <c r="T204" s="5">
        <v>45043</v>
      </c>
      <c r="U204" s="30" t="str">
        <f t="shared" si="44"/>
        <v>PAGADO</v>
      </c>
    </row>
    <row r="205" spans="1:21" x14ac:dyDescent="0.25">
      <c r="A205" s="4" t="str">
        <f t="shared" si="45"/>
        <v>20235</v>
      </c>
      <c r="B205" s="4" t="s">
        <v>32</v>
      </c>
      <c r="C205" s="4" t="s">
        <v>21</v>
      </c>
      <c r="D205" s="29" t="s">
        <v>33</v>
      </c>
      <c r="E205" s="28">
        <v>45075</v>
      </c>
      <c r="F205" s="4">
        <v>1</v>
      </c>
      <c r="G205" s="4">
        <v>59</v>
      </c>
      <c r="H205" s="6">
        <v>2507546</v>
      </c>
      <c r="I205" s="6">
        <f>7376771-H205</f>
        <v>4869225</v>
      </c>
      <c r="J205" s="6">
        <v>0</v>
      </c>
      <c r="K205" s="6">
        <v>0</v>
      </c>
      <c r="L205" s="6">
        <f t="shared" si="47"/>
        <v>0</v>
      </c>
      <c r="M205" s="7">
        <f t="shared" ref="M205:M264" si="51">(0.12131+0.0951)/12</f>
        <v>1.8034166666666667E-2</v>
      </c>
      <c r="N205" s="7">
        <f>I205/Q204</f>
        <v>1.8034166666666667E-2</v>
      </c>
      <c r="O205" s="7">
        <f t="shared" si="46"/>
        <v>0</v>
      </c>
      <c r="P205" s="6">
        <f t="shared" si="48"/>
        <v>7376771</v>
      </c>
      <c r="Q205" s="6">
        <f>Q204-H205</f>
        <v>267492454</v>
      </c>
      <c r="R205" s="4" t="str">
        <f t="shared" ref="R205:R265" ca="1" si="52">IF(T204="",TODAY()-E204,IF(T205="",TODAY()-E205,"OK"))</f>
        <v>OK</v>
      </c>
      <c r="S205" s="6">
        <v>7800000</v>
      </c>
      <c r="T205" s="5">
        <v>45098</v>
      </c>
      <c r="U205" s="30" t="str">
        <f t="shared" si="44"/>
        <v>PAGADO</v>
      </c>
    </row>
    <row r="206" spans="1:21" x14ac:dyDescent="0.25">
      <c r="A206" s="4" t="str">
        <f t="shared" si="45"/>
        <v>20236</v>
      </c>
      <c r="B206" s="4" t="s">
        <v>32</v>
      </c>
      <c r="C206" s="4" t="s">
        <v>21</v>
      </c>
      <c r="D206" s="29" t="s">
        <v>33</v>
      </c>
      <c r="E206" s="28">
        <v>45106</v>
      </c>
      <c r="F206" s="4">
        <v>2</v>
      </c>
      <c r="G206" s="4">
        <v>58</v>
      </c>
      <c r="H206" s="6">
        <v>2537914</v>
      </c>
      <c r="I206" s="6">
        <v>4870592</v>
      </c>
      <c r="J206" s="6">
        <v>0</v>
      </c>
      <c r="K206" s="6">
        <v>24.18</v>
      </c>
      <c r="L206" s="6">
        <f t="shared" si="47"/>
        <v>0</v>
      </c>
      <c r="M206" s="7">
        <f t="shared" si="51"/>
        <v>1.8034166666666667E-2</v>
      </c>
      <c r="N206" s="7">
        <f t="shared" ref="N206:N264" si="53">I206/Q205</f>
        <v>1.8208334205943619E-2</v>
      </c>
      <c r="O206" s="7">
        <f t="shared" si="46"/>
        <v>9.657642767540553E-3</v>
      </c>
      <c r="P206" s="6">
        <f t="shared" si="48"/>
        <v>7408530.1799999997</v>
      </c>
      <c r="Q206" s="6">
        <f t="shared" ref="Q206:Q262" si="54">Q205-H206</f>
        <v>264954540</v>
      </c>
      <c r="R206" s="4" t="str">
        <f t="shared" ca="1" si="52"/>
        <v>OK</v>
      </c>
      <c r="S206" s="6">
        <v>8000000</v>
      </c>
      <c r="T206" s="5">
        <v>45133</v>
      </c>
      <c r="U206" s="30" t="str">
        <f t="shared" si="44"/>
        <v>PAGADO</v>
      </c>
    </row>
    <row r="207" spans="1:21" x14ac:dyDescent="0.25">
      <c r="A207" s="4" t="str">
        <f t="shared" si="45"/>
        <v>20237</v>
      </c>
      <c r="B207" s="4" t="s">
        <v>32</v>
      </c>
      <c r="C207" s="4" t="s">
        <v>21</v>
      </c>
      <c r="D207" s="29" t="s">
        <v>33</v>
      </c>
      <c r="E207" s="28">
        <v>45134</v>
      </c>
      <c r="F207" s="4">
        <v>3</v>
      </c>
      <c r="G207" s="4">
        <v>57</v>
      </c>
      <c r="H207" s="6">
        <v>2584691</v>
      </c>
      <c r="I207" s="6">
        <v>4822614</v>
      </c>
      <c r="J207" s="6">
        <v>0</v>
      </c>
      <c r="K207" s="6">
        <v>24.17</v>
      </c>
      <c r="L207" s="6">
        <f t="shared" si="47"/>
        <v>0</v>
      </c>
      <c r="M207" s="7">
        <f t="shared" si="51"/>
        <v>1.8034166666666667E-2</v>
      </c>
      <c r="N207" s="7">
        <f t="shared" si="53"/>
        <v>1.8201665840487203E-2</v>
      </c>
      <c r="O207" s="7">
        <f t="shared" si="46"/>
        <v>9.287879884693151E-3</v>
      </c>
      <c r="P207" s="6">
        <f t="shared" si="48"/>
        <v>7407329.1699999999</v>
      </c>
      <c r="Q207" s="6">
        <f t="shared" si="54"/>
        <v>262369849</v>
      </c>
      <c r="R207" s="4" t="str">
        <f t="shared" ca="1" si="52"/>
        <v>OK</v>
      </c>
      <c r="S207" s="6">
        <v>8000000</v>
      </c>
      <c r="T207" s="5">
        <v>45166</v>
      </c>
      <c r="U207" s="30" t="str">
        <f t="shared" si="44"/>
        <v>PAGADO</v>
      </c>
    </row>
    <row r="208" spans="1:21" x14ac:dyDescent="0.25">
      <c r="A208" s="4" t="str">
        <f t="shared" si="45"/>
        <v>20238</v>
      </c>
      <c r="B208" s="4" t="s">
        <v>32</v>
      </c>
      <c r="C208" s="4" t="s">
        <v>21</v>
      </c>
      <c r="D208" s="29" t="s">
        <v>33</v>
      </c>
      <c r="E208" s="28">
        <v>45166</v>
      </c>
      <c r="F208" s="4">
        <v>4</v>
      </c>
      <c r="G208" s="4">
        <v>56</v>
      </c>
      <c r="H208" s="6">
        <v>2645672</v>
      </c>
      <c r="I208" s="6">
        <f t="shared" ref="I208:I263" si="55">7376771-H208</f>
        <v>4731099</v>
      </c>
      <c r="J208" s="6">
        <v>0</v>
      </c>
      <c r="K208" s="6">
        <v>0</v>
      </c>
      <c r="L208" s="6">
        <f t="shared" si="47"/>
        <v>0</v>
      </c>
      <c r="M208" s="7">
        <f t="shared" si="51"/>
        <v>1.8034166666666667E-2</v>
      </c>
      <c r="N208" s="7">
        <f t="shared" si="53"/>
        <v>1.8032174878448017E-2</v>
      </c>
      <c r="O208" s="7">
        <f t="shared" si="46"/>
        <v>-1.1044525957115692E-4</v>
      </c>
      <c r="P208" s="6">
        <f t="shared" si="48"/>
        <v>7376771</v>
      </c>
      <c r="Q208" s="6">
        <f t="shared" si="54"/>
        <v>259724177</v>
      </c>
      <c r="R208" s="4" t="str">
        <f t="shared" ca="1" si="52"/>
        <v>OK</v>
      </c>
      <c r="S208" s="6">
        <v>8000000</v>
      </c>
      <c r="T208" s="5">
        <v>45196</v>
      </c>
      <c r="U208" s="30" t="str">
        <f t="shared" si="44"/>
        <v>PAGADO</v>
      </c>
    </row>
    <row r="209" spans="1:21" x14ac:dyDescent="0.25">
      <c r="A209" s="4" t="str">
        <f t="shared" si="45"/>
        <v>20239</v>
      </c>
      <c r="B209" s="4" t="s">
        <v>32</v>
      </c>
      <c r="C209" s="4" t="s">
        <v>21</v>
      </c>
      <c r="D209" s="29" t="s">
        <v>33</v>
      </c>
      <c r="E209" s="28">
        <v>45198</v>
      </c>
      <c r="F209" s="4">
        <v>5</v>
      </c>
      <c r="G209" s="4">
        <v>55</v>
      </c>
      <c r="H209" s="6">
        <v>2693384</v>
      </c>
      <c r="I209" s="6">
        <f t="shared" si="55"/>
        <v>4683387</v>
      </c>
      <c r="J209" s="6">
        <v>0</v>
      </c>
      <c r="K209" s="6">
        <v>0</v>
      </c>
      <c r="L209" s="6">
        <f t="shared" si="47"/>
        <v>0</v>
      </c>
      <c r="M209" s="7">
        <f t="shared" si="51"/>
        <v>1.8034166666666667E-2</v>
      </c>
      <c r="N209" s="7">
        <f t="shared" si="53"/>
        <v>1.8032156474982304E-2</v>
      </c>
      <c r="O209" s="7">
        <f t="shared" si="46"/>
        <v>-1.1146573731513065E-4</v>
      </c>
      <c r="P209" s="6">
        <f t="shared" si="48"/>
        <v>7376771</v>
      </c>
      <c r="Q209" s="6">
        <f t="shared" si="54"/>
        <v>257030793</v>
      </c>
      <c r="R209" s="4" t="str">
        <f t="shared" ca="1" si="52"/>
        <v>OK</v>
      </c>
      <c r="S209" s="6">
        <v>7000000</v>
      </c>
      <c r="T209" s="5">
        <v>45229</v>
      </c>
      <c r="U209" s="30" t="str">
        <f t="shared" si="44"/>
        <v>PAGADO</v>
      </c>
    </row>
    <row r="210" spans="1:21" x14ac:dyDescent="0.25">
      <c r="A210" s="4" t="str">
        <f t="shared" si="45"/>
        <v>202310</v>
      </c>
      <c r="B210" s="4" t="s">
        <v>32</v>
      </c>
      <c r="C210" s="4" t="s">
        <v>21</v>
      </c>
      <c r="D210" s="29" t="s">
        <v>33</v>
      </c>
      <c r="E210" s="28">
        <v>45228</v>
      </c>
      <c r="F210" s="4">
        <v>6</v>
      </c>
      <c r="G210" s="4">
        <v>54</v>
      </c>
      <c r="H210" s="6">
        <f>2730313</f>
        <v>2730313</v>
      </c>
      <c r="I210" s="6">
        <v>4673111</v>
      </c>
      <c r="J210" s="6">
        <v>0</v>
      </c>
      <c r="K210" s="6">
        <v>0</v>
      </c>
      <c r="L210" s="6">
        <v>0</v>
      </c>
      <c r="M210" s="7">
        <f t="shared" si="51"/>
        <v>1.8034166666666667E-2</v>
      </c>
      <c r="N210" s="7">
        <f t="shared" si="53"/>
        <v>1.8181132873056186E-2</v>
      </c>
      <c r="O210" s="7">
        <f t="shared" si="46"/>
        <v>8.1493206260072615E-3</v>
      </c>
      <c r="P210" s="6">
        <f t="shared" si="48"/>
        <v>7403424</v>
      </c>
      <c r="Q210" s="6">
        <f t="shared" si="54"/>
        <v>254300480</v>
      </c>
      <c r="R210" s="4" t="str">
        <f t="shared" ca="1" si="52"/>
        <v>OK</v>
      </c>
      <c r="S210" s="6">
        <v>8100000</v>
      </c>
      <c r="T210" s="5">
        <v>45260</v>
      </c>
      <c r="U210" s="30" t="str">
        <f t="shared" si="44"/>
        <v>PAGADO</v>
      </c>
    </row>
    <row r="211" spans="1:21" x14ac:dyDescent="0.25">
      <c r="A211" s="4" t="str">
        <f t="shared" si="45"/>
        <v>202311</v>
      </c>
      <c r="B211" s="4" t="s">
        <v>32</v>
      </c>
      <c r="C211" s="4" t="s">
        <v>21</v>
      </c>
      <c r="D211" s="29" t="s">
        <v>33</v>
      </c>
      <c r="E211" s="28">
        <v>45257</v>
      </c>
      <c r="F211" s="4">
        <v>7</v>
      </c>
      <c r="G211" s="4">
        <v>53</v>
      </c>
      <c r="H211" s="6">
        <v>2791406</v>
      </c>
      <c r="I211" s="6">
        <f t="shared" si="55"/>
        <v>4585365</v>
      </c>
      <c r="J211" s="6">
        <v>0</v>
      </c>
      <c r="K211" s="6">
        <v>0</v>
      </c>
      <c r="L211" s="6">
        <f t="shared" si="47"/>
        <v>0</v>
      </c>
      <c r="M211" s="7">
        <f t="shared" si="51"/>
        <v>1.8034166666666667E-2</v>
      </c>
      <c r="N211" s="7">
        <f t="shared" si="53"/>
        <v>1.8031287239410637E-2</v>
      </c>
      <c r="O211" s="7">
        <f t="shared" si="46"/>
        <v>-1.5966511285225859E-4</v>
      </c>
      <c r="P211" s="6">
        <f t="shared" si="48"/>
        <v>7376771</v>
      </c>
      <c r="Q211" s="6">
        <f t="shared" si="54"/>
        <v>251509074</v>
      </c>
      <c r="R211" s="4" t="str">
        <f t="shared" ca="1" si="52"/>
        <v>OK</v>
      </c>
      <c r="S211" s="6">
        <v>7200000</v>
      </c>
      <c r="T211" s="5">
        <v>45655</v>
      </c>
      <c r="U211" s="30" t="str">
        <f t="shared" si="44"/>
        <v>PAGADO</v>
      </c>
    </row>
    <row r="212" spans="1:21" x14ac:dyDescent="0.25">
      <c r="A212" s="4" t="str">
        <f t="shared" si="45"/>
        <v>202312</v>
      </c>
      <c r="B212" s="4" t="s">
        <v>32</v>
      </c>
      <c r="C212" s="4" t="s">
        <v>21</v>
      </c>
      <c r="D212" s="29" t="s">
        <v>33</v>
      </c>
      <c r="E212" s="28">
        <v>45287</v>
      </c>
      <c r="F212" s="4">
        <v>8</v>
      </c>
      <c r="G212" s="4">
        <v>52</v>
      </c>
      <c r="H212" s="6">
        <v>2841747</v>
      </c>
      <c r="I212" s="6">
        <f t="shared" si="55"/>
        <v>4535024</v>
      </c>
      <c r="J212" s="6">
        <v>0</v>
      </c>
      <c r="K212" s="6">
        <v>0</v>
      </c>
      <c r="L212" s="6">
        <v>0</v>
      </c>
      <c r="M212" s="7">
        <f t="shared" si="51"/>
        <v>1.8034166666666667E-2</v>
      </c>
      <c r="N212" s="7">
        <f t="shared" si="53"/>
        <v>1.8031254013523186E-2</v>
      </c>
      <c r="O212" s="7">
        <f t="shared" si="46"/>
        <v>-1.6150749836774114E-4</v>
      </c>
      <c r="P212" s="6">
        <f t="shared" si="48"/>
        <v>7376771</v>
      </c>
      <c r="Q212" s="6">
        <f t="shared" si="54"/>
        <v>248667327</v>
      </c>
      <c r="R212" s="4" t="str">
        <f t="shared" ca="1" si="52"/>
        <v>OK</v>
      </c>
      <c r="S212" s="6">
        <v>8000000</v>
      </c>
      <c r="T212" s="5">
        <v>45317</v>
      </c>
      <c r="U212" s="30" t="str">
        <f t="shared" si="44"/>
        <v>PAGADO</v>
      </c>
    </row>
    <row r="213" spans="1:21" x14ac:dyDescent="0.25">
      <c r="A213" s="4" t="str">
        <f t="shared" si="45"/>
        <v>20241</v>
      </c>
      <c r="B213" s="4" t="s">
        <v>32</v>
      </c>
      <c r="C213" s="4" t="s">
        <v>21</v>
      </c>
      <c r="D213" s="29" t="s">
        <v>33</v>
      </c>
      <c r="E213" s="28">
        <v>45320</v>
      </c>
      <c r="F213" s="4">
        <v>9</v>
      </c>
      <c r="G213" s="4">
        <v>51</v>
      </c>
      <c r="H213" s="6">
        <v>2892995</v>
      </c>
      <c r="I213" s="6">
        <f t="shared" si="55"/>
        <v>4483776</v>
      </c>
      <c r="J213" s="6">
        <v>0</v>
      </c>
      <c r="K213" s="6">
        <v>0</v>
      </c>
      <c r="L213" s="6">
        <f t="shared" ref="L213:L276" si="56">IF(S212="",0,IF(S212&lt;=P212,P212-S212,0))</f>
        <v>0</v>
      </c>
      <c r="M213" s="7">
        <f t="shared" si="51"/>
        <v>1.8034166666666667E-2</v>
      </c>
      <c r="N213" s="7">
        <f t="shared" si="53"/>
        <v>1.8031222895640006E-2</v>
      </c>
      <c r="O213" s="7">
        <f t="shared" si="46"/>
        <v>-1.6323299440845762E-4</v>
      </c>
      <c r="P213" s="6">
        <f t="shared" si="48"/>
        <v>7376771</v>
      </c>
      <c r="Q213" s="6">
        <f t="shared" si="54"/>
        <v>245774332</v>
      </c>
      <c r="R213" s="4" t="str">
        <f t="shared" ca="1" si="52"/>
        <v>OK</v>
      </c>
      <c r="S213" s="6">
        <v>7572070</v>
      </c>
      <c r="T213" s="5">
        <v>45349</v>
      </c>
      <c r="U213" s="30" t="str">
        <f t="shared" si="44"/>
        <v>PAGADO</v>
      </c>
    </row>
    <row r="214" spans="1:21" x14ac:dyDescent="0.25">
      <c r="A214" s="4" t="str">
        <f t="shared" si="45"/>
        <v>20242</v>
      </c>
      <c r="B214" s="4" t="s">
        <v>32</v>
      </c>
      <c r="C214" s="4" t="s">
        <v>21</v>
      </c>
      <c r="D214" s="29" t="s">
        <v>33</v>
      </c>
      <c r="E214" s="28">
        <v>45351</v>
      </c>
      <c r="F214" s="4">
        <v>10</v>
      </c>
      <c r="G214" s="4">
        <v>50</v>
      </c>
      <c r="H214" s="6">
        <v>2945168</v>
      </c>
      <c r="I214" s="6">
        <f t="shared" si="55"/>
        <v>4431603</v>
      </c>
      <c r="J214" s="6">
        <v>0</v>
      </c>
      <c r="K214" s="6">
        <v>0</v>
      </c>
      <c r="L214" s="6">
        <f t="shared" si="56"/>
        <v>0</v>
      </c>
      <c r="M214" s="7">
        <f t="shared" si="51"/>
        <v>1.8034166666666667E-2</v>
      </c>
      <c r="N214" s="7">
        <f t="shared" si="53"/>
        <v>1.8031187243751721E-2</v>
      </c>
      <c r="O214" s="7">
        <f t="shared" si="46"/>
        <v>-1.6520990240453948E-4</v>
      </c>
      <c r="P214" s="6">
        <f t="shared" si="48"/>
        <v>7376771</v>
      </c>
      <c r="Q214" s="6">
        <f t="shared" si="54"/>
        <v>242829164</v>
      </c>
      <c r="R214" s="4" t="str">
        <f t="shared" ca="1" si="52"/>
        <v>OK</v>
      </c>
      <c r="S214" s="6">
        <v>7500000</v>
      </c>
      <c r="T214" s="5">
        <v>45386</v>
      </c>
      <c r="U214" s="30" t="str">
        <f t="shared" si="44"/>
        <v>PAGADO</v>
      </c>
    </row>
    <row r="215" spans="1:21" x14ac:dyDescent="0.25">
      <c r="A215" s="4" t="str">
        <f t="shared" si="45"/>
        <v>20243</v>
      </c>
      <c r="B215" s="4" t="s">
        <v>32</v>
      </c>
      <c r="C215" s="4" t="s">
        <v>21</v>
      </c>
      <c r="D215" s="29" t="s">
        <v>33</v>
      </c>
      <c r="E215" s="28">
        <v>45380</v>
      </c>
      <c r="F215" s="4">
        <v>11</v>
      </c>
      <c r="G215" s="4">
        <v>49</v>
      </c>
      <c r="H215" s="6">
        <v>2998282</v>
      </c>
      <c r="I215" s="6">
        <f t="shared" si="55"/>
        <v>4378489</v>
      </c>
      <c r="J215" s="6">
        <v>0</v>
      </c>
      <c r="K215" s="6">
        <v>0</v>
      </c>
      <c r="L215" s="6">
        <f t="shared" si="56"/>
        <v>0</v>
      </c>
      <c r="M215" s="7">
        <f t="shared" si="51"/>
        <v>1.8034166666666667E-2</v>
      </c>
      <c r="N215" s="7">
        <f t="shared" si="53"/>
        <v>1.8031149668661709E-2</v>
      </c>
      <c r="O215" s="7">
        <f t="shared" si="46"/>
        <v>-1.672934525183134E-4</v>
      </c>
      <c r="P215" s="6">
        <f t="shared" si="48"/>
        <v>7376771</v>
      </c>
      <c r="Q215" s="6">
        <f t="shared" si="54"/>
        <v>239830882</v>
      </c>
      <c r="R215" s="4" t="str">
        <f t="shared" ca="1" si="52"/>
        <v>OK</v>
      </c>
      <c r="S215" s="6">
        <v>7600000</v>
      </c>
      <c r="T215" s="5">
        <v>45408</v>
      </c>
      <c r="U215" s="30" t="str">
        <f t="shared" si="44"/>
        <v>PAGADO</v>
      </c>
    </row>
    <row r="216" spans="1:21" x14ac:dyDescent="0.25">
      <c r="A216" s="4" t="str">
        <f t="shared" si="45"/>
        <v>20244</v>
      </c>
      <c r="B216" s="4" t="s">
        <v>32</v>
      </c>
      <c r="C216" s="4" t="s">
        <v>21</v>
      </c>
      <c r="D216" s="29" t="s">
        <v>33</v>
      </c>
      <c r="E216" s="28">
        <v>45411</v>
      </c>
      <c r="F216" s="4">
        <v>12</v>
      </c>
      <c r="G216" s="4">
        <v>48</v>
      </c>
      <c r="H216" s="6">
        <v>3052353</v>
      </c>
      <c r="I216" s="6">
        <f t="shared" si="55"/>
        <v>4324418</v>
      </c>
      <c r="J216" s="6">
        <v>0</v>
      </c>
      <c r="K216" s="6">
        <v>0</v>
      </c>
      <c r="L216" s="6">
        <f t="shared" si="56"/>
        <v>0</v>
      </c>
      <c r="M216" s="7">
        <f t="shared" si="51"/>
        <v>1.8034166666666667E-2</v>
      </c>
      <c r="N216" s="7">
        <f t="shared" si="53"/>
        <v>1.8031114108148925E-2</v>
      </c>
      <c r="O216" s="7">
        <f t="shared" si="46"/>
        <v>-1.6926529371519283E-4</v>
      </c>
      <c r="P216" s="6">
        <f t="shared" si="48"/>
        <v>7376771</v>
      </c>
      <c r="Q216" s="6">
        <f t="shared" si="54"/>
        <v>236778529</v>
      </c>
      <c r="R216" s="4" t="str">
        <f t="shared" ca="1" si="52"/>
        <v>OK</v>
      </c>
      <c r="S216" s="6">
        <v>8000000</v>
      </c>
      <c r="T216" s="5">
        <v>45454</v>
      </c>
      <c r="U216" s="30" t="str">
        <f t="shared" si="44"/>
        <v>PAGADO</v>
      </c>
    </row>
    <row r="217" spans="1:21" x14ac:dyDescent="0.25">
      <c r="A217" s="4" t="str">
        <f t="shared" si="45"/>
        <v>20245</v>
      </c>
      <c r="B217" s="4" t="s">
        <v>32</v>
      </c>
      <c r="C217" s="4" t="s">
        <v>21</v>
      </c>
      <c r="D217" s="29" t="s">
        <v>33</v>
      </c>
      <c r="E217" s="28">
        <v>45441</v>
      </c>
      <c r="F217" s="4">
        <v>13</v>
      </c>
      <c r="G217" s="4">
        <v>47</v>
      </c>
      <c r="H217" s="6">
        <v>3107400</v>
      </c>
      <c r="I217" s="6">
        <f t="shared" si="55"/>
        <v>4269371</v>
      </c>
      <c r="J217" s="6">
        <v>0</v>
      </c>
      <c r="K217" s="6">
        <v>0</v>
      </c>
      <c r="L217" s="6">
        <f t="shared" si="56"/>
        <v>0</v>
      </c>
      <c r="M217" s="7">
        <f t="shared" si="51"/>
        <v>1.8034166666666667E-2</v>
      </c>
      <c r="N217" s="7">
        <f t="shared" si="53"/>
        <v>1.8031073248199799E-2</v>
      </c>
      <c r="O217" s="7">
        <f t="shared" si="46"/>
        <v>-1.7153099026112617E-4</v>
      </c>
      <c r="P217" s="6">
        <f t="shared" si="48"/>
        <v>7376771</v>
      </c>
      <c r="Q217" s="6">
        <f t="shared" si="54"/>
        <v>233671129</v>
      </c>
      <c r="R217" s="4" t="str">
        <f t="shared" ca="1" si="52"/>
        <v>OK</v>
      </c>
      <c r="S217" s="6">
        <v>6000000</v>
      </c>
      <c r="T217" s="5">
        <v>45461</v>
      </c>
      <c r="U217" s="30" t="str">
        <f t="shared" si="44"/>
        <v>PAGADO</v>
      </c>
    </row>
    <row r="218" spans="1:21" x14ac:dyDescent="0.25">
      <c r="A218" s="4" t="str">
        <f t="shared" si="45"/>
        <v>20246</v>
      </c>
      <c r="B218" s="4" t="s">
        <v>32</v>
      </c>
      <c r="C218" s="4" t="s">
        <v>21</v>
      </c>
      <c r="D218" s="29" t="s">
        <v>33</v>
      </c>
      <c r="E218" s="28">
        <v>45472</v>
      </c>
      <c r="F218" s="4">
        <v>14</v>
      </c>
      <c r="G218" s="4">
        <v>46</v>
      </c>
      <c r="H218" s="6">
        <v>3163439</v>
      </c>
      <c r="I218" s="6">
        <f t="shared" si="55"/>
        <v>4213332</v>
      </c>
      <c r="J218" s="6">
        <v>0</v>
      </c>
      <c r="K218" s="6">
        <v>0</v>
      </c>
      <c r="L218" s="6">
        <f t="shared" si="56"/>
        <v>1376771</v>
      </c>
      <c r="M218" s="7">
        <f t="shared" si="51"/>
        <v>1.8034166666666667E-2</v>
      </c>
      <c r="N218" s="7">
        <f t="shared" si="53"/>
        <v>1.8031033692656143E-2</v>
      </c>
      <c r="O218" s="7">
        <f t="shared" si="46"/>
        <v>-1.7372435712903478E-4</v>
      </c>
      <c r="P218" s="6">
        <f t="shared" si="48"/>
        <v>8753542</v>
      </c>
      <c r="Q218" s="6">
        <f t="shared" si="54"/>
        <v>230507690</v>
      </c>
      <c r="R218" s="4" t="str">
        <f t="shared" ca="1" si="52"/>
        <v>OK</v>
      </c>
      <c r="S218" s="6">
        <v>8000000</v>
      </c>
      <c r="T218" s="5">
        <v>45502</v>
      </c>
      <c r="U218" s="30" t="str">
        <f t="shared" si="44"/>
        <v>PAGADO</v>
      </c>
    </row>
    <row r="219" spans="1:21" x14ac:dyDescent="0.25">
      <c r="A219" s="4" t="str">
        <f t="shared" si="45"/>
        <v>20247</v>
      </c>
      <c r="B219" s="4" t="s">
        <v>32</v>
      </c>
      <c r="C219" s="4" t="s">
        <v>21</v>
      </c>
      <c r="D219" s="29" t="s">
        <v>33</v>
      </c>
      <c r="E219" s="28">
        <v>45502</v>
      </c>
      <c r="F219" s="4">
        <v>15</v>
      </c>
      <c r="G219" s="4">
        <v>45</v>
      </c>
      <c r="H219" s="6">
        <v>3220489</v>
      </c>
      <c r="I219" s="6">
        <f t="shared" si="55"/>
        <v>4156282</v>
      </c>
      <c r="J219" s="6">
        <v>0</v>
      </c>
      <c r="K219" s="6">
        <v>0</v>
      </c>
      <c r="L219" s="6">
        <f t="shared" si="56"/>
        <v>753542</v>
      </c>
      <c r="M219" s="7">
        <f t="shared" si="51"/>
        <v>1.8034166666666667E-2</v>
      </c>
      <c r="N219" s="7">
        <f t="shared" si="53"/>
        <v>1.8030990636364454E-2</v>
      </c>
      <c r="O219" s="7">
        <f t="shared" si="46"/>
        <v>-1.7611184153487613E-4</v>
      </c>
      <c r="P219" s="6">
        <f t="shared" si="48"/>
        <v>8130313</v>
      </c>
      <c r="Q219" s="6">
        <f t="shared" si="54"/>
        <v>227287201</v>
      </c>
      <c r="R219" s="4" t="str">
        <f t="shared" ca="1" si="52"/>
        <v>OK</v>
      </c>
      <c r="S219" s="6">
        <v>7500000</v>
      </c>
      <c r="T219" s="5">
        <v>45532</v>
      </c>
      <c r="U219" s="30" t="str">
        <f t="shared" si="44"/>
        <v>PAGADO</v>
      </c>
    </row>
    <row r="220" spans="1:21" x14ac:dyDescent="0.25">
      <c r="A220" s="4" t="str">
        <f t="shared" si="45"/>
        <v>20248</v>
      </c>
      <c r="B220" s="4" t="s">
        <v>32</v>
      </c>
      <c r="C220" s="4" t="s">
        <v>21</v>
      </c>
      <c r="D220" s="29" t="s">
        <v>33</v>
      </c>
      <c r="E220" s="28">
        <v>45533</v>
      </c>
      <c r="F220" s="4">
        <v>16</v>
      </c>
      <c r="G220" s="4">
        <v>44</v>
      </c>
      <c r="H220" s="6">
        <v>3278569</v>
      </c>
      <c r="I220" s="6">
        <f t="shared" si="55"/>
        <v>4098202</v>
      </c>
      <c r="J220" s="6">
        <v>0</v>
      </c>
      <c r="K220" s="6">
        <v>0</v>
      </c>
      <c r="L220" s="6">
        <f t="shared" si="56"/>
        <v>630313</v>
      </c>
      <c r="M220" s="7">
        <f t="shared" si="51"/>
        <v>1.8034166666666667E-2</v>
      </c>
      <c r="N220" s="7">
        <f t="shared" si="53"/>
        <v>1.803094051037216E-2</v>
      </c>
      <c r="O220" s="7">
        <f t="shared" si="46"/>
        <v>-1.788913429789929E-4</v>
      </c>
      <c r="P220" s="6">
        <f t="shared" si="48"/>
        <v>8007084</v>
      </c>
      <c r="Q220" s="6">
        <f t="shared" si="54"/>
        <v>224008632</v>
      </c>
      <c r="R220" s="4">
        <f t="shared" ca="1" si="52"/>
        <v>5</v>
      </c>
      <c r="S220" s="6"/>
      <c r="T220" s="5"/>
      <c r="U220" s="30" t="str">
        <f t="shared" si="44"/>
        <v>PENDIENTE</v>
      </c>
    </row>
    <row r="221" spans="1:21" x14ac:dyDescent="0.25">
      <c r="A221" s="4" t="str">
        <f t="shared" si="45"/>
        <v>20249</v>
      </c>
      <c r="B221" s="4" t="s">
        <v>32</v>
      </c>
      <c r="C221" s="4" t="s">
        <v>21</v>
      </c>
      <c r="D221" s="29" t="s">
        <v>33</v>
      </c>
      <c r="E221" s="28">
        <v>45564</v>
      </c>
      <c r="F221" s="4">
        <v>17</v>
      </c>
      <c r="G221" s="4">
        <v>43</v>
      </c>
      <c r="H221" s="6">
        <v>3337694</v>
      </c>
      <c r="I221" s="6">
        <f t="shared" si="55"/>
        <v>4039077</v>
      </c>
      <c r="J221" s="6">
        <v>0</v>
      </c>
      <c r="K221" s="6">
        <v>0</v>
      </c>
      <c r="L221" s="6">
        <f t="shared" si="56"/>
        <v>0</v>
      </c>
      <c r="M221" s="7">
        <f t="shared" si="51"/>
        <v>1.8034166666666667E-2</v>
      </c>
      <c r="N221" s="7">
        <f t="shared" si="53"/>
        <v>1.8030898916431042E-2</v>
      </c>
      <c r="O221" s="7">
        <f t="shared" si="46"/>
        <v>-1.8119773960301178E-4</v>
      </c>
      <c r="P221" s="6">
        <f t="shared" si="48"/>
        <v>7376771</v>
      </c>
      <c r="Q221" s="6">
        <f t="shared" si="54"/>
        <v>220670938</v>
      </c>
      <c r="R221" s="4">
        <f t="shared" ca="1" si="52"/>
        <v>5</v>
      </c>
      <c r="S221" s="6"/>
      <c r="T221" s="5"/>
      <c r="U221" s="30" t="str">
        <f t="shared" si="44"/>
        <v>PENDIENTE</v>
      </c>
    </row>
    <row r="222" spans="1:21" x14ac:dyDescent="0.25">
      <c r="A222" s="4" t="str">
        <f t="shared" si="45"/>
        <v>202410</v>
      </c>
      <c r="B222" s="4" t="s">
        <v>32</v>
      </c>
      <c r="C222" s="4" t="s">
        <v>21</v>
      </c>
      <c r="D222" s="29" t="s">
        <v>33</v>
      </c>
      <c r="E222" s="28">
        <v>45594</v>
      </c>
      <c r="F222" s="4">
        <v>18</v>
      </c>
      <c r="G222" s="4">
        <v>42</v>
      </c>
      <c r="H222" s="6">
        <v>3397887</v>
      </c>
      <c r="I222" s="6">
        <f t="shared" si="55"/>
        <v>3978884</v>
      </c>
      <c r="J222" s="6">
        <v>0</v>
      </c>
      <c r="K222" s="6">
        <v>0</v>
      </c>
      <c r="L222" s="6">
        <f t="shared" si="56"/>
        <v>0</v>
      </c>
      <c r="M222" s="7">
        <f t="shared" si="51"/>
        <v>1.8034166666666667E-2</v>
      </c>
      <c r="N222" s="7">
        <f t="shared" si="53"/>
        <v>1.803084736060713E-2</v>
      </c>
      <c r="O222" s="7">
        <f t="shared" si="46"/>
        <v>-1.8405652564323915E-4</v>
      </c>
      <c r="P222" s="6">
        <f t="shared" si="48"/>
        <v>7376771</v>
      </c>
      <c r="Q222" s="6">
        <f t="shared" si="54"/>
        <v>217273051</v>
      </c>
      <c r="R222" s="4">
        <f t="shared" ca="1" si="52"/>
        <v>-26</v>
      </c>
      <c r="S222" s="6"/>
      <c r="T222" s="5"/>
      <c r="U222" s="30" t="str">
        <f t="shared" si="44"/>
        <v>PENDIENTE</v>
      </c>
    </row>
    <row r="223" spans="1:21" x14ac:dyDescent="0.25">
      <c r="A223" s="4" t="str">
        <f t="shared" si="45"/>
        <v>202411</v>
      </c>
      <c r="B223" s="4" t="s">
        <v>32</v>
      </c>
      <c r="C223" s="4" t="s">
        <v>21</v>
      </c>
      <c r="D223" s="29" t="s">
        <v>33</v>
      </c>
      <c r="E223" s="28">
        <v>45625</v>
      </c>
      <c r="F223" s="4">
        <v>19</v>
      </c>
      <c r="G223" s="4">
        <v>41</v>
      </c>
      <c r="H223" s="6">
        <v>3459165</v>
      </c>
      <c r="I223" s="6">
        <f t="shared" si="55"/>
        <v>3917606</v>
      </c>
      <c r="J223" s="6">
        <v>0</v>
      </c>
      <c r="K223" s="6">
        <v>0</v>
      </c>
      <c r="L223" s="6">
        <f t="shared" si="56"/>
        <v>0</v>
      </c>
      <c r="M223" s="7">
        <f t="shared" si="51"/>
        <v>1.8034166666666667E-2</v>
      </c>
      <c r="N223" s="7">
        <f t="shared" si="53"/>
        <v>1.8030795729011048E-2</v>
      </c>
      <c r="O223" s="7">
        <f t="shared" si="46"/>
        <v>-1.869195132730983E-4</v>
      </c>
      <c r="P223" s="6">
        <f t="shared" si="48"/>
        <v>7376771</v>
      </c>
      <c r="Q223" s="6">
        <f t="shared" si="54"/>
        <v>213813886</v>
      </c>
      <c r="R223" s="4">
        <f t="shared" ca="1" si="52"/>
        <v>-56</v>
      </c>
      <c r="S223" s="6"/>
      <c r="T223" s="5"/>
      <c r="U223" s="30" t="str">
        <f t="shared" si="44"/>
        <v>PENDIENTE</v>
      </c>
    </row>
    <row r="224" spans="1:21" x14ac:dyDescent="0.25">
      <c r="A224" s="4" t="str">
        <f t="shared" si="45"/>
        <v>202412</v>
      </c>
      <c r="B224" s="4" t="s">
        <v>32</v>
      </c>
      <c r="C224" s="4" t="s">
        <v>21</v>
      </c>
      <c r="D224" s="29" t="s">
        <v>33</v>
      </c>
      <c r="E224" s="28">
        <v>45655</v>
      </c>
      <c r="F224" s="4">
        <v>20</v>
      </c>
      <c r="G224" s="4">
        <v>40</v>
      </c>
      <c r="H224" s="6">
        <v>3521548</v>
      </c>
      <c r="I224" s="6">
        <f t="shared" si="55"/>
        <v>3855223</v>
      </c>
      <c r="J224" s="6">
        <v>0</v>
      </c>
      <c r="K224" s="6">
        <v>0</v>
      </c>
      <c r="L224" s="6">
        <f t="shared" si="56"/>
        <v>0</v>
      </c>
      <c r="M224" s="7">
        <f t="shared" si="51"/>
        <v>1.8034166666666667E-2</v>
      </c>
      <c r="N224" s="7">
        <f t="shared" si="53"/>
        <v>1.8030741932261594E-2</v>
      </c>
      <c r="O224" s="7">
        <f t="shared" si="46"/>
        <v>-1.8990255931283784E-4</v>
      </c>
      <c r="P224" s="6">
        <f t="shared" si="48"/>
        <v>7376771</v>
      </c>
      <c r="Q224" s="6">
        <f t="shared" si="54"/>
        <v>210292338</v>
      </c>
      <c r="R224" s="4">
        <f t="shared" ca="1" si="52"/>
        <v>-87</v>
      </c>
      <c r="S224" s="6"/>
      <c r="T224" s="5"/>
      <c r="U224" s="30" t="str">
        <f t="shared" si="44"/>
        <v>PENDIENTE</v>
      </c>
    </row>
    <row r="225" spans="1:21" x14ac:dyDescent="0.25">
      <c r="A225" s="4" t="str">
        <f t="shared" si="45"/>
        <v>20251</v>
      </c>
      <c r="B225" s="4" t="s">
        <v>32</v>
      </c>
      <c r="C225" s="4" t="s">
        <v>21</v>
      </c>
      <c r="D225" s="29" t="s">
        <v>33</v>
      </c>
      <c r="E225" s="28">
        <v>45686</v>
      </c>
      <c r="F225" s="4">
        <v>21</v>
      </c>
      <c r="G225" s="4">
        <v>39</v>
      </c>
      <c r="H225" s="6">
        <v>3585056</v>
      </c>
      <c r="I225" s="6">
        <f t="shared" si="55"/>
        <v>3791715</v>
      </c>
      <c r="J225" s="6">
        <v>0</v>
      </c>
      <c r="K225" s="6">
        <v>0</v>
      </c>
      <c r="L225" s="6">
        <f t="shared" si="56"/>
        <v>0</v>
      </c>
      <c r="M225" s="7">
        <f t="shared" si="51"/>
        <v>1.8034166666666667E-2</v>
      </c>
      <c r="N225" s="7">
        <f t="shared" si="53"/>
        <v>1.8030685454645524E-2</v>
      </c>
      <c r="O225" s="7">
        <f t="shared" si="46"/>
        <v>-1.9303426021777259E-4</v>
      </c>
      <c r="P225" s="6">
        <f t="shared" si="48"/>
        <v>7376771</v>
      </c>
      <c r="Q225" s="6">
        <f t="shared" si="54"/>
        <v>206707282</v>
      </c>
      <c r="R225" s="4">
        <f t="shared" ca="1" si="52"/>
        <v>-117</v>
      </c>
      <c r="S225" s="6"/>
      <c r="T225" s="5"/>
      <c r="U225" s="30" t="str">
        <f t="shared" si="44"/>
        <v>PENDIENTE</v>
      </c>
    </row>
    <row r="226" spans="1:21" x14ac:dyDescent="0.25">
      <c r="A226" s="4" t="str">
        <f t="shared" si="45"/>
        <v>20252</v>
      </c>
      <c r="B226" s="4" t="s">
        <v>32</v>
      </c>
      <c r="C226" s="4" t="s">
        <v>21</v>
      </c>
      <c r="D226" s="29" t="s">
        <v>33</v>
      </c>
      <c r="E226" s="28">
        <v>45716</v>
      </c>
      <c r="F226" s="4">
        <v>22</v>
      </c>
      <c r="G226" s="4">
        <v>38</v>
      </c>
      <c r="H226" s="6">
        <v>3649710</v>
      </c>
      <c r="I226" s="6">
        <f t="shared" si="55"/>
        <v>3727061</v>
      </c>
      <c r="J226" s="6">
        <v>0</v>
      </c>
      <c r="K226" s="6">
        <v>0</v>
      </c>
      <c r="L226" s="6">
        <f t="shared" si="56"/>
        <v>0</v>
      </c>
      <c r="M226" s="7">
        <f t="shared" si="51"/>
        <v>1.8034166666666667E-2</v>
      </c>
      <c r="N226" s="7">
        <f t="shared" si="53"/>
        <v>1.8030622646375855E-2</v>
      </c>
      <c r="O226" s="7">
        <f t="shared" si="46"/>
        <v>-1.9651699778078235E-4</v>
      </c>
      <c r="P226" s="6">
        <f t="shared" si="48"/>
        <v>7376771</v>
      </c>
      <c r="Q226" s="6">
        <f t="shared" si="54"/>
        <v>203057572</v>
      </c>
      <c r="R226" s="4">
        <f t="shared" ca="1" si="52"/>
        <v>-148</v>
      </c>
      <c r="S226" s="6"/>
      <c r="T226" s="5"/>
      <c r="U226" s="30" t="str">
        <f t="shared" si="44"/>
        <v>PENDIENTE</v>
      </c>
    </row>
    <row r="227" spans="1:21" x14ac:dyDescent="0.25">
      <c r="A227" s="4" t="str">
        <f t="shared" si="45"/>
        <v>20253</v>
      </c>
      <c r="B227" s="4" t="s">
        <v>32</v>
      </c>
      <c r="C227" s="4" t="s">
        <v>21</v>
      </c>
      <c r="D227" s="29" t="s">
        <v>33</v>
      </c>
      <c r="E227" s="28">
        <v>45745</v>
      </c>
      <c r="F227" s="4">
        <v>23</v>
      </c>
      <c r="G227" s="4">
        <v>37</v>
      </c>
      <c r="H227" s="6">
        <v>3715529</v>
      </c>
      <c r="I227" s="6">
        <f t="shared" si="55"/>
        <v>3661242</v>
      </c>
      <c r="J227" s="6">
        <v>0</v>
      </c>
      <c r="K227" s="6">
        <v>0</v>
      </c>
      <c r="L227" s="6">
        <f t="shared" si="56"/>
        <v>0</v>
      </c>
      <c r="M227" s="7">
        <f t="shared" si="51"/>
        <v>1.8034166666666667E-2</v>
      </c>
      <c r="N227" s="7">
        <f t="shared" si="53"/>
        <v>1.803056130307714E-2</v>
      </c>
      <c r="O227" s="7">
        <f t="shared" si="46"/>
        <v>-1.9991850226108721E-4</v>
      </c>
      <c r="P227" s="6">
        <f t="shared" si="48"/>
        <v>7376771</v>
      </c>
      <c r="Q227" s="6">
        <f t="shared" si="54"/>
        <v>199342043</v>
      </c>
      <c r="R227" s="4">
        <f t="shared" ca="1" si="52"/>
        <v>-178</v>
      </c>
      <c r="S227" s="6"/>
      <c r="T227" s="5"/>
      <c r="U227" s="30" t="str">
        <f t="shared" si="44"/>
        <v>PENDIENTE</v>
      </c>
    </row>
    <row r="228" spans="1:21" x14ac:dyDescent="0.25">
      <c r="A228" s="4" t="str">
        <f t="shared" si="45"/>
        <v>20254</v>
      </c>
      <c r="B228" s="4" t="s">
        <v>32</v>
      </c>
      <c r="C228" s="4" t="s">
        <v>21</v>
      </c>
      <c r="D228" s="29" t="s">
        <v>33</v>
      </c>
      <c r="E228" s="28">
        <v>45776</v>
      </c>
      <c r="F228" s="4">
        <v>24</v>
      </c>
      <c r="G228" s="4">
        <v>36</v>
      </c>
      <c r="H228" s="6">
        <v>3782536</v>
      </c>
      <c r="I228" s="6">
        <f t="shared" si="55"/>
        <v>3594235</v>
      </c>
      <c r="J228" s="6">
        <v>0</v>
      </c>
      <c r="K228" s="6">
        <v>0</v>
      </c>
      <c r="L228" s="6">
        <f t="shared" si="56"/>
        <v>0</v>
      </c>
      <c r="M228" s="7">
        <f t="shared" si="51"/>
        <v>1.8034166666666667E-2</v>
      </c>
      <c r="N228" s="7">
        <f t="shared" si="53"/>
        <v>1.8030491440282872E-2</v>
      </c>
      <c r="O228" s="7">
        <f t="shared" si="46"/>
        <v>-2.0379241534840276E-4</v>
      </c>
      <c r="P228" s="6">
        <f t="shared" si="48"/>
        <v>7376771</v>
      </c>
      <c r="Q228" s="6">
        <f t="shared" si="54"/>
        <v>195559507</v>
      </c>
      <c r="R228" s="4">
        <f t="shared" ca="1" si="52"/>
        <v>-207</v>
      </c>
      <c r="S228" s="6"/>
      <c r="T228" s="5"/>
      <c r="U228" s="30" t="str">
        <f t="shared" si="44"/>
        <v>PENDIENTE</v>
      </c>
    </row>
    <row r="229" spans="1:21" x14ac:dyDescent="0.25">
      <c r="A229" s="4" t="str">
        <f t="shared" si="45"/>
        <v>20255</v>
      </c>
      <c r="B229" s="4" t="s">
        <v>32</v>
      </c>
      <c r="C229" s="4" t="s">
        <v>21</v>
      </c>
      <c r="D229" s="29" t="s">
        <v>33</v>
      </c>
      <c r="E229" s="28">
        <v>45806</v>
      </c>
      <c r="F229" s="4">
        <v>25</v>
      </c>
      <c r="G229" s="4">
        <v>35</v>
      </c>
      <c r="H229" s="6">
        <v>3850751</v>
      </c>
      <c r="I229" s="6">
        <f t="shared" si="55"/>
        <v>3526020</v>
      </c>
      <c r="J229" s="6">
        <v>0</v>
      </c>
      <c r="K229" s="6">
        <v>0</v>
      </c>
      <c r="L229" s="6">
        <f t="shared" si="56"/>
        <v>0</v>
      </c>
      <c r="M229" s="7">
        <f t="shared" si="51"/>
        <v>1.8034166666666667E-2</v>
      </c>
      <c r="N229" s="7">
        <f t="shared" si="53"/>
        <v>1.8030419763739741E-2</v>
      </c>
      <c r="O229" s="7">
        <f t="shared" si="46"/>
        <v>-2.0776690135904108E-4</v>
      </c>
      <c r="P229" s="6">
        <f t="shared" si="48"/>
        <v>7376771</v>
      </c>
      <c r="Q229" s="6">
        <f t="shared" si="54"/>
        <v>191708756</v>
      </c>
      <c r="R229" s="4">
        <f t="shared" ca="1" si="52"/>
        <v>-238</v>
      </c>
      <c r="S229" s="6"/>
      <c r="T229" s="5"/>
      <c r="U229" s="30" t="str">
        <f t="shared" si="44"/>
        <v>PENDIENTE</v>
      </c>
    </row>
    <row r="230" spans="1:21" x14ac:dyDescent="0.25">
      <c r="A230" s="4" t="str">
        <f t="shared" si="45"/>
        <v>20256</v>
      </c>
      <c r="B230" s="4" t="s">
        <v>32</v>
      </c>
      <c r="C230" s="4" t="s">
        <v>21</v>
      </c>
      <c r="D230" s="29" t="s">
        <v>33</v>
      </c>
      <c r="E230" s="28">
        <v>45837</v>
      </c>
      <c r="F230" s="4">
        <v>26</v>
      </c>
      <c r="G230" s="4">
        <v>34</v>
      </c>
      <c r="H230" s="6">
        <v>3920196</v>
      </c>
      <c r="I230" s="6">
        <f t="shared" si="55"/>
        <v>3456575</v>
      </c>
      <c r="J230" s="6">
        <v>0</v>
      </c>
      <c r="K230" s="6">
        <v>0</v>
      </c>
      <c r="L230" s="6">
        <f t="shared" si="56"/>
        <v>0</v>
      </c>
      <c r="M230" s="7">
        <f t="shared" si="51"/>
        <v>1.8034166666666667E-2</v>
      </c>
      <c r="N230" s="7">
        <f t="shared" si="53"/>
        <v>1.8030344946790015E-2</v>
      </c>
      <c r="O230" s="7">
        <f t="shared" si="46"/>
        <v>-2.1191552386590207E-4</v>
      </c>
      <c r="P230" s="6">
        <f t="shared" si="48"/>
        <v>7376771</v>
      </c>
      <c r="Q230" s="6">
        <f t="shared" si="54"/>
        <v>187788560</v>
      </c>
      <c r="R230" s="4">
        <f t="shared" ca="1" si="52"/>
        <v>-268</v>
      </c>
      <c r="S230" s="6"/>
      <c r="T230" s="5"/>
      <c r="U230" s="30" t="str">
        <f t="shared" si="44"/>
        <v>PENDIENTE</v>
      </c>
    </row>
    <row r="231" spans="1:21" x14ac:dyDescent="0.25">
      <c r="A231" s="4" t="str">
        <f t="shared" si="45"/>
        <v>20257</v>
      </c>
      <c r="B231" s="4" t="s">
        <v>32</v>
      </c>
      <c r="C231" s="4" t="s">
        <v>21</v>
      </c>
      <c r="D231" s="29" t="s">
        <v>33</v>
      </c>
      <c r="E231" s="28">
        <v>45867</v>
      </c>
      <c r="F231" s="4">
        <v>27</v>
      </c>
      <c r="G231" s="4">
        <v>33</v>
      </c>
      <c r="H231" s="6">
        <v>3990893</v>
      </c>
      <c r="I231" s="6">
        <f t="shared" si="55"/>
        <v>3385878</v>
      </c>
      <c r="J231" s="6">
        <v>0</v>
      </c>
      <c r="K231" s="6">
        <v>0</v>
      </c>
      <c r="L231" s="6">
        <f t="shared" si="56"/>
        <v>0</v>
      </c>
      <c r="M231" s="7">
        <f t="shared" si="51"/>
        <v>1.8034166666666667E-2</v>
      </c>
      <c r="N231" s="7">
        <f t="shared" si="53"/>
        <v>1.8030267658477171E-2</v>
      </c>
      <c r="O231" s="7">
        <f t="shared" si="46"/>
        <v>-2.1620118420562218E-4</v>
      </c>
      <c r="P231" s="6">
        <f t="shared" si="48"/>
        <v>7376771</v>
      </c>
      <c r="Q231" s="6">
        <f t="shared" si="54"/>
        <v>183797667</v>
      </c>
      <c r="R231" s="4">
        <f t="shared" ca="1" si="52"/>
        <v>-299</v>
      </c>
      <c r="S231" s="6"/>
      <c r="T231" s="5"/>
      <c r="U231" s="30" t="str">
        <f t="shared" si="44"/>
        <v>PENDIENTE</v>
      </c>
    </row>
    <row r="232" spans="1:21" x14ac:dyDescent="0.25">
      <c r="A232" s="4" t="str">
        <f t="shared" si="45"/>
        <v>20258</v>
      </c>
      <c r="B232" s="4" t="s">
        <v>32</v>
      </c>
      <c r="C232" s="4" t="s">
        <v>21</v>
      </c>
      <c r="D232" s="29" t="s">
        <v>33</v>
      </c>
      <c r="E232" s="28">
        <v>45898</v>
      </c>
      <c r="F232" s="4">
        <v>28</v>
      </c>
      <c r="G232" s="4">
        <v>32</v>
      </c>
      <c r="H232" s="6">
        <v>4062866</v>
      </c>
      <c r="I232" s="6">
        <f t="shared" si="55"/>
        <v>3313905</v>
      </c>
      <c r="J232" s="6">
        <v>0</v>
      </c>
      <c r="K232" s="6">
        <v>0</v>
      </c>
      <c r="L232" s="6">
        <f t="shared" si="56"/>
        <v>0</v>
      </c>
      <c r="M232" s="7">
        <f t="shared" si="51"/>
        <v>1.8034166666666667E-2</v>
      </c>
      <c r="N232" s="7">
        <f t="shared" si="53"/>
        <v>1.8030179893415078E-2</v>
      </c>
      <c r="O232" s="7">
        <f t="shared" si="46"/>
        <v>-2.2106778346220324E-4</v>
      </c>
      <c r="P232" s="6">
        <f t="shared" si="48"/>
        <v>7376771</v>
      </c>
      <c r="Q232" s="6">
        <f t="shared" si="54"/>
        <v>179734801</v>
      </c>
      <c r="R232" s="4">
        <f t="shared" ca="1" si="52"/>
        <v>-329</v>
      </c>
      <c r="S232" s="6"/>
      <c r="T232" s="5"/>
      <c r="U232" s="30" t="str">
        <f t="shared" si="44"/>
        <v>PENDIENTE</v>
      </c>
    </row>
    <row r="233" spans="1:21" x14ac:dyDescent="0.25">
      <c r="A233" s="4" t="str">
        <f t="shared" si="45"/>
        <v>20259</v>
      </c>
      <c r="B233" s="4" t="s">
        <v>32</v>
      </c>
      <c r="C233" s="4" t="s">
        <v>21</v>
      </c>
      <c r="D233" s="29" t="s">
        <v>33</v>
      </c>
      <c r="E233" s="28">
        <v>45929</v>
      </c>
      <c r="F233" s="4">
        <v>29</v>
      </c>
      <c r="G233" s="4">
        <v>31</v>
      </c>
      <c r="H233" s="6">
        <v>4136136</v>
      </c>
      <c r="I233" s="6">
        <f t="shared" si="55"/>
        <v>3240635</v>
      </c>
      <c r="J233" s="6">
        <v>0</v>
      </c>
      <c r="K233" s="6">
        <v>0</v>
      </c>
      <c r="L233" s="6">
        <f t="shared" si="56"/>
        <v>0</v>
      </c>
      <c r="M233" s="7">
        <f t="shared" si="51"/>
        <v>1.8034166666666667E-2</v>
      </c>
      <c r="N233" s="7">
        <f t="shared" si="53"/>
        <v>1.803009201317668E-2</v>
      </c>
      <c r="O233" s="7">
        <f t="shared" si="46"/>
        <v>-2.2594076927984208E-4</v>
      </c>
      <c r="P233" s="6">
        <f t="shared" si="48"/>
        <v>7376771</v>
      </c>
      <c r="Q233" s="6">
        <f t="shared" si="54"/>
        <v>175598665</v>
      </c>
      <c r="R233" s="4">
        <f t="shared" ca="1" si="52"/>
        <v>-360</v>
      </c>
      <c r="S233" s="6"/>
      <c r="T233" s="5"/>
      <c r="U233" s="30" t="str">
        <f t="shared" si="44"/>
        <v>PENDIENTE</v>
      </c>
    </row>
    <row r="234" spans="1:21" x14ac:dyDescent="0.25">
      <c r="A234" s="4" t="str">
        <f t="shared" si="45"/>
        <v>202510</v>
      </c>
      <c r="B234" s="4" t="s">
        <v>32</v>
      </c>
      <c r="C234" s="4" t="s">
        <v>21</v>
      </c>
      <c r="D234" s="29" t="s">
        <v>33</v>
      </c>
      <c r="E234" s="28">
        <v>45959</v>
      </c>
      <c r="F234" s="4">
        <v>30</v>
      </c>
      <c r="G234" s="4">
        <v>30</v>
      </c>
      <c r="H234" s="6">
        <v>4210728</v>
      </c>
      <c r="I234" s="6">
        <f t="shared" si="55"/>
        <v>3166043</v>
      </c>
      <c r="J234" s="6">
        <v>0</v>
      </c>
      <c r="K234" s="6">
        <v>0</v>
      </c>
      <c r="L234" s="6">
        <f t="shared" si="56"/>
        <v>0</v>
      </c>
      <c r="M234" s="7">
        <f t="shared" si="51"/>
        <v>1.8034166666666667E-2</v>
      </c>
      <c r="N234" s="7">
        <f t="shared" si="53"/>
        <v>1.8029994704116915E-2</v>
      </c>
      <c r="O234" s="7">
        <f t="shared" si="46"/>
        <v>-2.3133658609597596E-4</v>
      </c>
      <c r="P234" s="6">
        <f t="shared" si="48"/>
        <v>7376771</v>
      </c>
      <c r="Q234" s="6">
        <f t="shared" si="54"/>
        <v>171387937</v>
      </c>
      <c r="R234" s="4">
        <f t="shared" ca="1" si="52"/>
        <v>-391</v>
      </c>
      <c r="S234" s="6"/>
      <c r="T234" s="5"/>
      <c r="U234" s="30" t="str">
        <f t="shared" si="44"/>
        <v>PENDIENTE</v>
      </c>
    </row>
    <row r="235" spans="1:21" x14ac:dyDescent="0.25">
      <c r="A235" s="4" t="str">
        <f t="shared" si="45"/>
        <v>202511</v>
      </c>
      <c r="B235" s="4" t="s">
        <v>32</v>
      </c>
      <c r="C235" s="4" t="s">
        <v>21</v>
      </c>
      <c r="D235" s="29" t="s">
        <v>33</v>
      </c>
      <c r="E235" s="28">
        <v>45990</v>
      </c>
      <c r="F235" s="4">
        <v>31</v>
      </c>
      <c r="G235" s="4">
        <v>29</v>
      </c>
      <c r="H235" s="6">
        <v>3286665</v>
      </c>
      <c r="I235" s="6">
        <f t="shared" si="55"/>
        <v>4090106</v>
      </c>
      <c r="J235" s="6">
        <v>0</v>
      </c>
      <c r="K235" s="6">
        <v>0</v>
      </c>
      <c r="L235" s="6">
        <f t="shared" si="56"/>
        <v>0</v>
      </c>
      <c r="M235" s="7">
        <f t="shared" si="51"/>
        <v>1.8034166666666667E-2</v>
      </c>
      <c r="N235" s="7">
        <f t="shared" si="53"/>
        <v>2.386460839423022E-2</v>
      </c>
      <c r="O235" s="7">
        <f t="shared" si="46"/>
        <v>0.32329975847124737</v>
      </c>
      <c r="P235" s="6">
        <f t="shared" si="48"/>
        <v>7376771</v>
      </c>
      <c r="Q235" s="6">
        <f t="shared" si="54"/>
        <v>168101272</v>
      </c>
      <c r="R235" s="4">
        <f t="shared" ca="1" si="52"/>
        <v>-421</v>
      </c>
      <c r="S235" s="6"/>
      <c r="T235" s="5"/>
      <c r="U235" s="30" t="str">
        <f t="shared" si="44"/>
        <v>PENDIENTE</v>
      </c>
    </row>
    <row r="236" spans="1:21" x14ac:dyDescent="0.25">
      <c r="A236" s="4" t="str">
        <f t="shared" si="45"/>
        <v>202512</v>
      </c>
      <c r="B236" s="4" t="s">
        <v>32</v>
      </c>
      <c r="C236" s="4" t="s">
        <v>21</v>
      </c>
      <c r="D236" s="29" t="s">
        <v>33</v>
      </c>
      <c r="E236" s="28">
        <v>46020</v>
      </c>
      <c r="F236" s="4">
        <v>32</v>
      </c>
      <c r="G236" s="4">
        <v>28</v>
      </c>
      <c r="H236" s="6">
        <v>4363971</v>
      </c>
      <c r="I236" s="6">
        <f t="shared" si="55"/>
        <v>3012800</v>
      </c>
      <c r="J236" s="6">
        <v>0</v>
      </c>
      <c r="K236" s="6">
        <v>0</v>
      </c>
      <c r="L236" s="6">
        <f t="shared" si="56"/>
        <v>0</v>
      </c>
      <c r="M236" s="7">
        <f t="shared" si="51"/>
        <v>1.8034166666666667E-2</v>
      </c>
      <c r="N236" s="7">
        <f t="shared" si="53"/>
        <v>1.7922529461882955E-2</v>
      </c>
      <c r="O236" s="7">
        <f t="shared" si="46"/>
        <v>-6.1903167940693393E-3</v>
      </c>
      <c r="P236" s="6">
        <f t="shared" si="48"/>
        <v>7376771</v>
      </c>
      <c r="Q236" s="6">
        <f t="shared" si="54"/>
        <v>163737301</v>
      </c>
      <c r="R236" s="4">
        <f t="shared" ca="1" si="52"/>
        <v>-452</v>
      </c>
      <c r="S236" s="6"/>
      <c r="T236" s="5"/>
      <c r="U236" s="30" t="str">
        <f t="shared" si="44"/>
        <v>PENDIENTE</v>
      </c>
    </row>
    <row r="237" spans="1:21" x14ac:dyDescent="0.25">
      <c r="A237" s="4" t="str">
        <f t="shared" si="45"/>
        <v>20261</v>
      </c>
      <c r="B237" s="4" t="s">
        <v>32</v>
      </c>
      <c r="C237" s="4" t="s">
        <v>21</v>
      </c>
      <c r="D237" s="29" t="s">
        <v>33</v>
      </c>
      <c r="E237" s="28">
        <v>46051</v>
      </c>
      <c r="F237" s="4">
        <v>33</v>
      </c>
      <c r="G237" s="4">
        <v>27</v>
      </c>
      <c r="H237" s="6">
        <v>4442672</v>
      </c>
      <c r="I237" s="6">
        <f t="shared" si="55"/>
        <v>2934099</v>
      </c>
      <c r="J237" s="6">
        <v>0</v>
      </c>
      <c r="K237" s="6">
        <v>0</v>
      </c>
      <c r="L237" s="6">
        <f t="shared" si="56"/>
        <v>0</v>
      </c>
      <c r="M237" s="7">
        <f t="shared" si="51"/>
        <v>1.8034166666666667E-2</v>
      </c>
      <c r="N237" s="7">
        <f t="shared" si="53"/>
        <v>1.7919551513799533E-2</v>
      </c>
      <c r="O237" s="7">
        <f t="shared" si="46"/>
        <v>-6.3554449166194349E-3</v>
      </c>
      <c r="P237" s="6">
        <f t="shared" si="48"/>
        <v>7376771</v>
      </c>
      <c r="Q237" s="6">
        <f t="shared" si="54"/>
        <v>159294629</v>
      </c>
      <c r="R237" s="4">
        <f t="shared" ca="1" si="52"/>
        <v>-482</v>
      </c>
      <c r="S237" s="6"/>
      <c r="T237" s="5"/>
      <c r="U237" s="30" t="str">
        <f t="shared" si="44"/>
        <v>PENDIENTE</v>
      </c>
    </row>
    <row r="238" spans="1:21" x14ac:dyDescent="0.25">
      <c r="A238" s="4" t="str">
        <f t="shared" si="45"/>
        <v>20262</v>
      </c>
      <c r="B238" s="4" t="s">
        <v>32</v>
      </c>
      <c r="C238" s="4" t="s">
        <v>21</v>
      </c>
      <c r="D238" s="29" t="s">
        <v>33</v>
      </c>
      <c r="E238" s="28">
        <v>46081</v>
      </c>
      <c r="F238" s="4">
        <v>34</v>
      </c>
      <c r="G238" s="4">
        <v>26</v>
      </c>
      <c r="H238" s="6">
        <v>4522792</v>
      </c>
      <c r="I238" s="6">
        <f t="shared" si="55"/>
        <v>2853979</v>
      </c>
      <c r="J238" s="6">
        <v>0</v>
      </c>
      <c r="K238" s="6">
        <v>0</v>
      </c>
      <c r="L238" s="6">
        <f t="shared" si="56"/>
        <v>0</v>
      </c>
      <c r="M238" s="7">
        <f t="shared" si="51"/>
        <v>1.8034166666666667E-2</v>
      </c>
      <c r="N238" s="7">
        <f t="shared" si="53"/>
        <v>1.7916354229369529E-2</v>
      </c>
      <c r="O238" s="7">
        <f t="shared" si="46"/>
        <v>-6.532735305973203E-3</v>
      </c>
      <c r="P238" s="6">
        <f t="shared" si="48"/>
        <v>7376771</v>
      </c>
      <c r="Q238" s="6">
        <f t="shared" si="54"/>
        <v>154771837</v>
      </c>
      <c r="R238" s="4">
        <f t="shared" ca="1" si="52"/>
        <v>-513</v>
      </c>
      <c r="S238" s="6"/>
      <c r="T238" s="5"/>
      <c r="U238" s="30" t="str">
        <f t="shared" si="44"/>
        <v>PENDIENTE</v>
      </c>
    </row>
    <row r="239" spans="1:21" x14ac:dyDescent="0.25">
      <c r="A239" s="4" t="str">
        <f t="shared" si="45"/>
        <v>20263</v>
      </c>
      <c r="B239" s="4" t="s">
        <v>32</v>
      </c>
      <c r="C239" s="4" t="s">
        <v>21</v>
      </c>
      <c r="D239" s="29" t="s">
        <v>33</v>
      </c>
      <c r="E239" s="28">
        <v>46110</v>
      </c>
      <c r="F239" s="4">
        <v>35</v>
      </c>
      <c r="G239" s="4">
        <v>25</v>
      </c>
      <c r="H239" s="6">
        <v>4604356</v>
      </c>
      <c r="I239" s="6">
        <f t="shared" si="55"/>
        <v>2772415</v>
      </c>
      <c r="J239" s="6">
        <v>0</v>
      </c>
      <c r="K239" s="6">
        <v>0</v>
      </c>
      <c r="L239" s="6">
        <f t="shared" si="56"/>
        <v>0</v>
      </c>
      <c r="M239" s="7">
        <f t="shared" si="51"/>
        <v>1.8034166666666667E-2</v>
      </c>
      <c r="N239" s="7">
        <f t="shared" si="53"/>
        <v>1.7912916546955503E-2</v>
      </c>
      <c r="O239" s="7">
        <f t="shared" si="46"/>
        <v>-6.7233558363013479E-3</v>
      </c>
      <c r="P239" s="6">
        <f t="shared" si="48"/>
        <v>7376771</v>
      </c>
      <c r="Q239" s="6">
        <f t="shared" si="54"/>
        <v>150167481</v>
      </c>
      <c r="R239" s="4">
        <f t="shared" ca="1" si="52"/>
        <v>-543</v>
      </c>
      <c r="S239" s="6"/>
      <c r="T239" s="5"/>
      <c r="U239" s="30" t="str">
        <f t="shared" si="44"/>
        <v>PENDIENTE</v>
      </c>
    </row>
    <row r="240" spans="1:21" x14ac:dyDescent="0.25">
      <c r="A240" s="4" t="str">
        <f t="shared" si="45"/>
        <v>20264</v>
      </c>
      <c r="B240" s="4" t="s">
        <v>32</v>
      </c>
      <c r="C240" s="4" t="s">
        <v>21</v>
      </c>
      <c r="D240" s="29" t="s">
        <v>33</v>
      </c>
      <c r="E240" s="28">
        <v>46141</v>
      </c>
      <c r="F240" s="4">
        <v>36</v>
      </c>
      <c r="G240" s="4">
        <v>24</v>
      </c>
      <c r="H240" s="6">
        <v>4687392</v>
      </c>
      <c r="I240" s="6">
        <f t="shared" si="55"/>
        <v>2689379</v>
      </c>
      <c r="J240" s="6">
        <v>0</v>
      </c>
      <c r="K240" s="6">
        <v>0</v>
      </c>
      <c r="L240" s="6">
        <f t="shared" si="56"/>
        <v>0</v>
      </c>
      <c r="M240" s="7">
        <f t="shared" si="51"/>
        <v>1.8034166666666667E-2</v>
      </c>
      <c r="N240" s="7">
        <f t="shared" si="53"/>
        <v>1.7909196998516608E-2</v>
      </c>
      <c r="O240" s="7">
        <f t="shared" si="46"/>
        <v>-6.9296059230197216E-3</v>
      </c>
      <c r="P240" s="6">
        <f t="shared" si="48"/>
        <v>7376771</v>
      </c>
      <c r="Q240" s="6">
        <f t="shared" si="54"/>
        <v>145480089</v>
      </c>
      <c r="R240" s="4">
        <f t="shared" ca="1" si="52"/>
        <v>-572</v>
      </c>
      <c r="S240" s="6"/>
      <c r="T240" s="5"/>
      <c r="U240" s="30" t="str">
        <f t="shared" si="44"/>
        <v>PENDIENTE</v>
      </c>
    </row>
    <row r="241" spans="1:21" x14ac:dyDescent="0.25">
      <c r="A241" s="4" t="str">
        <f t="shared" si="45"/>
        <v>20265</v>
      </c>
      <c r="B241" s="4" t="s">
        <v>32</v>
      </c>
      <c r="C241" s="4" t="s">
        <v>21</v>
      </c>
      <c r="D241" s="29" t="s">
        <v>33</v>
      </c>
      <c r="E241" s="28">
        <v>46171</v>
      </c>
      <c r="F241" s="4">
        <v>37</v>
      </c>
      <c r="G241" s="4">
        <v>23</v>
      </c>
      <c r="H241" s="6">
        <v>4771925</v>
      </c>
      <c r="I241" s="6">
        <f t="shared" si="55"/>
        <v>2604846</v>
      </c>
      <c r="J241" s="6">
        <v>0</v>
      </c>
      <c r="K241" s="6">
        <v>0</v>
      </c>
      <c r="L241" s="6">
        <f t="shared" si="56"/>
        <v>0</v>
      </c>
      <c r="M241" s="7">
        <f t="shared" si="51"/>
        <v>1.8034166666666667E-2</v>
      </c>
      <c r="N241" s="7">
        <f t="shared" si="53"/>
        <v>1.7905171889192342E-2</v>
      </c>
      <c r="O241" s="7">
        <f t="shared" si="46"/>
        <v>-7.1527994533150396E-3</v>
      </c>
      <c r="P241" s="6">
        <f t="shared" si="48"/>
        <v>7376771</v>
      </c>
      <c r="Q241" s="6">
        <f t="shared" si="54"/>
        <v>140708164</v>
      </c>
      <c r="R241" s="4">
        <f t="shared" ca="1" si="52"/>
        <v>-603</v>
      </c>
      <c r="S241" s="6"/>
      <c r="T241" s="5"/>
      <c r="U241" s="30" t="str">
        <f t="shared" si="44"/>
        <v>PENDIENTE</v>
      </c>
    </row>
    <row r="242" spans="1:21" x14ac:dyDescent="0.25">
      <c r="A242" s="4" t="str">
        <f t="shared" si="45"/>
        <v>20266</v>
      </c>
      <c r="B242" s="4" t="s">
        <v>32</v>
      </c>
      <c r="C242" s="4" t="s">
        <v>21</v>
      </c>
      <c r="D242" s="29" t="s">
        <v>33</v>
      </c>
      <c r="E242" s="28">
        <v>46202</v>
      </c>
      <c r="F242" s="4">
        <v>38</v>
      </c>
      <c r="G242" s="4">
        <v>22</v>
      </c>
      <c r="H242" s="6">
        <v>4857983</v>
      </c>
      <c r="I242" s="6">
        <f t="shared" si="55"/>
        <v>2518788</v>
      </c>
      <c r="J242" s="6">
        <v>0</v>
      </c>
      <c r="K242" s="6">
        <v>0</v>
      </c>
      <c r="L242" s="6">
        <f t="shared" si="56"/>
        <v>0</v>
      </c>
      <c r="M242" s="7">
        <f t="shared" si="51"/>
        <v>1.8034166666666667E-2</v>
      </c>
      <c r="N242" s="7">
        <f t="shared" si="53"/>
        <v>1.7900795010018039E-2</v>
      </c>
      <c r="O242" s="7">
        <f t="shared" si="46"/>
        <v>-7.3954987282636164E-3</v>
      </c>
      <c r="P242" s="6">
        <f t="shared" si="48"/>
        <v>7376771</v>
      </c>
      <c r="Q242" s="6">
        <f t="shared" si="54"/>
        <v>135850181</v>
      </c>
      <c r="R242" s="4">
        <f t="shared" ca="1" si="52"/>
        <v>-633</v>
      </c>
      <c r="S242" s="6"/>
      <c r="T242" s="5"/>
      <c r="U242" s="30" t="str">
        <f t="shared" si="44"/>
        <v>PENDIENTE</v>
      </c>
    </row>
    <row r="243" spans="1:21" x14ac:dyDescent="0.25">
      <c r="A243" s="4" t="str">
        <f t="shared" si="45"/>
        <v>20267</v>
      </c>
      <c r="B243" s="4" t="s">
        <v>32</v>
      </c>
      <c r="C243" s="4" t="s">
        <v>21</v>
      </c>
      <c r="D243" s="29" t="s">
        <v>33</v>
      </c>
      <c r="E243" s="28">
        <v>46232</v>
      </c>
      <c r="F243" s="4">
        <v>39</v>
      </c>
      <c r="G243" s="4">
        <v>21</v>
      </c>
      <c r="H243" s="6">
        <v>4945593</v>
      </c>
      <c r="I243" s="6">
        <f t="shared" si="55"/>
        <v>2431178</v>
      </c>
      <c r="J243" s="6">
        <v>0</v>
      </c>
      <c r="K243" s="6">
        <v>0</v>
      </c>
      <c r="L243" s="6">
        <f t="shared" si="56"/>
        <v>0</v>
      </c>
      <c r="M243" s="7">
        <f t="shared" si="51"/>
        <v>1.8034166666666667E-2</v>
      </c>
      <c r="N243" s="7">
        <f t="shared" si="53"/>
        <v>1.7896023266984092E-2</v>
      </c>
      <c r="O243" s="7">
        <f t="shared" si="46"/>
        <v>-7.6600933237415125E-3</v>
      </c>
      <c r="P243" s="6">
        <f t="shared" si="48"/>
        <v>7376771</v>
      </c>
      <c r="Q243" s="6">
        <f t="shared" si="54"/>
        <v>130904588</v>
      </c>
      <c r="R243" s="4">
        <f t="shared" ca="1" si="52"/>
        <v>-664</v>
      </c>
      <c r="S243" s="6"/>
      <c r="T243" s="5"/>
      <c r="U243" s="30" t="str">
        <f t="shared" si="44"/>
        <v>PENDIENTE</v>
      </c>
    </row>
    <row r="244" spans="1:21" x14ac:dyDescent="0.25">
      <c r="A244" s="4" t="str">
        <f t="shared" si="45"/>
        <v>20268</v>
      </c>
      <c r="B244" s="4" t="s">
        <v>32</v>
      </c>
      <c r="C244" s="4" t="s">
        <v>21</v>
      </c>
      <c r="D244" s="29" t="s">
        <v>33</v>
      </c>
      <c r="E244" s="28">
        <v>46263</v>
      </c>
      <c r="F244" s="4">
        <v>40</v>
      </c>
      <c r="G244" s="4">
        <v>20</v>
      </c>
      <c r="H244" s="6">
        <v>5034782</v>
      </c>
      <c r="I244" s="6">
        <f t="shared" si="55"/>
        <v>2341989</v>
      </c>
      <c r="J244" s="6">
        <v>0</v>
      </c>
      <c r="K244" s="6">
        <v>0</v>
      </c>
      <c r="L244" s="6">
        <f t="shared" si="56"/>
        <v>0</v>
      </c>
      <c r="M244" s="7">
        <f t="shared" si="51"/>
        <v>1.8034166666666667E-2</v>
      </c>
      <c r="N244" s="7">
        <f t="shared" si="53"/>
        <v>1.7890809144137865E-2</v>
      </c>
      <c r="O244" s="7">
        <f t="shared" si="46"/>
        <v>-7.9492180137037405E-3</v>
      </c>
      <c r="P244" s="6">
        <f t="shared" si="48"/>
        <v>7376771</v>
      </c>
      <c r="Q244" s="6">
        <f t="shared" si="54"/>
        <v>125869806</v>
      </c>
      <c r="R244" s="4">
        <f t="shared" ca="1" si="52"/>
        <v>-694</v>
      </c>
      <c r="S244" s="6"/>
      <c r="T244" s="5"/>
      <c r="U244" s="30" t="str">
        <f t="shared" si="44"/>
        <v>PENDIENTE</v>
      </c>
    </row>
    <row r="245" spans="1:21" x14ac:dyDescent="0.25">
      <c r="A245" s="4" t="str">
        <f t="shared" si="45"/>
        <v>20269</v>
      </c>
      <c r="B245" s="4" t="s">
        <v>32</v>
      </c>
      <c r="C245" s="4" t="s">
        <v>21</v>
      </c>
      <c r="D245" s="29" t="s">
        <v>33</v>
      </c>
      <c r="E245" s="28">
        <v>46294</v>
      </c>
      <c r="F245" s="4">
        <v>41</v>
      </c>
      <c r="G245" s="4">
        <v>19</v>
      </c>
      <c r="H245" s="6">
        <v>5125580</v>
      </c>
      <c r="I245" s="6">
        <f t="shared" si="55"/>
        <v>2251191</v>
      </c>
      <c r="J245" s="6">
        <v>0</v>
      </c>
      <c r="K245" s="6">
        <v>0</v>
      </c>
      <c r="L245" s="6">
        <f t="shared" si="56"/>
        <v>0</v>
      </c>
      <c r="M245" s="7">
        <f t="shared" si="51"/>
        <v>1.8034166666666667E-2</v>
      </c>
      <c r="N245" s="7">
        <f t="shared" si="53"/>
        <v>1.7885075631243922E-2</v>
      </c>
      <c r="O245" s="7">
        <f t="shared" si="46"/>
        <v>-8.267143039013658E-3</v>
      </c>
      <c r="P245" s="6">
        <f t="shared" si="48"/>
        <v>7376771</v>
      </c>
      <c r="Q245" s="6">
        <f t="shared" si="54"/>
        <v>120744226</v>
      </c>
      <c r="R245" s="4">
        <f t="shared" ca="1" si="52"/>
        <v>-725</v>
      </c>
      <c r="S245" s="6"/>
      <c r="T245" s="5"/>
      <c r="U245" s="30" t="str">
        <f t="shared" si="44"/>
        <v>PENDIENTE</v>
      </c>
    </row>
    <row r="246" spans="1:21" x14ac:dyDescent="0.25">
      <c r="A246" s="4" t="str">
        <f t="shared" si="45"/>
        <v>202610</v>
      </c>
      <c r="B246" s="4" t="s">
        <v>32</v>
      </c>
      <c r="C246" s="4" t="s">
        <v>21</v>
      </c>
      <c r="D246" s="29" t="s">
        <v>33</v>
      </c>
      <c r="E246" s="28">
        <v>46324</v>
      </c>
      <c r="F246" s="4">
        <v>42</v>
      </c>
      <c r="G246" s="4">
        <v>18</v>
      </c>
      <c r="H246" s="6">
        <v>5218016</v>
      </c>
      <c r="I246" s="6">
        <f t="shared" si="55"/>
        <v>2158755</v>
      </c>
      <c r="J246" s="6">
        <v>0</v>
      </c>
      <c r="K246" s="6">
        <v>0</v>
      </c>
      <c r="L246" s="6">
        <f t="shared" si="56"/>
        <v>0</v>
      </c>
      <c r="M246" s="7">
        <f t="shared" si="51"/>
        <v>1.8034166666666667E-2</v>
      </c>
      <c r="N246" s="7">
        <f t="shared" si="53"/>
        <v>1.7878743121016817E-2</v>
      </c>
      <c r="O246" s="7">
        <f t="shared" si="46"/>
        <v>-8.6182826477436691E-3</v>
      </c>
      <c r="P246" s="6">
        <f t="shared" si="48"/>
        <v>7376771</v>
      </c>
      <c r="Q246" s="6">
        <f t="shared" si="54"/>
        <v>115526210</v>
      </c>
      <c r="R246" s="4">
        <f t="shared" ca="1" si="52"/>
        <v>-756</v>
      </c>
      <c r="S246" s="6"/>
      <c r="T246" s="5"/>
      <c r="U246" s="30" t="str">
        <f t="shared" si="44"/>
        <v>PENDIENTE</v>
      </c>
    </row>
    <row r="247" spans="1:21" x14ac:dyDescent="0.25">
      <c r="A247" s="4" t="str">
        <f t="shared" si="45"/>
        <v>202611</v>
      </c>
      <c r="B247" s="4" t="s">
        <v>32</v>
      </c>
      <c r="C247" s="4" t="s">
        <v>21</v>
      </c>
      <c r="D247" s="29" t="s">
        <v>33</v>
      </c>
      <c r="E247" s="28">
        <v>46355</v>
      </c>
      <c r="F247" s="4">
        <v>43</v>
      </c>
      <c r="G247" s="4">
        <v>17</v>
      </c>
      <c r="H247" s="6">
        <v>5312118</v>
      </c>
      <c r="I247" s="6">
        <f t="shared" si="55"/>
        <v>2064653</v>
      </c>
      <c r="J247" s="6">
        <v>0</v>
      </c>
      <c r="K247" s="6">
        <v>0</v>
      </c>
      <c r="L247" s="6">
        <f t="shared" si="56"/>
        <v>0</v>
      </c>
      <c r="M247" s="7">
        <f t="shared" si="51"/>
        <v>1.8034166666666667E-2</v>
      </c>
      <c r="N247" s="7">
        <f t="shared" si="53"/>
        <v>1.7871727982766854E-2</v>
      </c>
      <c r="O247" s="7">
        <f t="shared" si="46"/>
        <v>-9.0072741869495765E-3</v>
      </c>
      <c r="P247" s="6">
        <f t="shared" si="48"/>
        <v>7376771</v>
      </c>
      <c r="Q247" s="6">
        <f t="shared" si="54"/>
        <v>110214092</v>
      </c>
      <c r="R247" s="4">
        <f t="shared" ca="1" si="52"/>
        <v>-786</v>
      </c>
      <c r="S247" s="6"/>
      <c r="T247" s="5"/>
      <c r="U247" s="30" t="str">
        <f t="shared" si="44"/>
        <v>PENDIENTE</v>
      </c>
    </row>
    <row r="248" spans="1:21" x14ac:dyDescent="0.25">
      <c r="A248" s="4" t="str">
        <f t="shared" si="45"/>
        <v>202612</v>
      </c>
      <c r="B248" s="4" t="s">
        <v>32</v>
      </c>
      <c r="C248" s="4" t="s">
        <v>21</v>
      </c>
      <c r="D248" s="29" t="s">
        <v>33</v>
      </c>
      <c r="E248" s="28">
        <v>46385</v>
      </c>
      <c r="F248" s="4">
        <v>44</v>
      </c>
      <c r="G248" s="4">
        <v>16</v>
      </c>
      <c r="H248" s="6">
        <v>5407918</v>
      </c>
      <c r="I248" s="6">
        <f t="shared" si="55"/>
        <v>1968853</v>
      </c>
      <c r="J248" s="6">
        <v>0</v>
      </c>
      <c r="K248" s="6">
        <v>0</v>
      </c>
      <c r="L248" s="6">
        <f t="shared" si="56"/>
        <v>0</v>
      </c>
      <c r="M248" s="7">
        <f t="shared" si="51"/>
        <v>1.8034166666666667E-2</v>
      </c>
      <c r="N248" s="7">
        <f t="shared" si="53"/>
        <v>1.7863895299341577E-2</v>
      </c>
      <c r="O248" s="7">
        <f t="shared" si="46"/>
        <v>-9.441598853569988E-3</v>
      </c>
      <c r="P248" s="6">
        <f t="shared" si="48"/>
        <v>7376771</v>
      </c>
      <c r="Q248" s="6">
        <f t="shared" si="54"/>
        <v>104806174</v>
      </c>
      <c r="R248" s="4">
        <f t="shared" ca="1" si="52"/>
        <v>-817</v>
      </c>
      <c r="S248" s="6"/>
      <c r="T248" s="5"/>
      <c r="U248" s="30" t="str">
        <f t="shared" si="44"/>
        <v>PENDIENTE</v>
      </c>
    </row>
    <row r="249" spans="1:21" x14ac:dyDescent="0.25">
      <c r="A249" s="4" t="str">
        <f t="shared" si="45"/>
        <v>20271</v>
      </c>
      <c r="B249" s="4" t="s">
        <v>32</v>
      </c>
      <c r="C249" s="4" t="s">
        <v>21</v>
      </c>
      <c r="D249" s="29" t="s">
        <v>33</v>
      </c>
      <c r="E249" s="28">
        <v>46416</v>
      </c>
      <c r="F249" s="4">
        <v>45</v>
      </c>
      <c r="G249" s="4">
        <v>15</v>
      </c>
      <c r="H249" s="6">
        <v>5505445</v>
      </c>
      <c r="I249" s="6">
        <f t="shared" si="55"/>
        <v>1871326</v>
      </c>
      <c r="J249" s="6">
        <v>0</v>
      </c>
      <c r="K249" s="6">
        <v>0</v>
      </c>
      <c r="L249" s="6">
        <f t="shared" si="56"/>
        <v>0</v>
      </c>
      <c r="M249" s="7">
        <f t="shared" si="51"/>
        <v>1.8034166666666667E-2</v>
      </c>
      <c r="N249" s="7">
        <f t="shared" si="53"/>
        <v>1.7855112237948882E-2</v>
      </c>
      <c r="O249" s="7">
        <f t="shared" si="46"/>
        <v>-9.9286222661310042E-3</v>
      </c>
      <c r="P249" s="6">
        <f t="shared" si="48"/>
        <v>7376771</v>
      </c>
      <c r="Q249" s="6">
        <f t="shared" si="54"/>
        <v>99300729</v>
      </c>
      <c r="R249" s="4">
        <f t="shared" ca="1" si="52"/>
        <v>-847</v>
      </c>
      <c r="S249" s="6"/>
      <c r="T249" s="5"/>
      <c r="U249" s="30" t="str">
        <f t="shared" si="44"/>
        <v>PENDIENTE</v>
      </c>
    </row>
    <row r="250" spans="1:21" x14ac:dyDescent="0.25">
      <c r="A250" s="4" t="str">
        <f t="shared" si="45"/>
        <v>20272</v>
      </c>
      <c r="B250" s="4" t="s">
        <v>32</v>
      </c>
      <c r="C250" s="4" t="s">
        <v>21</v>
      </c>
      <c r="D250" s="29" t="s">
        <v>33</v>
      </c>
      <c r="E250" s="28">
        <v>46446</v>
      </c>
      <c r="F250" s="4">
        <v>46</v>
      </c>
      <c r="G250" s="4">
        <v>14</v>
      </c>
      <c r="H250" s="6">
        <v>5604732</v>
      </c>
      <c r="I250" s="6">
        <f t="shared" si="55"/>
        <v>1772039</v>
      </c>
      <c r="J250" s="6">
        <v>0</v>
      </c>
      <c r="K250" s="6">
        <v>0</v>
      </c>
      <c r="L250" s="6">
        <f t="shared" si="56"/>
        <v>0</v>
      </c>
      <c r="M250" s="7">
        <f t="shared" si="51"/>
        <v>1.8034166666666667E-2</v>
      </c>
      <c r="N250" s="7">
        <f t="shared" si="53"/>
        <v>1.784517614165753E-2</v>
      </c>
      <c r="O250" s="7">
        <f t="shared" si="46"/>
        <v>-1.0479581812807393E-2</v>
      </c>
      <c r="P250" s="6">
        <f t="shared" si="48"/>
        <v>7376771</v>
      </c>
      <c r="Q250" s="6">
        <f t="shared" si="54"/>
        <v>93695997</v>
      </c>
      <c r="R250" s="4">
        <f t="shared" ca="1" si="52"/>
        <v>-878</v>
      </c>
      <c r="S250" s="6"/>
      <c r="T250" s="5"/>
      <c r="U250" s="30" t="str">
        <f t="shared" si="44"/>
        <v>PENDIENTE</v>
      </c>
    </row>
    <row r="251" spans="1:21" x14ac:dyDescent="0.25">
      <c r="A251" s="4" t="str">
        <f t="shared" si="45"/>
        <v>20273</v>
      </c>
      <c r="B251" s="4" t="s">
        <v>32</v>
      </c>
      <c r="C251" s="4" t="s">
        <v>21</v>
      </c>
      <c r="D251" s="29" t="s">
        <v>33</v>
      </c>
      <c r="E251" s="28">
        <v>46475</v>
      </c>
      <c r="F251" s="4">
        <v>47</v>
      </c>
      <c r="G251" s="4">
        <v>13</v>
      </c>
      <c r="H251" s="6">
        <v>5705808</v>
      </c>
      <c r="I251" s="6">
        <f t="shared" si="55"/>
        <v>1670963</v>
      </c>
      <c r="J251" s="6">
        <v>0</v>
      </c>
      <c r="K251" s="6">
        <v>0</v>
      </c>
      <c r="L251" s="6">
        <f t="shared" si="56"/>
        <v>0</v>
      </c>
      <c r="M251" s="7">
        <f t="shared" si="51"/>
        <v>1.8034166666666667E-2</v>
      </c>
      <c r="N251" s="7">
        <f t="shared" si="53"/>
        <v>1.7833878217870931E-2</v>
      </c>
      <c r="O251" s="7">
        <f t="shared" si="46"/>
        <v>-1.1106055106274382E-2</v>
      </c>
      <c r="P251" s="6">
        <f t="shared" si="48"/>
        <v>7376771</v>
      </c>
      <c r="Q251" s="6">
        <f t="shared" si="54"/>
        <v>87990189</v>
      </c>
      <c r="R251" s="4">
        <f t="shared" ca="1" si="52"/>
        <v>-908</v>
      </c>
      <c r="S251" s="6"/>
      <c r="T251" s="5"/>
      <c r="U251" s="30" t="str">
        <f t="shared" si="44"/>
        <v>PENDIENTE</v>
      </c>
    </row>
    <row r="252" spans="1:21" x14ac:dyDescent="0.25">
      <c r="A252" s="4" t="str">
        <f t="shared" si="45"/>
        <v>20274</v>
      </c>
      <c r="B252" s="4" t="s">
        <v>32</v>
      </c>
      <c r="C252" s="4" t="s">
        <v>21</v>
      </c>
      <c r="D252" s="29" t="s">
        <v>33</v>
      </c>
      <c r="E252" s="28">
        <v>46506</v>
      </c>
      <c r="F252" s="4">
        <v>48</v>
      </c>
      <c r="G252" s="4">
        <v>12</v>
      </c>
      <c r="H252" s="6">
        <v>5913463</v>
      </c>
      <c r="I252" s="6">
        <f t="shared" si="55"/>
        <v>1463308</v>
      </c>
      <c r="J252" s="6">
        <v>0</v>
      </c>
      <c r="K252" s="6">
        <v>0</v>
      </c>
      <c r="L252" s="6">
        <f t="shared" si="56"/>
        <v>0</v>
      </c>
      <c r="M252" s="7">
        <f t="shared" si="51"/>
        <v>1.8034166666666667E-2</v>
      </c>
      <c r="N252" s="7">
        <f t="shared" si="53"/>
        <v>1.6630354095500351E-2</v>
      </c>
      <c r="O252" s="7">
        <f t="shared" si="46"/>
        <v>-7.7841831957838337E-2</v>
      </c>
      <c r="P252" s="6">
        <f t="shared" si="48"/>
        <v>7376771</v>
      </c>
      <c r="Q252" s="6">
        <f t="shared" si="54"/>
        <v>82076726</v>
      </c>
      <c r="R252" s="4">
        <f t="shared" ca="1" si="52"/>
        <v>-937</v>
      </c>
      <c r="S252" s="6"/>
      <c r="T252" s="5"/>
      <c r="U252" s="30" t="str">
        <f t="shared" si="44"/>
        <v>PENDIENTE</v>
      </c>
    </row>
    <row r="253" spans="1:21" x14ac:dyDescent="0.25">
      <c r="A253" s="4" t="str">
        <f t="shared" si="45"/>
        <v>20275</v>
      </c>
      <c r="B253" s="4" t="s">
        <v>32</v>
      </c>
      <c r="C253" s="4" t="s">
        <v>21</v>
      </c>
      <c r="D253" s="29" t="s">
        <v>33</v>
      </c>
      <c r="E253" s="28">
        <v>46536</v>
      </c>
      <c r="F253" s="4">
        <v>49</v>
      </c>
      <c r="G253" s="4">
        <v>11</v>
      </c>
      <c r="H253" s="6">
        <v>6020107</v>
      </c>
      <c r="I253" s="6">
        <f t="shared" si="55"/>
        <v>1356664</v>
      </c>
      <c r="J253" s="6">
        <v>0</v>
      </c>
      <c r="K253" s="6">
        <v>0</v>
      </c>
      <c r="L253" s="6">
        <f t="shared" si="56"/>
        <v>0</v>
      </c>
      <c r="M253" s="7">
        <f t="shared" si="51"/>
        <v>1.8034166666666667E-2</v>
      </c>
      <c r="N253" s="7">
        <f t="shared" si="53"/>
        <v>1.6529216820856132E-2</v>
      </c>
      <c r="O253" s="7">
        <f t="shared" si="46"/>
        <v>-8.3449924447698387E-2</v>
      </c>
      <c r="P253" s="6">
        <f t="shared" si="48"/>
        <v>7376771</v>
      </c>
      <c r="Q253" s="6">
        <f t="shared" si="54"/>
        <v>76056619</v>
      </c>
      <c r="R253" s="4">
        <f t="shared" ca="1" si="52"/>
        <v>-968</v>
      </c>
      <c r="S253" s="6"/>
      <c r="T253" s="5"/>
      <c r="U253" s="30" t="str">
        <f t="shared" si="44"/>
        <v>PENDIENTE</v>
      </c>
    </row>
    <row r="254" spans="1:21" x14ac:dyDescent="0.25">
      <c r="A254" s="4" t="str">
        <f t="shared" si="45"/>
        <v>20276</v>
      </c>
      <c r="B254" s="4" t="s">
        <v>32</v>
      </c>
      <c r="C254" s="4" t="s">
        <v>21</v>
      </c>
      <c r="D254" s="29" t="s">
        <v>33</v>
      </c>
      <c r="E254" s="28">
        <v>46567</v>
      </c>
      <c r="F254" s="4">
        <v>50</v>
      </c>
      <c r="G254" s="4">
        <v>10</v>
      </c>
      <c r="H254" s="6">
        <v>6128675</v>
      </c>
      <c r="I254" s="6">
        <f t="shared" si="55"/>
        <v>1248096</v>
      </c>
      <c r="J254" s="6">
        <v>0</v>
      </c>
      <c r="K254" s="6">
        <v>0</v>
      </c>
      <c r="L254" s="6">
        <f t="shared" si="56"/>
        <v>0</v>
      </c>
      <c r="M254" s="7">
        <f t="shared" si="51"/>
        <v>1.8034166666666667E-2</v>
      </c>
      <c r="N254" s="7">
        <f t="shared" si="53"/>
        <v>1.6410090487982379E-2</v>
      </c>
      <c r="O254" s="7">
        <f t="shared" si="46"/>
        <v>-9.0055515661066732E-2</v>
      </c>
      <c r="P254" s="6">
        <f t="shared" si="48"/>
        <v>7376771</v>
      </c>
      <c r="Q254" s="6">
        <f t="shared" si="54"/>
        <v>69927944</v>
      </c>
      <c r="R254" s="4">
        <f t="shared" ca="1" si="52"/>
        <v>-998</v>
      </c>
      <c r="S254" s="6"/>
      <c r="T254" s="5"/>
      <c r="U254" s="30" t="str">
        <f t="shared" si="44"/>
        <v>PENDIENTE</v>
      </c>
    </row>
    <row r="255" spans="1:21" x14ac:dyDescent="0.25">
      <c r="A255" s="4" t="str">
        <f t="shared" si="45"/>
        <v>20277</v>
      </c>
      <c r="B255" s="4" t="s">
        <v>32</v>
      </c>
      <c r="C255" s="4" t="s">
        <v>21</v>
      </c>
      <c r="D255" s="29" t="s">
        <v>33</v>
      </c>
      <c r="E255" s="28">
        <v>46597</v>
      </c>
      <c r="F255" s="4">
        <v>51</v>
      </c>
      <c r="G255" s="4">
        <v>9</v>
      </c>
      <c r="H255" s="6">
        <v>6239200</v>
      </c>
      <c r="I255" s="6">
        <f t="shared" si="55"/>
        <v>1137571</v>
      </c>
      <c r="J255" s="6">
        <v>0</v>
      </c>
      <c r="K255" s="6">
        <v>0</v>
      </c>
      <c r="L255" s="6">
        <f t="shared" si="56"/>
        <v>0</v>
      </c>
      <c r="M255" s="7">
        <f t="shared" si="51"/>
        <v>1.8034166666666667E-2</v>
      </c>
      <c r="N255" s="7">
        <f t="shared" si="53"/>
        <v>1.6267759852913736E-2</v>
      </c>
      <c r="O255" s="7">
        <f t="shared" si="46"/>
        <v>-9.794779245430052E-2</v>
      </c>
      <c r="P255" s="6">
        <f t="shared" si="48"/>
        <v>7376771</v>
      </c>
      <c r="Q255" s="6">
        <f t="shared" si="54"/>
        <v>63688744</v>
      </c>
      <c r="R255" s="4">
        <f t="shared" ca="1" si="52"/>
        <v>-1029</v>
      </c>
      <c r="S255" s="6"/>
      <c r="T255" s="5"/>
      <c r="U255" s="30" t="str">
        <f t="shared" si="44"/>
        <v>PENDIENTE</v>
      </c>
    </row>
    <row r="256" spans="1:21" x14ac:dyDescent="0.25">
      <c r="A256" s="4" t="str">
        <f t="shared" si="45"/>
        <v>20278</v>
      </c>
      <c r="B256" s="4" t="s">
        <v>32</v>
      </c>
      <c r="C256" s="4" t="s">
        <v>21</v>
      </c>
      <c r="D256" s="29" t="s">
        <v>33</v>
      </c>
      <c r="E256" s="28">
        <v>46628</v>
      </c>
      <c r="F256" s="4">
        <v>52</v>
      </c>
      <c r="G256" s="4">
        <v>8</v>
      </c>
      <c r="H256" s="6">
        <v>6351719</v>
      </c>
      <c r="I256" s="6">
        <f t="shared" si="55"/>
        <v>1025052</v>
      </c>
      <c r="J256" s="6">
        <v>0</v>
      </c>
      <c r="K256" s="6">
        <v>0</v>
      </c>
      <c r="L256" s="6">
        <f t="shared" si="56"/>
        <v>0</v>
      </c>
      <c r="M256" s="7">
        <f t="shared" si="51"/>
        <v>1.8034166666666667E-2</v>
      </c>
      <c r="N256" s="7">
        <f t="shared" si="53"/>
        <v>1.6094712120559324E-2</v>
      </c>
      <c r="O256" s="7">
        <f t="shared" si="46"/>
        <v>-0.10754334158905832</v>
      </c>
      <c r="P256" s="6">
        <f t="shared" si="48"/>
        <v>7376771</v>
      </c>
      <c r="Q256" s="6">
        <f t="shared" si="54"/>
        <v>57337025</v>
      </c>
      <c r="R256" s="4">
        <f t="shared" ca="1" si="52"/>
        <v>-1059</v>
      </c>
      <c r="S256" s="6"/>
      <c r="T256" s="5"/>
      <c r="U256" s="30" t="str">
        <f t="shared" si="44"/>
        <v>PENDIENTE</v>
      </c>
    </row>
    <row r="257" spans="1:21" x14ac:dyDescent="0.25">
      <c r="A257" s="4" t="str">
        <f t="shared" si="45"/>
        <v>20279</v>
      </c>
      <c r="B257" s="4" t="s">
        <v>32</v>
      </c>
      <c r="C257" s="4" t="s">
        <v>21</v>
      </c>
      <c r="D257" s="29" t="s">
        <v>33</v>
      </c>
      <c r="E257" s="28">
        <v>46659</v>
      </c>
      <c r="F257" s="4">
        <v>53</v>
      </c>
      <c r="G257" s="4">
        <v>7</v>
      </c>
      <c r="H257" s="6">
        <v>6456267</v>
      </c>
      <c r="I257" s="6">
        <f t="shared" si="55"/>
        <v>920504</v>
      </c>
      <c r="J257" s="6">
        <v>0</v>
      </c>
      <c r="K257" s="6">
        <v>0</v>
      </c>
      <c r="L257" s="6">
        <f t="shared" si="56"/>
        <v>0</v>
      </c>
      <c r="M257" s="7">
        <f t="shared" si="51"/>
        <v>1.8034166666666667E-2</v>
      </c>
      <c r="N257" s="7">
        <f t="shared" si="53"/>
        <v>1.6054268598693428E-2</v>
      </c>
      <c r="O257" s="7">
        <f t="shared" si="46"/>
        <v>-0.10978594711741074</v>
      </c>
      <c r="P257" s="6">
        <f t="shared" si="48"/>
        <v>7376771</v>
      </c>
      <c r="Q257" s="6">
        <f t="shared" si="54"/>
        <v>50880758</v>
      </c>
      <c r="R257" s="4">
        <f t="shared" ca="1" si="52"/>
        <v>-1090</v>
      </c>
      <c r="S257" s="6"/>
      <c r="T257" s="5"/>
      <c r="U257" s="30" t="str">
        <f t="shared" si="44"/>
        <v>PENDIENTE</v>
      </c>
    </row>
    <row r="258" spans="1:21" x14ac:dyDescent="0.25">
      <c r="A258" s="4" t="str">
        <f t="shared" si="45"/>
        <v>202710</v>
      </c>
      <c r="B258" s="4" t="s">
        <v>32</v>
      </c>
      <c r="C258" s="4" t="s">
        <v>21</v>
      </c>
      <c r="D258" s="29" t="s">
        <v>33</v>
      </c>
      <c r="E258" s="28">
        <v>46689</v>
      </c>
      <c r="F258" s="4">
        <v>54</v>
      </c>
      <c r="G258" s="4">
        <v>6</v>
      </c>
      <c r="H258" s="6">
        <v>6582881</v>
      </c>
      <c r="I258" s="6">
        <f t="shared" si="55"/>
        <v>793890</v>
      </c>
      <c r="J258" s="6">
        <v>0</v>
      </c>
      <c r="K258" s="6">
        <v>0</v>
      </c>
      <c r="L258" s="6">
        <f t="shared" si="56"/>
        <v>0</v>
      </c>
      <c r="M258" s="7">
        <f t="shared" si="51"/>
        <v>1.8034166666666667E-2</v>
      </c>
      <c r="N258" s="7">
        <f t="shared" si="53"/>
        <v>1.5602951512632732E-2</v>
      </c>
      <c r="O258" s="7">
        <f t="shared" si="46"/>
        <v>-0.13481161613791981</v>
      </c>
      <c r="P258" s="6">
        <f t="shared" si="48"/>
        <v>7376771</v>
      </c>
      <c r="Q258" s="6">
        <f t="shared" si="54"/>
        <v>44297877</v>
      </c>
      <c r="R258" s="4">
        <f t="shared" ca="1" si="52"/>
        <v>-1121</v>
      </c>
      <c r="S258" s="6"/>
      <c r="T258" s="5"/>
      <c r="U258" s="30" t="str">
        <f t="shared" ref="U258:U321" si="57">IF(AND(S258="",T258=""),"PENDIENTE",IF(AND(S258&lt;&gt;"",T258&lt;&gt;""),"PAGADO","ABONADO"))</f>
        <v>PENDIENTE</v>
      </c>
    </row>
    <row r="259" spans="1:21" x14ac:dyDescent="0.25">
      <c r="A259" s="4" t="str">
        <f t="shared" ref="A259:A322" si="58">CONCATENATE(YEAR($E259),MONTH($E259))</f>
        <v>202711</v>
      </c>
      <c r="B259" s="4" t="s">
        <v>32</v>
      </c>
      <c r="C259" s="4" t="s">
        <v>21</v>
      </c>
      <c r="D259" s="29" t="s">
        <v>33</v>
      </c>
      <c r="E259" s="28">
        <v>46720</v>
      </c>
      <c r="F259" s="4">
        <v>55</v>
      </c>
      <c r="G259" s="4">
        <v>5</v>
      </c>
      <c r="H259" s="6">
        <v>6701598</v>
      </c>
      <c r="I259" s="6">
        <f t="shared" si="55"/>
        <v>675173</v>
      </c>
      <c r="J259" s="6">
        <v>0</v>
      </c>
      <c r="K259" s="6">
        <v>0</v>
      </c>
      <c r="L259" s="6">
        <f t="shared" si="56"/>
        <v>0</v>
      </c>
      <c r="M259" s="7">
        <f t="shared" si="51"/>
        <v>1.8034166666666667E-2</v>
      </c>
      <c r="N259" s="7">
        <f t="shared" si="53"/>
        <v>1.5241655937597191E-2</v>
      </c>
      <c r="O259" s="7">
        <f t="shared" ref="O259:O311" si="59">(N259/M259)-1</f>
        <v>-0.15484556512561209</v>
      </c>
      <c r="P259" s="6">
        <f t="shared" si="48"/>
        <v>7376771</v>
      </c>
      <c r="Q259" s="6">
        <f t="shared" si="54"/>
        <v>37596279</v>
      </c>
      <c r="R259" s="4">
        <f t="shared" ca="1" si="52"/>
        <v>-1151</v>
      </c>
      <c r="S259" s="6"/>
      <c r="T259" s="5"/>
      <c r="U259" s="30" t="str">
        <f t="shared" si="57"/>
        <v>PENDIENTE</v>
      </c>
    </row>
    <row r="260" spans="1:21" x14ac:dyDescent="0.25">
      <c r="A260" s="4" t="str">
        <f t="shared" si="58"/>
        <v>202712</v>
      </c>
      <c r="B260" s="4" t="s">
        <v>32</v>
      </c>
      <c r="C260" s="4" t="s">
        <v>21</v>
      </c>
      <c r="D260" s="29" t="s">
        <v>33</v>
      </c>
      <c r="E260" s="28">
        <v>46750</v>
      </c>
      <c r="F260" s="4">
        <v>56</v>
      </c>
      <c r="G260" s="4">
        <v>4</v>
      </c>
      <c r="H260" s="6">
        <v>6822455</v>
      </c>
      <c r="I260" s="6">
        <f t="shared" si="55"/>
        <v>554316</v>
      </c>
      <c r="J260" s="6">
        <v>0</v>
      </c>
      <c r="K260" s="6">
        <v>0</v>
      </c>
      <c r="L260" s="6">
        <f t="shared" si="56"/>
        <v>0</v>
      </c>
      <c r="M260" s="7">
        <f t="shared" si="51"/>
        <v>1.8034166666666667E-2</v>
      </c>
      <c r="N260" s="7">
        <f t="shared" si="53"/>
        <v>1.4743905906220134E-2</v>
      </c>
      <c r="O260" s="7">
        <f t="shared" si="59"/>
        <v>-0.18244595501759808</v>
      </c>
      <c r="P260" s="6">
        <f t="shared" ref="P260:P323" si="60">H260+I260+J260+K260+L260</f>
        <v>7376771</v>
      </c>
      <c r="Q260" s="6">
        <f t="shared" si="54"/>
        <v>30773824</v>
      </c>
      <c r="R260" s="4">
        <f t="shared" ca="1" si="52"/>
        <v>-1182</v>
      </c>
      <c r="S260" s="6"/>
      <c r="T260" s="5"/>
      <c r="U260" s="30" t="str">
        <f t="shared" si="57"/>
        <v>PENDIENTE</v>
      </c>
    </row>
    <row r="261" spans="1:21" x14ac:dyDescent="0.25">
      <c r="A261" s="4" t="str">
        <f t="shared" si="58"/>
        <v>20281</v>
      </c>
      <c r="B261" s="4" t="s">
        <v>32</v>
      </c>
      <c r="C261" s="4" t="s">
        <v>21</v>
      </c>
      <c r="D261" s="29" t="s">
        <v>33</v>
      </c>
      <c r="E261" s="28">
        <v>46781</v>
      </c>
      <c r="F261" s="4">
        <v>57</v>
      </c>
      <c r="G261" s="4">
        <v>3</v>
      </c>
      <c r="H261" s="6">
        <v>6945493</v>
      </c>
      <c r="I261" s="6">
        <f t="shared" si="55"/>
        <v>431278</v>
      </c>
      <c r="J261" s="6">
        <v>0</v>
      </c>
      <c r="K261" s="6">
        <v>0</v>
      </c>
      <c r="L261" s="6">
        <f t="shared" si="56"/>
        <v>0</v>
      </c>
      <c r="M261" s="7">
        <f t="shared" si="51"/>
        <v>1.8034166666666667E-2</v>
      </c>
      <c r="N261" s="7">
        <f t="shared" si="53"/>
        <v>1.4014442923960311E-2</v>
      </c>
      <c r="O261" s="7">
        <f t="shared" si="59"/>
        <v>-0.2228948981677199</v>
      </c>
      <c r="P261" s="6">
        <f t="shared" si="60"/>
        <v>7376771</v>
      </c>
      <c r="Q261" s="6">
        <f t="shared" si="54"/>
        <v>23828331</v>
      </c>
      <c r="R261" s="4">
        <f t="shared" ca="1" si="52"/>
        <v>-1212</v>
      </c>
      <c r="S261" s="6"/>
      <c r="T261" s="5"/>
      <c r="U261" s="30" t="str">
        <f t="shared" si="57"/>
        <v>PENDIENTE</v>
      </c>
    </row>
    <row r="262" spans="1:21" x14ac:dyDescent="0.25">
      <c r="A262" s="4" t="str">
        <f t="shared" si="58"/>
        <v>20282</v>
      </c>
      <c r="B262" s="4" t="s">
        <v>32</v>
      </c>
      <c r="C262" s="4" t="s">
        <v>21</v>
      </c>
      <c r="D262" s="29" t="s">
        <v>33</v>
      </c>
      <c r="E262" s="28">
        <v>46812</v>
      </c>
      <c r="F262" s="4">
        <v>58</v>
      </c>
      <c r="G262" s="4">
        <v>2</v>
      </c>
      <c r="H262" s="6">
        <v>7070749</v>
      </c>
      <c r="I262" s="6">
        <f t="shared" si="55"/>
        <v>306022</v>
      </c>
      <c r="J262" s="6">
        <v>0</v>
      </c>
      <c r="K262" s="6">
        <v>0</v>
      </c>
      <c r="L262" s="6">
        <f t="shared" si="56"/>
        <v>0</v>
      </c>
      <c r="M262" s="7">
        <f t="shared" si="51"/>
        <v>1.8034166666666667E-2</v>
      </c>
      <c r="N262" s="7">
        <f t="shared" si="53"/>
        <v>1.2842779462816763E-2</v>
      </c>
      <c r="O262" s="7">
        <f t="shared" si="59"/>
        <v>-0.28786399171109867</v>
      </c>
      <c r="P262" s="6">
        <f t="shared" si="60"/>
        <v>7376771</v>
      </c>
      <c r="Q262" s="6">
        <f t="shared" si="54"/>
        <v>16757582</v>
      </c>
      <c r="R262" s="4">
        <f t="shared" ca="1" si="52"/>
        <v>-1243</v>
      </c>
      <c r="S262" s="6"/>
      <c r="T262" s="5"/>
      <c r="U262" s="30" t="str">
        <f t="shared" si="57"/>
        <v>PENDIENTE</v>
      </c>
    </row>
    <row r="263" spans="1:21" x14ac:dyDescent="0.25">
      <c r="A263" s="4" t="str">
        <f t="shared" si="58"/>
        <v>20283</v>
      </c>
      <c r="B263" s="4" t="s">
        <v>32</v>
      </c>
      <c r="C263" s="4" t="s">
        <v>21</v>
      </c>
      <c r="D263" s="29" t="s">
        <v>33</v>
      </c>
      <c r="E263" s="28">
        <v>46841</v>
      </c>
      <c r="F263" s="4">
        <v>59</v>
      </c>
      <c r="G263" s="4">
        <v>1</v>
      </c>
      <c r="H263" s="6">
        <v>7198264</v>
      </c>
      <c r="I263" s="6">
        <f t="shared" si="55"/>
        <v>178507</v>
      </c>
      <c r="J263" s="6">
        <v>0</v>
      </c>
      <c r="K263" s="6">
        <v>0</v>
      </c>
      <c r="L263" s="6">
        <f t="shared" si="56"/>
        <v>0</v>
      </c>
      <c r="M263" s="7">
        <f t="shared" si="51"/>
        <v>1.8034166666666667E-2</v>
      </c>
      <c r="N263" s="7">
        <f t="shared" si="53"/>
        <v>1.0652312487565331E-2</v>
      </c>
      <c r="O263" s="7">
        <f t="shared" si="59"/>
        <v>-0.40932604846918363</v>
      </c>
      <c r="P263" s="6">
        <f t="shared" si="60"/>
        <v>7376771</v>
      </c>
      <c r="Q263" s="6">
        <f>Q262-H263</f>
        <v>9559318</v>
      </c>
      <c r="R263" s="4">
        <f t="shared" ca="1" si="52"/>
        <v>-1274</v>
      </c>
      <c r="S263" s="6"/>
      <c r="T263" s="5"/>
      <c r="U263" s="30" t="str">
        <f t="shared" si="57"/>
        <v>PENDIENTE</v>
      </c>
    </row>
    <row r="264" spans="1:21" x14ac:dyDescent="0.25">
      <c r="A264" s="4" t="str">
        <f t="shared" si="58"/>
        <v>20284</v>
      </c>
      <c r="B264" s="4" t="s">
        <v>32</v>
      </c>
      <c r="C264" s="4" t="s">
        <v>21</v>
      </c>
      <c r="D264" s="29" t="s">
        <v>33</v>
      </c>
      <c r="E264" s="28">
        <v>46872</v>
      </c>
      <c r="F264" s="4">
        <v>60</v>
      </c>
      <c r="G264" s="4">
        <v>0</v>
      </c>
      <c r="H264" s="6">
        <v>2700000</v>
      </c>
      <c r="I264" s="6">
        <v>0</v>
      </c>
      <c r="J264" s="6">
        <v>0</v>
      </c>
      <c r="K264" s="6">
        <v>0</v>
      </c>
      <c r="L264" s="6">
        <f t="shared" si="56"/>
        <v>0</v>
      </c>
      <c r="M264" s="7">
        <f t="shared" si="51"/>
        <v>1.8034166666666667E-2</v>
      </c>
      <c r="N264" s="7">
        <f t="shared" si="53"/>
        <v>0</v>
      </c>
      <c r="O264" s="7">
        <f t="shared" si="59"/>
        <v>-1</v>
      </c>
      <c r="P264" s="6">
        <f t="shared" si="60"/>
        <v>2700000</v>
      </c>
      <c r="Q264" s="6">
        <f>Q263-H264</f>
        <v>6859318</v>
      </c>
      <c r="R264" s="4">
        <f t="shared" ca="1" si="52"/>
        <v>-1303</v>
      </c>
      <c r="S264" s="6"/>
      <c r="T264" s="5"/>
      <c r="U264" s="30" t="str">
        <f t="shared" si="57"/>
        <v>PENDIENTE</v>
      </c>
    </row>
    <row r="265" spans="1:21" x14ac:dyDescent="0.25">
      <c r="A265" s="4" t="str">
        <f t="shared" si="58"/>
        <v>20229</v>
      </c>
      <c r="B265" s="4" t="s">
        <v>34</v>
      </c>
      <c r="C265" s="4" t="s">
        <v>21</v>
      </c>
      <c r="D265" s="29" t="s">
        <v>35</v>
      </c>
      <c r="E265" s="28">
        <v>44818</v>
      </c>
      <c r="F265" s="4">
        <v>0</v>
      </c>
      <c r="G265" s="4">
        <v>36</v>
      </c>
      <c r="H265" s="6">
        <v>0</v>
      </c>
      <c r="I265" s="6">
        <v>0</v>
      </c>
      <c r="J265" s="6">
        <v>0</v>
      </c>
      <c r="K265" s="6">
        <v>0</v>
      </c>
      <c r="L265" s="6">
        <f t="shared" si="56"/>
        <v>0</v>
      </c>
      <c r="M265" s="7">
        <f>0.1517/12</f>
        <v>1.2641666666666667E-2</v>
      </c>
      <c r="N265" s="7">
        <v>0</v>
      </c>
      <c r="O265" s="7">
        <f t="shared" si="59"/>
        <v>-1</v>
      </c>
      <c r="P265" s="6">
        <f t="shared" si="60"/>
        <v>0</v>
      </c>
      <c r="Q265" s="6">
        <v>250000000</v>
      </c>
      <c r="R265" s="4">
        <f t="shared" ca="1" si="52"/>
        <v>-1334</v>
      </c>
      <c r="S265" s="6"/>
      <c r="T265" s="5"/>
      <c r="U265" s="30" t="str">
        <f t="shared" si="57"/>
        <v>PENDIENTE</v>
      </c>
    </row>
    <row r="266" spans="1:21" x14ac:dyDescent="0.25">
      <c r="A266" s="4" t="str">
        <f t="shared" si="58"/>
        <v>202210</v>
      </c>
      <c r="B266" s="4" t="s">
        <v>34</v>
      </c>
      <c r="C266" s="4" t="s">
        <v>21</v>
      </c>
      <c r="D266" s="29" t="s">
        <v>35</v>
      </c>
      <c r="E266" s="28">
        <v>44848</v>
      </c>
      <c r="F266" s="4">
        <v>1</v>
      </c>
      <c r="G266" s="4">
        <v>35</v>
      </c>
      <c r="H266" s="6">
        <v>0</v>
      </c>
      <c r="I266" s="6">
        <v>2960419</v>
      </c>
      <c r="J266" s="6">
        <v>0</v>
      </c>
      <c r="K266" s="6">
        <v>0</v>
      </c>
      <c r="L266" s="6">
        <f t="shared" si="56"/>
        <v>0</v>
      </c>
      <c r="M266" s="7">
        <f>0.1421/12</f>
        <v>1.1841666666666667E-2</v>
      </c>
      <c r="N266" s="7">
        <f>I266/Q265</f>
        <v>1.1841676000000001E-2</v>
      </c>
      <c r="O266" s="7">
        <f t="shared" si="59"/>
        <v>7.8817733983882476E-7</v>
      </c>
      <c r="P266" s="6">
        <f t="shared" si="60"/>
        <v>2960419</v>
      </c>
      <c r="Q266" s="6">
        <f>Q265-H266</f>
        <v>250000000</v>
      </c>
      <c r="R266" s="4" t="s">
        <v>27</v>
      </c>
      <c r="S266" s="6">
        <v>2960419</v>
      </c>
      <c r="T266" s="5">
        <v>44848</v>
      </c>
      <c r="U266" s="30" t="str">
        <f t="shared" si="57"/>
        <v>PAGADO</v>
      </c>
    </row>
    <row r="267" spans="1:21" x14ac:dyDescent="0.25">
      <c r="A267" s="4" t="str">
        <f t="shared" si="58"/>
        <v>202211</v>
      </c>
      <c r="B267" s="4" t="s">
        <v>34</v>
      </c>
      <c r="C267" s="4" t="s">
        <v>21</v>
      </c>
      <c r="D267" s="29" t="s">
        <v>35</v>
      </c>
      <c r="E267" s="28">
        <v>44879</v>
      </c>
      <c r="F267" s="4">
        <v>2</v>
      </c>
      <c r="G267" s="4">
        <v>34</v>
      </c>
      <c r="H267" s="6">
        <v>0</v>
      </c>
      <c r="I267" s="6">
        <v>2940769</v>
      </c>
      <c r="J267" s="6">
        <v>177292</v>
      </c>
      <c r="K267" s="6">
        <v>0</v>
      </c>
      <c r="L267" s="6">
        <f t="shared" si="56"/>
        <v>0</v>
      </c>
      <c r="M267" s="7">
        <f t="shared" ref="M267:M301" si="61">0.1421/12</f>
        <v>1.1841666666666667E-2</v>
      </c>
      <c r="N267" s="7">
        <f t="shared" ref="N267:N301" si="62">I267/Q266</f>
        <v>1.1763076000000001E-2</v>
      </c>
      <c r="O267" s="7">
        <f t="shared" si="59"/>
        <v>-6.6367909922588897E-3</v>
      </c>
      <c r="P267" s="6">
        <f t="shared" si="60"/>
        <v>3118061</v>
      </c>
      <c r="Q267" s="6">
        <f t="shared" ref="Q267:Q301" si="63">Q266-H267</f>
        <v>250000000</v>
      </c>
      <c r="R267" s="4" t="str">
        <f t="shared" ref="R267:R301" ca="1" si="64">IF(T266="",TODAY()-E266,IF(T267="",TODAY()-E267,"OK"))</f>
        <v>OK</v>
      </c>
      <c r="S267" s="6">
        <v>3140000</v>
      </c>
      <c r="T267" s="5">
        <v>44880</v>
      </c>
      <c r="U267" s="30" t="str">
        <f t="shared" si="57"/>
        <v>PAGADO</v>
      </c>
    </row>
    <row r="268" spans="1:21" x14ac:dyDescent="0.25">
      <c r="A268" s="4" t="str">
        <f t="shared" si="58"/>
        <v>202212</v>
      </c>
      <c r="B268" s="4" t="s">
        <v>34</v>
      </c>
      <c r="C268" s="4" t="s">
        <v>21</v>
      </c>
      <c r="D268" s="29" t="s">
        <v>35</v>
      </c>
      <c r="E268" s="28">
        <v>44909</v>
      </c>
      <c r="F268" s="4">
        <v>3</v>
      </c>
      <c r="G268" s="4">
        <v>33</v>
      </c>
      <c r="H268" s="6">
        <v>0</v>
      </c>
      <c r="I268" s="6">
        <v>3258113</v>
      </c>
      <c r="J268" s="6">
        <v>177292</v>
      </c>
      <c r="K268" s="6">
        <v>0</v>
      </c>
      <c r="L268" s="6">
        <f t="shared" si="56"/>
        <v>0</v>
      </c>
      <c r="M268" s="7">
        <f t="shared" si="61"/>
        <v>1.1841666666666667E-2</v>
      </c>
      <c r="N268" s="7">
        <f t="shared" si="62"/>
        <v>1.3032452E-2</v>
      </c>
      <c r="O268" s="7">
        <f t="shared" si="59"/>
        <v>0.10055893033075303</v>
      </c>
      <c r="P268" s="6">
        <f t="shared" si="60"/>
        <v>3435405</v>
      </c>
      <c r="Q268" s="6">
        <f t="shared" si="63"/>
        <v>250000000</v>
      </c>
      <c r="R268" s="4" t="str">
        <f t="shared" ca="1" si="64"/>
        <v>OK</v>
      </c>
      <c r="S268" s="6">
        <v>3500000</v>
      </c>
      <c r="T268" s="5">
        <v>44910</v>
      </c>
      <c r="U268" s="30" t="str">
        <f t="shared" si="57"/>
        <v>PAGADO</v>
      </c>
    </row>
    <row r="269" spans="1:21" x14ac:dyDescent="0.25">
      <c r="A269" s="4" t="str">
        <f t="shared" si="58"/>
        <v>20231</v>
      </c>
      <c r="B269" s="4" t="s">
        <v>34</v>
      </c>
      <c r="C269" s="4" t="s">
        <v>21</v>
      </c>
      <c r="D269" s="29" t="s">
        <v>35</v>
      </c>
      <c r="E269" s="28">
        <v>44940</v>
      </c>
      <c r="F269" s="4">
        <v>4</v>
      </c>
      <c r="G269" s="4">
        <v>32</v>
      </c>
      <c r="H269" s="6">
        <v>7575758</v>
      </c>
      <c r="I269" s="6">
        <v>3328363</v>
      </c>
      <c r="J269" s="6">
        <v>0</v>
      </c>
      <c r="K269" s="6">
        <v>90758</v>
      </c>
      <c r="L269" s="6">
        <f t="shared" si="56"/>
        <v>0</v>
      </c>
      <c r="M269" s="7">
        <f t="shared" si="61"/>
        <v>1.1841666666666667E-2</v>
      </c>
      <c r="N269" s="7">
        <f t="shared" si="62"/>
        <v>1.3313452E-2</v>
      </c>
      <c r="O269" s="7">
        <f t="shared" si="59"/>
        <v>0.1242886980999296</v>
      </c>
      <c r="P269" s="6">
        <f t="shared" si="60"/>
        <v>10994879</v>
      </c>
      <c r="Q269" s="6">
        <f t="shared" si="63"/>
        <v>242424242</v>
      </c>
      <c r="R269" s="4" t="str">
        <f t="shared" ca="1" si="64"/>
        <v>OK</v>
      </c>
      <c r="S269" s="6">
        <v>11300000</v>
      </c>
      <c r="T269" s="5">
        <v>44963</v>
      </c>
      <c r="U269" s="30" t="str">
        <f t="shared" si="57"/>
        <v>PAGADO</v>
      </c>
    </row>
    <row r="270" spans="1:21" x14ac:dyDescent="0.25">
      <c r="A270" s="4" t="str">
        <f t="shared" si="58"/>
        <v>20232</v>
      </c>
      <c r="B270" s="4" t="s">
        <v>34</v>
      </c>
      <c r="C270" s="4" t="s">
        <v>21</v>
      </c>
      <c r="D270" s="29" t="s">
        <v>35</v>
      </c>
      <c r="E270" s="28">
        <v>44971</v>
      </c>
      <c r="F270" s="4">
        <v>5</v>
      </c>
      <c r="G270" s="4">
        <v>31</v>
      </c>
      <c r="H270" s="6">
        <v>7575758</v>
      </c>
      <c r="I270" s="6">
        <v>3353299</v>
      </c>
      <c r="J270" s="6">
        <v>0</v>
      </c>
      <c r="K270" s="6">
        <v>47986</v>
      </c>
      <c r="L270" s="6">
        <f t="shared" si="56"/>
        <v>0</v>
      </c>
      <c r="M270" s="7">
        <f t="shared" si="61"/>
        <v>1.1841666666666667E-2</v>
      </c>
      <c r="N270" s="7">
        <f t="shared" si="62"/>
        <v>1.3832358399206627E-2</v>
      </c>
      <c r="O270" s="7">
        <f t="shared" si="59"/>
        <v>0.16810908367684396</v>
      </c>
      <c r="P270" s="6">
        <f t="shared" si="60"/>
        <v>10977043</v>
      </c>
      <c r="Q270" s="6">
        <f t="shared" si="63"/>
        <v>234848484</v>
      </c>
      <c r="R270" s="4" t="str">
        <f t="shared" ca="1" si="64"/>
        <v>OK</v>
      </c>
      <c r="S270" s="6">
        <v>11180000</v>
      </c>
      <c r="T270" s="5">
        <v>44995</v>
      </c>
      <c r="U270" s="30" t="str">
        <f t="shared" si="57"/>
        <v>PAGADO</v>
      </c>
    </row>
    <row r="271" spans="1:21" x14ac:dyDescent="0.25">
      <c r="A271" s="4" t="str">
        <f t="shared" si="58"/>
        <v>20233</v>
      </c>
      <c r="B271" s="4" t="s">
        <v>34</v>
      </c>
      <c r="C271" s="4" t="s">
        <v>21</v>
      </c>
      <c r="D271" s="29" t="s">
        <v>35</v>
      </c>
      <c r="E271" s="28">
        <v>44999</v>
      </c>
      <c r="F271" s="4">
        <v>6</v>
      </c>
      <c r="G271" s="4">
        <v>30</v>
      </c>
      <c r="H271" s="6">
        <v>7575758</v>
      </c>
      <c r="I271" s="6">
        <v>3430737</v>
      </c>
      <c r="J271" s="6">
        <v>0</v>
      </c>
      <c r="K271" s="6">
        <v>151110</v>
      </c>
      <c r="L271" s="6">
        <f t="shared" si="56"/>
        <v>0</v>
      </c>
      <c r="M271" s="7">
        <f t="shared" si="61"/>
        <v>1.1841666666666667E-2</v>
      </c>
      <c r="N271" s="7">
        <f t="shared" si="62"/>
        <v>1.4608299536649339E-2</v>
      </c>
      <c r="O271" s="7">
        <f t="shared" si="59"/>
        <v>0.23363542885145727</v>
      </c>
      <c r="P271" s="6">
        <f t="shared" si="60"/>
        <v>11157605</v>
      </c>
      <c r="Q271" s="6">
        <f t="shared" si="63"/>
        <v>227272726</v>
      </c>
      <c r="R271" s="4" t="str">
        <f t="shared" ca="1" si="64"/>
        <v>OK</v>
      </c>
      <c r="S271" s="6">
        <v>11300000</v>
      </c>
      <c r="T271" s="5">
        <v>45016</v>
      </c>
      <c r="U271" s="30" t="str">
        <f t="shared" si="57"/>
        <v>PAGADO</v>
      </c>
    </row>
    <row r="272" spans="1:21" x14ac:dyDescent="0.25">
      <c r="A272" s="4" t="str">
        <f t="shared" si="58"/>
        <v>20234</v>
      </c>
      <c r="B272" s="4" t="s">
        <v>34</v>
      </c>
      <c r="C272" s="4" t="s">
        <v>21</v>
      </c>
      <c r="D272" s="29" t="s">
        <v>35</v>
      </c>
      <c r="E272" s="28">
        <v>45030</v>
      </c>
      <c r="F272" s="4">
        <v>7</v>
      </c>
      <c r="G272" s="4">
        <v>29</v>
      </c>
      <c r="H272" s="6">
        <v>7575758</v>
      </c>
      <c r="I272" s="6">
        <v>2793820</v>
      </c>
      <c r="J272" s="6">
        <v>0</v>
      </c>
      <c r="K272" s="6">
        <v>155802</v>
      </c>
      <c r="L272" s="6">
        <f t="shared" si="56"/>
        <v>0</v>
      </c>
      <c r="M272" s="7">
        <f t="shared" si="61"/>
        <v>1.1841666666666667E-2</v>
      </c>
      <c r="N272" s="7">
        <f t="shared" si="62"/>
        <v>1.2292808068839724E-2</v>
      </c>
      <c r="O272" s="7">
        <f t="shared" si="59"/>
        <v>3.8097796101876691E-2</v>
      </c>
      <c r="P272" s="6">
        <f t="shared" si="60"/>
        <v>10525380</v>
      </c>
      <c r="Q272" s="6">
        <f t="shared" si="63"/>
        <v>219696968</v>
      </c>
      <c r="R272" s="4" t="str">
        <f t="shared" ca="1" si="64"/>
        <v>OK</v>
      </c>
      <c r="S272" s="6">
        <v>11000000</v>
      </c>
      <c r="T272" s="5">
        <v>45044</v>
      </c>
      <c r="U272" s="30" t="str">
        <f t="shared" si="57"/>
        <v>PAGADO</v>
      </c>
    </row>
    <row r="273" spans="1:21" x14ac:dyDescent="0.25">
      <c r="A273" s="4" t="str">
        <f t="shared" si="58"/>
        <v>20235</v>
      </c>
      <c r="B273" s="4" t="s">
        <v>34</v>
      </c>
      <c r="C273" s="4" t="s">
        <v>21</v>
      </c>
      <c r="D273" s="29" t="s">
        <v>35</v>
      </c>
      <c r="E273" s="28">
        <v>45060</v>
      </c>
      <c r="F273" s="4">
        <v>8</v>
      </c>
      <c r="G273" s="4">
        <v>28</v>
      </c>
      <c r="H273" s="6">
        <v>7575758</v>
      </c>
      <c r="I273" s="6">
        <v>2716080</v>
      </c>
      <c r="J273" s="6">
        <v>0</v>
      </c>
      <c r="K273" s="6">
        <v>150429</v>
      </c>
      <c r="L273" s="6">
        <f t="shared" si="56"/>
        <v>0</v>
      </c>
      <c r="M273" s="7">
        <f t="shared" si="61"/>
        <v>1.1841666666666667E-2</v>
      </c>
      <c r="N273" s="7">
        <f t="shared" si="62"/>
        <v>1.236284699204406E-2</v>
      </c>
      <c r="O273" s="7">
        <f t="shared" si="59"/>
        <v>4.4012413121243599E-2</v>
      </c>
      <c r="P273" s="6">
        <f t="shared" si="60"/>
        <v>10442267</v>
      </c>
      <c r="Q273" s="6">
        <f t="shared" si="63"/>
        <v>212121210</v>
      </c>
      <c r="R273" s="4" t="str">
        <f t="shared" ca="1" si="64"/>
        <v>OK</v>
      </c>
      <c r="S273" s="6">
        <v>11000000</v>
      </c>
      <c r="T273" s="5">
        <v>45084</v>
      </c>
      <c r="U273" s="30" t="str">
        <f t="shared" si="57"/>
        <v>PAGADO</v>
      </c>
    </row>
    <row r="274" spans="1:21" x14ac:dyDescent="0.25">
      <c r="A274" s="4" t="str">
        <f t="shared" si="58"/>
        <v>20236</v>
      </c>
      <c r="B274" s="4" t="s">
        <v>34</v>
      </c>
      <c r="C274" s="4" t="s">
        <v>21</v>
      </c>
      <c r="D274" s="29" t="s">
        <v>35</v>
      </c>
      <c r="E274" s="28">
        <v>45091</v>
      </c>
      <c r="F274" s="4">
        <v>9</v>
      </c>
      <c r="G274" s="4">
        <v>27</v>
      </c>
      <c r="H274" s="6">
        <v>7575758</v>
      </c>
      <c r="I274" s="6">
        <v>2437806.4727443038</v>
      </c>
      <c r="J274" s="6">
        <v>150429.57875047834</v>
      </c>
      <c r="K274" s="6">
        <v>0</v>
      </c>
      <c r="L274" s="6">
        <f t="shared" si="56"/>
        <v>0</v>
      </c>
      <c r="M274" s="7">
        <f t="shared" si="61"/>
        <v>1.1841666666666667E-2</v>
      </c>
      <c r="N274" s="7">
        <f t="shared" si="62"/>
        <v>1.1492516343576882E-2</v>
      </c>
      <c r="O274" s="7">
        <f t="shared" si="59"/>
        <v>-2.9484897094140927E-2</v>
      </c>
      <c r="P274" s="6">
        <f t="shared" si="60"/>
        <v>10163994.051494783</v>
      </c>
      <c r="Q274" s="6">
        <f t="shared" si="63"/>
        <v>204545452</v>
      </c>
      <c r="R274" s="4" t="str">
        <f t="shared" ca="1" si="64"/>
        <v>OK</v>
      </c>
      <c r="S274" s="6">
        <f>3900000+5400000+2200000</f>
        <v>11500000</v>
      </c>
      <c r="T274" s="5">
        <v>45119</v>
      </c>
      <c r="U274" s="30" t="str">
        <f t="shared" si="57"/>
        <v>PAGADO</v>
      </c>
    </row>
    <row r="275" spans="1:21" x14ac:dyDescent="0.25">
      <c r="A275" s="4" t="str">
        <f t="shared" si="58"/>
        <v>20237</v>
      </c>
      <c r="B275" s="4" t="s">
        <v>34</v>
      </c>
      <c r="C275" s="4" t="s">
        <v>21</v>
      </c>
      <c r="D275" s="29" t="s">
        <v>35</v>
      </c>
      <c r="E275" s="28">
        <v>45121</v>
      </c>
      <c r="F275" s="4">
        <v>10</v>
      </c>
      <c r="G275" s="4">
        <v>26</v>
      </c>
      <c r="H275" s="6">
        <v>7575758</v>
      </c>
      <c r="I275" s="6">
        <v>2350741.9636590718</v>
      </c>
      <c r="J275" s="6">
        <v>145057.09427632528</v>
      </c>
      <c r="K275" s="6">
        <v>0</v>
      </c>
      <c r="L275" s="6">
        <f t="shared" si="56"/>
        <v>0</v>
      </c>
      <c r="M275" s="7">
        <f t="shared" si="61"/>
        <v>1.1841666666666667E-2</v>
      </c>
      <c r="N275" s="7">
        <f t="shared" si="62"/>
        <v>1.1492516409795666E-2</v>
      </c>
      <c r="O275" s="7">
        <f t="shared" si="59"/>
        <v>-2.948489150212541E-2</v>
      </c>
      <c r="P275" s="6">
        <f t="shared" si="60"/>
        <v>10071557.057935398</v>
      </c>
      <c r="Q275" s="6">
        <f t="shared" si="63"/>
        <v>196969694</v>
      </c>
      <c r="R275" s="4" t="str">
        <f t="shared" ca="1" si="64"/>
        <v>OK</v>
      </c>
      <c r="S275" s="6">
        <v>10500000</v>
      </c>
      <c r="T275" s="5">
        <v>45128</v>
      </c>
      <c r="U275" s="30" t="str">
        <f t="shared" si="57"/>
        <v>PAGADO</v>
      </c>
    </row>
    <row r="276" spans="1:21" x14ac:dyDescent="0.25">
      <c r="A276" s="4" t="str">
        <f t="shared" si="58"/>
        <v>20238</v>
      </c>
      <c r="B276" s="4" t="s">
        <v>34</v>
      </c>
      <c r="C276" s="4" t="s">
        <v>21</v>
      </c>
      <c r="D276" s="29" t="s">
        <v>35</v>
      </c>
      <c r="E276" s="28">
        <v>45152</v>
      </c>
      <c r="F276" s="4">
        <v>11</v>
      </c>
      <c r="G276" s="4">
        <v>25</v>
      </c>
      <c r="H276" s="6">
        <v>7575758</v>
      </c>
      <c r="I276" s="6">
        <v>2263677.4545738394</v>
      </c>
      <c r="J276" s="6">
        <v>139684.60980217217</v>
      </c>
      <c r="K276" s="6">
        <v>0</v>
      </c>
      <c r="L276" s="6">
        <f t="shared" si="56"/>
        <v>0</v>
      </c>
      <c r="M276" s="7">
        <f t="shared" si="61"/>
        <v>1.1841666666666667E-2</v>
      </c>
      <c r="N276" s="7">
        <f t="shared" si="62"/>
        <v>1.1492516481108203E-2</v>
      </c>
      <c r="O276" s="7">
        <f t="shared" si="59"/>
        <v>-2.9484885479954759E-2</v>
      </c>
      <c r="P276" s="6">
        <f t="shared" si="60"/>
        <v>9979120.0643760115</v>
      </c>
      <c r="Q276" s="6">
        <f t="shared" si="63"/>
        <v>189393936</v>
      </c>
      <c r="R276" s="4" t="str">
        <f t="shared" ca="1" si="64"/>
        <v>OK</v>
      </c>
      <c r="S276" s="6">
        <f>6000000+4000000</f>
        <v>10000000</v>
      </c>
      <c r="T276" s="5">
        <v>45181</v>
      </c>
      <c r="U276" s="30" t="str">
        <f t="shared" si="57"/>
        <v>PAGADO</v>
      </c>
    </row>
    <row r="277" spans="1:21" x14ac:dyDescent="0.25">
      <c r="A277" s="4" t="str">
        <f t="shared" si="58"/>
        <v>20239</v>
      </c>
      <c r="B277" s="4" t="s">
        <v>34</v>
      </c>
      <c r="C277" s="4" t="s">
        <v>21</v>
      </c>
      <c r="D277" s="29" t="s">
        <v>35</v>
      </c>
      <c r="E277" s="28">
        <v>45183</v>
      </c>
      <c r="F277" s="4">
        <v>12</v>
      </c>
      <c r="G277" s="4">
        <v>24</v>
      </c>
      <c r="H277" s="6">
        <v>7575758</v>
      </c>
      <c r="I277" s="6">
        <v>2176612.9454886075</v>
      </c>
      <c r="J277" s="6">
        <v>134312.12532801912</v>
      </c>
      <c r="K277" s="6">
        <v>0</v>
      </c>
      <c r="L277" s="6">
        <f t="shared" ref="L277:L339" si="65">IF(S276="",0,IF(S276&lt;=P276,P276-S276,0))</f>
        <v>0</v>
      </c>
      <c r="M277" s="7">
        <f t="shared" si="61"/>
        <v>1.1841666666666667E-2</v>
      </c>
      <c r="N277" s="7">
        <f t="shared" si="62"/>
        <v>1.1492516558125745E-2</v>
      </c>
      <c r="O277" s="7">
        <f t="shared" si="59"/>
        <v>-2.9484878976010376E-2</v>
      </c>
      <c r="P277" s="6">
        <f t="shared" si="60"/>
        <v>9886683.0708166268</v>
      </c>
      <c r="Q277" s="6">
        <f t="shared" si="63"/>
        <v>181818178</v>
      </c>
      <c r="R277" s="4" t="str">
        <f t="shared" ca="1" si="64"/>
        <v>OK</v>
      </c>
      <c r="S277" s="6">
        <v>10102336</v>
      </c>
      <c r="T277" s="5">
        <v>45213</v>
      </c>
      <c r="U277" s="30" t="str">
        <f t="shared" si="57"/>
        <v>PAGADO</v>
      </c>
    </row>
    <row r="278" spans="1:21" x14ac:dyDescent="0.25">
      <c r="A278" s="4" t="str">
        <f t="shared" si="58"/>
        <v>202310</v>
      </c>
      <c r="B278" s="4" t="s">
        <v>34</v>
      </c>
      <c r="C278" s="4" t="s">
        <v>21</v>
      </c>
      <c r="D278" s="29" t="s">
        <v>35</v>
      </c>
      <c r="E278" s="28">
        <v>45213</v>
      </c>
      <c r="F278" s="4">
        <v>13</v>
      </c>
      <c r="G278" s="4">
        <v>23</v>
      </c>
      <c r="H278" s="6">
        <v>7575758</v>
      </c>
      <c r="I278" s="6">
        <v>2459058</v>
      </c>
      <c r="J278" s="6">
        <v>128939.64085386602</v>
      </c>
      <c r="K278" s="6">
        <v>0</v>
      </c>
      <c r="L278" s="6">
        <f t="shared" si="65"/>
        <v>0</v>
      </c>
      <c r="M278" s="7">
        <f t="shared" si="61"/>
        <v>1.1841666666666667E-2</v>
      </c>
      <c r="N278" s="7">
        <f t="shared" si="62"/>
        <v>1.3524819284021205E-2</v>
      </c>
      <c r="O278" s="7">
        <f t="shared" si="59"/>
        <v>0.14213815206371883</v>
      </c>
      <c r="P278" s="6">
        <f t="shared" si="60"/>
        <v>10163755.640853867</v>
      </c>
      <c r="Q278" s="6">
        <f t="shared" si="63"/>
        <v>174242420</v>
      </c>
      <c r="R278" s="4" t="str">
        <f t="shared" ca="1" si="64"/>
        <v>OK</v>
      </c>
      <c r="S278" s="6">
        <v>10600000</v>
      </c>
      <c r="T278" s="5">
        <v>45244</v>
      </c>
      <c r="U278" s="30" t="str">
        <f t="shared" si="57"/>
        <v>PAGADO</v>
      </c>
    </row>
    <row r="279" spans="1:21" x14ac:dyDescent="0.25">
      <c r="A279" s="4" t="str">
        <f t="shared" si="58"/>
        <v>202311</v>
      </c>
      <c r="B279" s="4" t="s">
        <v>34</v>
      </c>
      <c r="C279" s="4" t="s">
        <v>21</v>
      </c>
      <c r="D279" s="29" t="s">
        <v>35</v>
      </c>
      <c r="E279" s="28">
        <v>45244</v>
      </c>
      <c r="F279" s="4">
        <v>14</v>
      </c>
      <c r="G279" s="4">
        <v>22</v>
      </c>
      <c r="H279" s="6">
        <v>7575758</v>
      </c>
      <c r="I279" s="6">
        <v>2283042</v>
      </c>
      <c r="J279" s="6">
        <v>139414</v>
      </c>
      <c r="K279" s="6">
        <v>10142045</v>
      </c>
      <c r="L279" s="6">
        <f t="shared" si="65"/>
        <v>0</v>
      </c>
      <c r="M279" s="7">
        <f t="shared" si="61"/>
        <v>1.1841666666666667E-2</v>
      </c>
      <c r="N279" s="7">
        <f t="shared" si="62"/>
        <v>1.3102676145108636E-2</v>
      </c>
      <c r="O279" s="7">
        <f t="shared" si="59"/>
        <v>0.10648918889024372</v>
      </c>
      <c r="P279" s="6">
        <f t="shared" si="60"/>
        <v>20140259</v>
      </c>
      <c r="Q279" s="6">
        <f t="shared" si="63"/>
        <v>166666662</v>
      </c>
      <c r="R279" s="4" t="str">
        <f t="shared" ca="1" si="64"/>
        <v>OK</v>
      </c>
      <c r="S279" s="6">
        <f>10140259+10200000</f>
        <v>20340259</v>
      </c>
      <c r="T279" s="5">
        <v>45275</v>
      </c>
      <c r="U279" s="30" t="str">
        <f t="shared" si="57"/>
        <v>PAGADO</v>
      </c>
    </row>
    <row r="280" spans="1:21" x14ac:dyDescent="0.25">
      <c r="A280" s="4" t="str">
        <f t="shared" si="58"/>
        <v>202312</v>
      </c>
      <c r="B280" s="4" t="s">
        <v>34</v>
      </c>
      <c r="C280" s="4" t="s">
        <v>21</v>
      </c>
      <c r="D280" s="29" t="s">
        <v>35</v>
      </c>
      <c r="E280" s="28">
        <v>45274</v>
      </c>
      <c r="F280" s="4">
        <v>15</v>
      </c>
      <c r="G280" s="4">
        <v>21</v>
      </c>
      <c r="H280" s="6">
        <v>7575758</v>
      </c>
      <c r="I280" s="6">
        <v>1915419.4182329113</v>
      </c>
      <c r="J280" s="6">
        <v>118194.67190555987</v>
      </c>
      <c r="K280" s="6">
        <v>0</v>
      </c>
      <c r="L280" s="6">
        <f t="shared" si="65"/>
        <v>0</v>
      </c>
      <c r="M280" s="7">
        <f t="shared" si="61"/>
        <v>1.1841666666666667E-2</v>
      </c>
      <c r="N280" s="7">
        <f t="shared" si="62"/>
        <v>1.1492516831187939E-2</v>
      </c>
      <c r="O280" s="7">
        <f t="shared" si="59"/>
        <v>-2.9484855916571018E-2</v>
      </c>
      <c r="P280" s="6">
        <f t="shared" si="60"/>
        <v>9609372.0901384708</v>
      </c>
      <c r="Q280" s="6">
        <f t="shared" si="63"/>
        <v>159090904</v>
      </c>
      <c r="R280" s="4" t="str">
        <f t="shared" ca="1" si="64"/>
        <v>OK</v>
      </c>
      <c r="S280" s="6">
        <v>10000000</v>
      </c>
      <c r="T280" s="5">
        <v>45309</v>
      </c>
      <c r="U280" s="30" t="str">
        <f t="shared" si="57"/>
        <v>PAGADO</v>
      </c>
    </row>
    <row r="281" spans="1:21" x14ac:dyDescent="0.25">
      <c r="A281" s="4" t="str">
        <f t="shared" si="58"/>
        <v>20241</v>
      </c>
      <c r="B281" s="4" t="s">
        <v>34</v>
      </c>
      <c r="C281" s="4" t="s">
        <v>21</v>
      </c>
      <c r="D281" s="29" t="s">
        <v>35</v>
      </c>
      <c r="E281" s="28">
        <v>45305</v>
      </c>
      <c r="F281" s="4">
        <v>16</v>
      </c>
      <c r="G281" s="4">
        <v>20</v>
      </c>
      <c r="H281" s="6">
        <v>7575758</v>
      </c>
      <c r="I281" s="6">
        <v>1828354.9091476791</v>
      </c>
      <c r="J281" s="6">
        <v>112822.18743140677</v>
      </c>
      <c r="K281" s="6">
        <v>0</v>
      </c>
      <c r="L281" s="6">
        <f t="shared" si="65"/>
        <v>0</v>
      </c>
      <c r="M281" s="7">
        <f t="shared" si="61"/>
        <v>1.1841666666666667E-2</v>
      </c>
      <c r="N281" s="7">
        <f t="shared" si="62"/>
        <v>1.1492516939545954E-2</v>
      </c>
      <c r="O281" s="7">
        <f t="shared" si="59"/>
        <v>-2.9484846765999606E-2</v>
      </c>
      <c r="P281" s="6">
        <f t="shared" si="60"/>
        <v>9516935.096579086</v>
      </c>
      <c r="Q281" s="6">
        <f t="shared" si="63"/>
        <v>151515146</v>
      </c>
      <c r="R281" s="4" t="str">
        <f t="shared" ca="1" si="64"/>
        <v>OK</v>
      </c>
      <c r="S281" s="6">
        <v>10500000</v>
      </c>
      <c r="T281" s="5">
        <v>45336</v>
      </c>
      <c r="U281" s="30" t="str">
        <f t="shared" si="57"/>
        <v>PAGADO</v>
      </c>
    </row>
    <row r="282" spans="1:21" x14ac:dyDescent="0.25">
      <c r="A282" s="4" t="str">
        <f t="shared" si="58"/>
        <v>20242</v>
      </c>
      <c r="B282" s="4" t="s">
        <v>34</v>
      </c>
      <c r="C282" s="4" t="s">
        <v>21</v>
      </c>
      <c r="D282" s="29" t="s">
        <v>35</v>
      </c>
      <c r="E282" s="28">
        <v>45336</v>
      </c>
      <c r="F282" s="4">
        <v>17</v>
      </c>
      <c r="G282" s="4">
        <v>19</v>
      </c>
      <c r="H282" s="6">
        <v>7575758</v>
      </c>
      <c r="I282" s="6">
        <v>1741290.4000624469</v>
      </c>
      <c r="J282" s="6">
        <v>107449.70295725368</v>
      </c>
      <c r="K282" s="6">
        <v>0</v>
      </c>
      <c r="L282" s="6">
        <f t="shared" si="65"/>
        <v>0</v>
      </c>
      <c r="M282" s="7">
        <f t="shared" si="61"/>
        <v>1.1841666666666667E-2</v>
      </c>
      <c r="N282" s="7">
        <f t="shared" si="62"/>
        <v>1.1492517058739771E-2</v>
      </c>
      <c r="O282" s="7">
        <f t="shared" si="59"/>
        <v>-2.9484836700371275E-2</v>
      </c>
      <c r="P282" s="6">
        <f t="shared" si="60"/>
        <v>9424498.1030197013</v>
      </c>
      <c r="Q282" s="6">
        <f t="shared" si="63"/>
        <v>143939388</v>
      </c>
      <c r="R282" s="4" t="str">
        <f t="shared" ca="1" si="64"/>
        <v>OK</v>
      </c>
      <c r="S282" s="6">
        <v>10200000</v>
      </c>
      <c r="T282" s="5">
        <v>45366</v>
      </c>
      <c r="U282" s="30" t="str">
        <f t="shared" si="57"/>
        <v>PAGADO</v>
      </c>
    </row>
    <row r="283" spans="1:21" x14ac:dyDescent="0.25">
      <c r="A283" s="4" t="str">
        <f t="shared" si="58"/>
        <v>20243</v>
      </c>
      <c r="B283" s="4" t="s">
        <v>34</v>
      </c>
      <c r="C283" s="4" t="s">
        <v>21</v>
      </c>
      <c r="D283" s="29" t="s">
        <v>35</v>
      </c>
      <c r="E283" s="28">
        <v>45365</v>
      </c>
      <c r="F283" s="4">
        <v>18</v>
      </c>
      <c r="G283" s="4">
        <v>18</v>
      </c>
      <c r="H283" s="6">
        <v>7575758</v>
      </c>
      <c r="I283" s="6">
        <v>1654225.890977215</v>
      </c>
      <c r="J283" s="6">
        <v>102077.21848310062</v>
      </c>
      <c r="K283" s="6">
        <v>0</v>
      </c>
      <c r="L283" s="6">
        <f t="shared" si="65"/>
        <v>0</v>
      </c>
      <c r="M283" s="7">
        <f t="shared" si="61"/>
        <v>1.1841666666666667E-2</v>
      </c>
      <c r="N283" s="7">
        <f t="shared" si="62"/>
        <v>1.1492517190480308E-2</v>
      </c>
      <c r="O283" s="7">
        <f t="shared" si="59"/>
        <v>-2.9484825575202711E-2</v>
      </c>
      <c r="P283" s="6">
        <f t="shared" si="60"/>
        <v>9332061.1094603147</v>
      </c>
      <c r="Q283" s="6">
        <f t="shared" si="63"/>
        <v>136363630</v>
      </c>
      <c r="R283" s="4" t="str">
        <f t="shared" ca="1" si="64"/>
        <v>OK</v>
      </c>
      <c r="S283" s="6">
        <v>9700000</v>
      </c>
      <c r="T283" s="5">
        <v>45399</v>
      </c>
      <c r="U283" s="30" t="str">
        <f t="shared" si="57"/>
        <v>PAGADO</v>
      </c>
    </row>
    <row r="284" spans="1:21" x14ac:dyDescent="0.25">
      <c r="A284" s="4" t="str">
        <f t="shared" si="58"/>
        <v>20244</v>
      </c>
      <c r="B284" s="4" t="s">
        <v>34</v>
      </c>
      <c r="C284" s="4" t="s">
        <v>21</v>
      </c>
      <c r="D284" s="29" t="s">
        <v>35</v>
      </c>
      <c r="E284" s="28">
        <v>45396</v>
      </c>
      <c r="F284" s="4">
        <v>19</v>
      </c>
      <c r="G284" s="4">
        <v>17</v>
      </c>
      <c r="H284" s="6">
        <v>7575758</v>
      </c>
      <c r="I284" s="6">
        <v>1567161.3818919829</v>
      </c>
      <c r="J284" s="6">
        <v>96704.734008947533</v>
      </c>
      <c r="K284" s="6">
        <v>0</v>
      </c>
      <c r="L284" s="6">
        <f t="shared" si="65"/>
        <v>0</v>
      </c>
      <c r="M284" s="7">
        <f t="shared" si="61"/>
        <v>1.1841666666666667E-2</v>
      </c>
      <c r="N284" s="7">
        <f t="shared" si="62"/>
        <v>1.1492517336858684E-2</v>
      </c>
      <c r="O284" s="7">
        <f t="shared" si="59"/>
        <v>-2.9484813213904282E-2</v>
      </c>
      <c r="P284" s="6">
        <f t="shared" si="60"/>
        <v>9239624.11590093</v>
      </c>
      <c r="Q284" s="6">
        <f t="shared" si="63"/>
        <v>128787872</v>
      </c>
      <c r="R284" s="4" t="str">
        <f t="shared" ca="1" si="64"/>
        <v>OK</v>
      </c>
      <c r="S284" s="6">
        <v>10500000</v>
      </c>
      <c r="T284" s="5">
        <v>45427</v>
      </c>
      <c r="U284" s="30" t="str">
        <f t="shared" si="57"/>
        <v>PAGADO</v>
      </c>
    </row>
    <row r="285" spans="1:21" x14ac:dyDescent="0.25">
      <c r="A285" s="4" t="str">
        <f t="shared" si="58"/>
        <v>20245</v>
      </c>
      <c r="B285" s="4" t="s">
        <v>34</v>
      </c>
      <c r="C285" s="4" t="s">
        <v>21</v>
      </c>
      <c r="D285" s="29" t="s">
        <v>35</v>
      </c>
      <c r="E285" s="28">
        <v>45426</v>
      </c>
      <c r="F285" s="4">
        <v>20</v>
      </c>
      <c r="G285" s="4">
        <v>16</v>
      </c>
      <c r="H285" s="6">
        <v>7575758</v>
      </c>
      <c r="I285" s="6">
        <v>1480096.8728067507</v>
      </c>
      <c r="J285" s="6">
        <v>91332.24953479445</v>
      </c>
      <c r="K285" s="6">
        <v>0</v>
      </c>
      <c r="L285" s="6">
        <f t="shared" si="65"/>
        <v>0</v>
      </c>
      <c r="M285" s="7">
        <f t="shared" si="61"/>
        <v>1.1841666666666667E-2</v>
      </c>
      <c r="N285" s="7">
        <f t="shared" si="62"/>
        <v>1.1492517500458046E-2</v>
      </c>
      <c r="O285" s="7">
        <f t="shared" si="59"/>
        <v>-2.9484799398335371E-2</v>
      </c>
      <c r="P285" s="6">
        <f t="shared" si="60"/>
        <v>9147187.1223415453</v>
      </c>
      <c r="Q285" s="6">
        <f t="shared" si="63"/>
        <v>121212114</v>
      </c>
      <c r="R285" s="4" t="str">
        <f t="shared" ca="1" si="64"/>
        <v>OK</v>
      </c>
      <c r="S285" s="6">
        <v>7230000</v>
      </c>
      <c r="T285" s="5">
        <v>45454</v>
      </c>
      <c r="U285" s="30" t="str">
        <f t="shared" si="57"/>
        <v>PAGADO</v>
      </c>
    </row>
    <row r="286" spans="1:21" x14ac:dyDescent="0.25">
      <c r="A286" s="4" t="str">
        <f t="shared" si="58"/>
        <v>20246</v>
      </c>
      <c r="B286" s="4" t="s">
        <v>34</v>
      </c>
      <c r="C286" s="4" t="s">
        <v>21</v>
      </c>
      <c r="D286" s="29" t="s">
        <v>35</v>
      </c>
      <c r="E286" s="28">
        <v>45457</v>
      </c>
      <c r="F286" s="4">
        <v>21</v>
      </c>
      <c r="G286" s="4">
        <v>15</v>
      </c>
      <c r="H286" s="6">
        <v>7575758</v>
      </c>
      <c r="I286" s="6">
        <v>1393032.3637215188</v>
      </c>
      <c r="J286" s="6">
        <v>85959.765060641381</v>
      </c>
      <c r="K286" s="6">
        <v>0</v>
      </c>
      <c r="L286" s="6">
        <f t="shared" si="65"/>
        <v>1917187.1223415453</v>
      </c>
      <c r="M286" s="7">
        <f t="shared" si="61"/>
        <v>1.1841666666666667E-2</v>
      </c>
      <c r="N286" s="7">
        <f t="shared" si="62"/>
        <v>1.1492517684507332E-2</v>
      </c>
      <c r="O286" s="7">
        <f t="shared" si="59"/>
        <v>-2.9484783855819985E-2</v>
      </c>
      <c r="P286" s="6">
        <f t="shared" si="60"/>
        <v>10971937.251123706</v>
      </c>
      <c r="Q286" s="6">
        <f t="shared" si="63"/>
        <v>113636356</v>
      </c>
      <c r="R286" s="4" t="str">
        <f t="shared" ca="1" si="64"/>
        <v>OK</v>
      </c>
      <c r="S286" s="6">
        <f>3061499+2938501</f>
        <v>6000000</v>
      </c>
      <c r="T286" s="5">
        <v>45467</v>
      </c>
      <c r="U286" s="30" t="str">
        <f t="shared" si="57"/>
        <v>PAGADO</v>
      </c>
    </row>
    <row r="287" spans="1:21" x14ac:dyDescent="0.25">
      <c r="A287" s="4" t="str">
        <f t="shared" si="58"/>
        <v>20247</v>
      </c>
      <c r="B287" s="4" t="s">
        <v>34</v>
      </c>
      <c r="C287" s="4" t="s">
        <v>21</v>
      </c>
      <c r="D287" s="29" t="s">
        <v>35</v>
      </c>
      <c r="E287" s="28">
        <v>45487</v>
      </c>
      <c r="F287" s="4">
        <v>22</v>
      </c>
      <c r="G287" s="4">
        <v>14</v>
      </c>
      <c r="H287" s="6">
        <v>7575758</v>
      </c>
      <c r="I287" s="6">
        <v>1305967.8546362866</v>
      </c>
      <c r="J287" s="6">
        <v>80587.280586488298</v>
      </c>
      <c r="K287" s="6">
        <v>0</v>
      </c>
      <c r="L287" s="6">
        <f t="shared" si="65"/>
        <v>4971937.2511237059</v>
      </c>
      <c r="M287" s="7">
        <f t="shared" si="61"/>
        <v>1.1841666666666667E-2</v>
      </c>
      <c r="N287" s="7">
        <f t="shared" si="62"/>
        <v>1.1492517893096525E-2</v>
      </c>
      <c r="O287" s="7">
        <f t="shared" si="59"/>
        <v>-2.9484766240969074E-2</v>
      </c>
      <c r="P287" s="6">
        <f t="shared" si="60"/>
        <v>13934250.386346482</v>
      </c>
      <c r="Q287" s="6">
        <f t="shared" si="63"/>
        <v>106060598</v>
      </c>
      <c r="R287" s="4" t="str">
        <f t="shared" ca="1" si="64"/>
        <v>OK</v>
      </c>
      <c r="S287" s="6">
        <v>12156820</v>
      </c>
      <c r="T287" s="5">
        <v>45514</v>
      </c>
      <c r="U287" s="30" t="str">
        <f t="shared" si="57"/>
        <v>PAGADO</v>
      </c>
    </row>
    <row r="288" spans="1:21" x14ac:dyDescent="0.25">
      <c r="A288" s="4" t="str">
        <f t="shared" si="58"/>
        <v>20248</v>
      </c>
      <c r="B288" s="4" t="s">
        <v>34</v>
      </c>
      <c r="C288" s="4" t="s">
        <v>21</v>
      </c>
      <c r="D288" s="29" t="s">
        <v>35</v>
      </c>
      <c r="E288" s="28">
        <v>45518</v>
      </c>
      <c r="F288" s="4">
        <v>23</v>
      </c>
      <c r="G288" s="4">
        <v>13</v>
      </c>
      <c r="H288" s="6">
        <v>7575758</v>
      </c>
      <c r="I288" s="6">
        <v>1218903.3455510545</v>
      </c>
      <c r="J288" s="6">
        <v>75214.796112335214</v>
      </c>
      <c r="K288" s="6">
        <v>0</v>
      </c>
      <c r="L288" s="6">
        <v>0</v>
      </c>
      <c r="M288" s="7">
        <f t="shared" si="61"/>
        <v>1.1841666666666667E-2</v>
      </c>
      <c r="N288" s="7">
        <f t="shared" si="62"/>
        <v>1.1492518131484178E-2</v>
      </c>
      <c r="O288" s="7">
        <f t="shared" si="59"/>
        <v>-2.9484746109710525E-2</v>
      </c>
      <c r="P288" s="6">
        <f t="shared" si="60"/>
        <v>8869876.1416633893</v>
      </c>
      <c r="Q288" s="6">
        <f t="shared" si="63"/>
        <v>98484840</v>
      </c>
      <c r="R288" s="4">
        <f t="shared" ca="1" si="64"/>
        <v>20</v>
      </c>
      <c r="S288" s="6"/>
      <c r="T288" s="5"/>
      <c r="U288" s="30" t="str">
        <f t="shared" si="57"/>
        <v>PENDIENTE</v>
      </c>
    </row>
    <row r="289" spans="1:21" x14ac:dyDescent="0.25">
      <c r="A289" s="4" t="str">
        <f t="shared" si="58"/>
        <v>20249</v>
      </c>
      <c r="B289" s="4" t="s">
        <v>34</v>
      </c>
      <c r="C289" s="4" t="s">
        <v>21</v>
      </c>
      <c r="D289" s="29" t="s">
        <v>35</v>
      </c>
      <c r="E289" s="28">
        <v>45549</v>
      </c>
      <c r="F289" s="4">
        <v>24</v>
      </c>
      <c r="G289" s="4">
        <v>12</v>
      </c>
      <c r="H289" s="6">
        <v>7575758</v>
      </c>
      <c r="I289" s="6">
        <v>1131838.8364658225</v>
      </c>
      <c r="J289" s="6">
        <v>69842.311638182131</v>
      </c>
      <c r="K289" s="6">
        <v>0</v>
      </c>
      <c r="L289" s="6">
        <f t="shared" si="65"/>
        <v>0</v>
      </c>
      <c r="M289" s="7">
        <f t="shared" si="61"/>
        <v>1.1841666666666667E-2</v>
      </c>
      <c r="N289" s="7">
        <f t="shared" si="62"/>
        <v>1.1492518406546861E-2</v>
      </c>
      <c r="O289" s="7">
        <f t="shared" si="59"/>
        <v>-2.9484722881334857E-2</v>
      </c>
      <c r="P289" s="6">
        <f t="shared" si="60"/>
        <v>8777439.1481040046</v>
      </c>
      <c r="Q289" s="6">
        <f t="shared" si="63"/>
        <v>90909082</v>
      </c>
      <c r="R289" s="4">
        <f t="shared" ca="1" si="64"/>
        <v>20</v>
      </c>
      <c r="S289" s="6"/>
      <c r="T289" s="5"/>
      <c r="U289" s="30" t="str">
        <f t="shared" si="57"/>
        <v>PENDIENTE</v>
      </c>
    </row>
    <row r="290" spans="1:21" x14ac:dyDescent="0.25">
      <c r="A290" s="4" t="str">
        <f t="shared" si="58"/>
        <v>202410</v>
      </c>
      <c r="B290" s="4" t="s">
        <v>34</v>
      </c>
      <c r="C290" s="4" t="s">
        <v>21</v>
      </c>
      <c r="D290" s="29" t="s">
        <v>35</v>
      </c>
      <c r="E290" s="28">
        <v>45579</v>
      </c>
      <c r="F290" s="4">
        <v>25</v>
      </c>
      <c r="G290" s="4">
        <v>11</v>
      </c>
      <c r="H290" s="6">
        <v>7575758</v>
      </c>
      <c r="I290" s="6">
        <v>1044774.3273805904</v>
      </c>
      <c r="J290" s="6">
        <v>64469.827164029048</v>
      </c>
      <c r="K290" s="6">
        <v>0</v>
      </c>
      <c r="L290" s="6">
        <f t="shared" si="65"/>
        <v>0</v>
      </c>
      <c r="M290" s="7">
        <f t="shared" si="61"/>
        <v>1.1841666666666667E-2</v>
      </c>
      <c r="N290" s="7">
        <f t="shared" si="62"/>
        <v>1.1492518727453329E-2</v>
      </c>
      <c r="O290" s="7">
        <f t="shared" si="59"/>
        <v>-2.9484695781562653E-2</v>
      </c>
      <c r="P290" s="6">
        <f t="shared" si="60"/>
        <v>8685002.1545446198</v>
      </c>
      <c r="Q290" s="6">
        <f t="shared" si="63"/>
        <v>83333324</v>
      </c>
      <c r="R290" s="4">
        <f t="shared" ca="1" si="64"/>
        <v>-11</v>
      </c>
      <c r="S290" s="6"/>
      <c r="T290" s="5"/>
      <c r="U290" s="30" t="str">
        <f t="shared" si="57"/>
        <v>PENDIENTE</v>
      </c>
    </row>
    <row r="291" spans="1:21" x14ac:dyDescent="0.25">
      <c r="A291" s="4" t="str">
        <f t="shared" si="58"/>
        <v>202411</v>
      </c>
      <c r="B291" s="4" t="s">
        <v>34</v>
      </c>
      <c r="C291" s="4" t="s">
        <v>21</v>
      </c>
      <c r="D291" s="29" t="s">
        <v>35</v>
      </c>
      <c r="E291" s="28">
        <v>45610</v>
      </c>
      <c r="F291" s="4">
        <v>26</v>
      </c>
      <c r="G291" s="4">
        <v>10</v>
      </c>
      <c r="H291" s="6">
        <v>7575758</v>
      </c>
      <c r="I291" s="6">
        <v>957709.81829535833</v>
      </c>
      <c r="J291" s="6">
        <v>59097.342689875972</v>
      </c>
      <c r="K291" s="6">
        <v>0</v>
      </c>
      <c r="L291" s="6">
        <f t="shared" si="65"/>
        <v>0</v>
      </c>
      <c r="M291" s="7">
        <f t="shared" si="61"/>
        <v>1.1841666666666667E-2</v>
      </c>
      <c r="N291" s="7">
        <f t="shared" si="62"/>
        <v>1.149251910670644E-2</v>
      </c>
      <c r="O291" s="7">
        <f t="shared" si="59"/>
        <v>-2.948466375455816E-2</v>
      </c>
      <c r="P291" s="6">
        <f t="shared" si="60"/>
        <v>8592565.1609852333</v>
      </c>
      <c r="Q291" s="6">
        <f t="shared" si="63"/>
        <v>75757566</v>
      </c>
      <c r="R291" s="4">
        <f t="shared" ca="1" si="64"/>
        <v>-41</v>
      </c>
      <c r="S291" s="6"/>
      <c r="T291" s="5"/>
      <c r="U291" s="30" t="str">
        <f t="shared" si="57"/>
        <v>PENDIENTE</v>
      </c>
    </row>
    <row r="292" spans="1:21" x14ac:dyDescent="0.25">
      <c r="A292" s="4" t="str">
        <f t="shared" si="58"/>
        <v>202412</v>
      </c>
      <c r="B292" s="4" t="s">
        <v>34</v>
      </c>
      <c r="C292" s="4" t="s">
        <v>21</v>
      </c>
      <c r="D292" s="29" t="s">
        <v>35</v>
      </c>
      <c r="E292" s="28">
        <v>45640</v>
      </c>
      <c r="F292" s="4">
        <v>27</v>
      </c>
      <c r="G292" s="4">
        <v>9</v>
      </c>
      <c r="H292" s="6">
        <v>7575758</v>
      </c>
      <c r="I292" s="6">
        <v>870645.30921012617</v>
      </c>
      <c r="J292" s="6">
        <v>53724.858215722888</v>
      </c>
      <c r="K292" s="6">
        <v>0</v>
      </c>
      <c r="L292" s="6">
        <f t="shared" si="65"/>
        <v>0</v>
      </c>
      <c r="M292" s="7">
        <f t="shared" si="61"/>
        <v>1.1841666666666667E-2</v>
      </c>
      <c r="N292" s="7">
        <f t="shared" si="62"/>
        <v>1.1492519561810185E-2</v>
      </c>
      <c r="O292" s="7">
        <f t="shared" si="59"/>
        <v>-2.9484625322151903E-2</v>
      </c>
      <c r="P292" s="6">
        <f t="shared" si="60"/>
        <v>8500128.1674258485</v>
      </c>
      <c r="Q292" s="6">
        <f t="shared" si="63"/>
        <v>68181808</v>
      </c>
      <c r="R292" s="4">
        <f t="shared" ca="1" si="64"/>
        <v>-72</v>
      </c>
      <c r="S292" s="6"/>
      <c r="T292" s="5"/>
      <c r="U292" s="30" t="str">
        <f t="shared" si="57"/>
        <v>PENDIENTE</v>
      </c>
    </row>
    <row r="293" spans="1:21" x14ac:dyDescent="0.25">
      <c r="A293" s="4" t="str">
        <f t="shared" si="58"/>
        <v>20251</v>
      </c>
      <c r="B293" s="4" t="s">
        <v>34</v>
      </c>
      <c r="C293" s="4" t="s">
        <v>21</v>
      </c>
      <c r="D293" s="29" t="s">
        <v>35</v>
      </c>
      <c r="E293" s="28">
        <v>45671</v>
      </c>
      <c r="F293" s="4">
        <v>28</v>
      </c>
      <c r="G293" s="4">
        <v>8</v>
      </c>
      <c r="H293" s="6">
        <v>7575758</v>
      </c>
      <c r="I293" s="6">
        <v>783580.80012489413</v>
      </c>
      <c r="J293" s="6">
        <v>48352.373741569812</v>
      </c>
      <c r="K293" s="6">
        <v>0</v>
      </c>
      <c r="L293" s="6">
        <f t="shared" si="65"/>
        <v>0</v>
      </c>
      <c r="M293" s="7">
        <f t="shared" si="61"/>
        <v>1.1841666666666667E-2</v>
      </c>
      <c r="N293" s="7">
        <f t="shared" si="62"/>
        <v>1.1492520118048119E-2</v>
      </c>
      <c r="O293" s="7">
        <f t="shared" si="59"/>
        <v>-2.9484578349208812E-2</v>
      </c>
      <c r="P293" s="6">
        <f t="shared" si="60"/>
        <v>8407691.1738664638</v>
      </c>
      <c r="Q293" s="6">
        <f t="shared" si="63"/>
        <v>60606050</v>
      </c>
      <c r="R293" s="4">
        <f t="shared" ca="1" si="64"/>
        <v>-102</v>
      </c>
      <c r="S293" s="6"/>
      <c r="T293" s="5"/>
      <c r="U293" s="30" t="str">
        <f t="shared" si="57"/>
        <v>PENDIENTE</v>
      </c>
    </row>
    <row r="294" spans="1:21" x14ac:dyDescent="0.25">
      <c r="A294" s="4" t="str">
        <f t="shared" si="58"/>
        <v>20252</v>
      </c>
      <c r="B294" s="4" t="s">
        <v>34</v>
      </c>
      <c r="C294" s="4" t="s">
        <v>21</v>
      </c>
      <c r="D294" s="29" t="s">
        <v>35</v>
      </c>
      <c r="E294" s="28">
        <v>45702</v>
      </c>
      <c r="F294" s="4">
        <v>29</v>
      </c>
      <c r="G294" s="4">
        <v>7</v>
      </c>
      <c r="H294" s="6">
        <v>7575758</v>
      </c>
      <c r="I294" s="6">
        <v>696516.29103966209</v>
      </c>
      <c r="J294" s="6">
        <v>42979.889267416729</v>
      </c>
      <c r="K294" s="6">
        <v>0</v>
      </c>
      <c r="L294" s="6">
        <f t="shared" si="65"/>
        <v>0</v>
      </c>
      <c r="M294" s="7">
        <f t="shared" si="61"/>
        <v>1.1841666666666667E-2</v>
      </c>
      <c r="N294" s="7">
        <f t="shared" si="62"/>
        <v>1.1492520813345567E-2</v>
      </c>
      <c r="O294" s="7">
        <f t="shared" si="59"/>
        <v>-2.9484519633027451E-2</v>
      </c>
      <c r="P294" s="6">
        <f t="shared" si="60"/>
        <v>8315254.1803070791</v>
      </c>
      <c r="Q294" s="6">
        <f t="shared" si="63"/>
        <v>53030292</v>
      </c>
      <c r="R294" s="4">
        <f t="shared" ca="1" si="64"/>
        <v>-133</v>
      </c>
      <c r="S294" s="6"/>
      <c r="T294" s="5"/>
      <c r="U294" s="30" t="str">
        <f t="shared" si="57"/>
        <v>PENDIENTE</v>
      </c>
    </row>
    <row r="295" spans="1:21" x14ac:dyDescent="0.25">
      <c r="A295" s="4" t="str">
        <f t="shared" si="58"/>
        <v>20253</v>
      </c>
      <c r="B295" s="4" t="s">
        <v>34</v>
      </c>
      <c r="C295" s="4" t="s">
        <v>21</v>
      </c>
      <c r="D295" s="29" t="s">
        <v>35</v>
      </c>
      <c r="E295" s="28">
        <v>45730</v>
      </c>
      <c r="F295" s="4">
        <v>30</v>
      </c>
      <c r="G295" s="4">
        <v>6</v>
      </c>
      <c r="H295" s="6">
        <v>7575758</v>
      </c>
      <c r="I295" s="6">
        <v>609451.78195442993</v>
      </c>
      <c r="J295" s="6">
        <v>37607.404793263646</v>
      </c>
      <c r="K295" s="6">
        <v>0</v>
      </c>
      <c r="L295" s="6">
        <f t="shared" si="65"/>
        <v>0</v>
      </c>
      <c r="M295" s="7">
        <f t="shared" si="61"/>
        <v>1.1841666666666667E-2</v>
      </c>
      <c r="N295" s="7">
        <f t="shared" si="62"/>
        <v>1.149252170729948E-2</v>
      </c>
      <c r="O295" s="7">
        <f t="shared" si="59"/>
        <v>-2.9484444140789878E-2</v>
      </c>
      <c r="P295" s="6">
        <f t="shared" si="60"/>
        <v>8222817.1867476935</v>
      </c>
      <c r="Q295" s="6">
        <f t="shared" si="63"/>
        <v>45454534</v>
      </c>
      <c r="R295" s="4">
        <f t="shared" ca="1" si="64"/>
        <v>-164</v>
      </c>
      <c r="S295" s="6"/>
      <c r="T295" s="5"/>
      <c r="U295" s="30" t="str">
        <f t="shared" si="57"/>
        <v>PENDIENTE</v>
      </c>
    </row>
    <row r="296" spans="1:21" x14ac:dyDescent="0.25">
      <c r="A296" s="4" t="str">
        <f t="shared" si="58"/>
        <v>20254</v>
      </c>
      <c r="B296" s="4" t="s">
        <v>34</v>
      </c>
      <c r="C296" s="4" t="s">
        <v>21</v>
      </c>
      <c r="D296" s="29" t="s">
        <v>35</v>
      </c>
      <c r="E296" s="28">
        <v>45761</v>
      </c>
      <c r="F296" s="4">
        <v>31</v>
      </c>
      <c r="G296" s="4">
        <v>5</v>
      </c>
      <c r="H296" s="6">
        <v>7575758</v>
      </c>
      <c r="I296" s="6">
        <v>522387.27286919788</v>
      </c>
      <c r="J296" s="6">
        <v>32234.92031911057</v>
      </c>
      <c r="K296" s="6">
        <v>0</v>
      </c>
      <c r="L296" s="6">
        <f t="shared" si="65"/>
        <v>0</v>
      </c>
      <c r="M296" s="7">
        <f t="shared" si="61"/>
        <v>1.1841666666666667E-2</v>
      </c>
      <c r="N296" s="7">
        <f t="shared" si="62"/>
        <v>1.1492522899238125E-2</v>
      </c>
      <c r="O296" s="7">
        <f t="shared" si="59"/>
        <v>-2.948434348446527E-2</v>
      </c>
      <c r="P296" s="6">
        <f t="shared" si="60"/>
        <v>8130380.1931883078</v>
      </c>
      <c r="Q296" s="6">
        <f t="shared" si="63"/>
        <v>37878776</v>
      </c>
      <c r="R296" s="4">
        <f t="shared" ca="1" si="64"/>
        <v>-192</v>
      </c>
      <c r="S296" s="6"/>
      <c r="T296" s="5"/>
      <c r="U296" s="30" t="str">
        <f t="shared" si="57"/>
        <v>PENDIENTE</v>
      </c>
    </row>
    <row r="297" spans="1:21" x14ac:dyDescent="0.25">
      <c r="A297" s="4" t="str">
        <f t="shared" si="58"/>
        <v>20255</v>
      </c>
      <c r="B297" s="4" t="s">
        <v>34</v>
      </c>
      <c r="C297" s="4" t="s">
        <v>21</v>
      </c>
      <c r="D297" s="29" t="s">
        <v>35</v>
      </c>
      <c r="E297" s="28">
        <v>45791</v>
      </c>
      <c r="F297" s="4">
        <v>32</v>
      </c>
      <c r="G297" s="4">
        <v>4</v>
      </c>
      <c r="H297" s="6">
        <v>7575758</v>
      </c>
      <c r="I297" s="6">
        <v>435322.76378396578</v>
      </c>
      <c r="J297" s="6">
        <v>26862.435844957487</v>
      </c>
      <c r="K297" s="6">
        <v>0</v>
      </c>
      <c r="L297" s="6">
        <f t="shared" si="65"/>
        <v>0</v>
      </c>
      <c r="M297" s="7">
        <f t="shared" si="61"/>
        <v>1.1841666666666667E-2</v>
      </c>
      <c r="N297" s="7">
        <f t="shared" si="62"/>
        <v>1.1492524567952401E-2</v>
      </c>
      <c r="O297" s="7">
        <f t="shared" si="59"/>
        <v>-2.9484202565596029E-2</v>
      </c>
      <c r="P297" s="6">
        <f t="shared" si="60"/>
        <v>8037943.199628924</v>
      </c>
      <c r="Q297" s="6">
        <f t="shared" si="63"/>
        <v>30303018</v>
      </c>
      <c r="R297" s="4">
        <f t="shared" ca="1" si="64"/>
        <v>-223</v>
      </c>
      <c r="S297" s="6"/>
      <c r="T297" s="5"/>
      <c r="U297" s="30" t="str">
        <f t="shared" si="57"/>
        <v>PENDIENTE</v>
      </c>
    </row>
    <row r="298" spans="1:21" x14ac:dyDescent="0.25">
      <c r="A298" s="4" t="str">
        <f t="shared" si="58"/>
        <v>20256</v>
      </c>
      <c r="B298" s="4" t="s">
        <v>34</v>
      </c>
      <c r="C298" s="4" t="s">
        <v>21</v>
      </c>
      <c r="D298" s="29" t="s">
        <v>35</v>
      </c>
      <c r="E298" s="28">
        <v>45822</v>
      </c>
      <c r="F298" s="4">
        <v>33</v>
      </c>
      <c r="G298" s="4">
        <v>3</v>
      </c>
      <c r="H298" s="6">
        <v>7575758</v>
      </c>
      <c r="I298" s="6">
        <v>348258.25469873374</v>
      </c>
      <c r="J298" s="6">
        <v>21489.951370804411</v>
      </c>
      <c r="K298" s="6">
        <v>0</v>
      </c>
      <c r="L298" s="6">
        <f t="shared" si="65"/>
        <v>0</v>
      </c>
      <c r="M298" s="7">
        <f t="shared" si="61"/>
        <v>1.1841666666666667E-2</v>
      </c>
      <c r="N298" s="7">
        <f t="shared" si="62"/>
        <v>1.1492527071024205E-2</v>
      </c>
      <c r="O298" s="7">
        <f t="shared" si="59"/>
        <v>-2.9483991187259306E-2</v>
      </c>
      <c r="P298" s="6">
        <f t="shared" si="60"/>
        <v>7945506.2060695384</v>
      </c>
      <c r="Q298" s="6">
        <f t="shared" si="63"/>
        <v>22727260</v>
      </c>
      <c r="R298" s="4">
        <f t="shared" ca="1" si="64"/>
        <v>-253</v>
      </c>
      <c r="S298" s="6"/>
      <c r="T298" s="5"/>
      <c r="U298" s="30" t="str">
        <f t="shared" si="57"/>
        <v>PENDIENTE</v>
      </c>
    </row>
    <row r="299" spans="1:21" x14ac:dyDescent="0.25">
      <c r="A299" s="4" t="str">
        <f t="shared" si="58"/>
        <v>20257</v>
      </c>
      <c r="B299" s="4" t="s">
        <v>34</v>
      </c>
      <c r="C299" s="4" t="s">
        <v>21</v>
      </c>
      <c r="D299" s="29" t="s">
        <v>35</v>
      </c>
      <c r="E299" s="28">
        <v>45852</v>
      </c>
      <c r="F299" s="4">
        <v>34</v>
      </c>
      <c r="G299" s="4">
        <v>2</v>
      </c>
      <c r="H299" s="6">
        <v>7575758</v>
      </c>
      <c r="I299" s="6">
        <v>261193.74561350164</v>
      </c>
      <c r="J299" s="6">
        <v>16117.466896651327</v>
      </c>
      <c r="K299" s="6">
        <v>0</v>
      </c>
      <c r="L299" s="6">
        <f t="shared" si="65"/>
        <v>0</v>
      </c>
      <c r="M299" s="7">
        <f t="shared" si="61"/>
        <v>1.1841666666666667E-2</v>
      </c>
      <c r="N299" s="7">
        <f t="shared" si="62"/>
        <v>1.1492531242811568E-2</v>
      </c>
      <c r="O299" s="7">
        <f t="shared" si="59"/>
        <v>-2.9483638889944985E-2</v>
      </c>
      <c r="P299" s="6">
        <f t="shared" si="60"/>
        <v>7853069.2125101527</v>
      </c>
      <c r="Q299" s="6">
        <f t="shared" si="63"/>
        <v>15151502</v>
      </c>
      <c r="R299" s="4">
        <f t="shared" ca="1" si="64"/>
        <v>-284</v>
      </c>
      <c r="S299" s="6"/>
      <c r="T299" s="5"/>
      <c r="U299" s="30" t="str">
        <f t="shared" si="57"/>
        <v>PENDIENTE</v>
      </c>
    </row>
    <row r="300" spans="1:21" x14ac:dyDescent="0.25">
      <c r="A300" s="4" t="str">
        <f t="shared" si="58"/>
        <v>20258</v>
      </c>
      <c r="B300" s="4" t="s">
        <v>34</v>
      </c>
      <c r="C300" s="4" t="s">
        <v>21</v>
      </c>
      <c r="D300" s="29" t="s">
        <v>35</v>
      </c>
      <c r="E300" s="28">
        <v>45883</v>
      </c>
      <c r="F300" s="4">
        <v>35</v>
      </c>
      <c r="G300" s="4">
        <v>1</v>
      </c>
      <c r="H300" s="6">
        <v>7575758</v>
      </c>
      <c r="I300" s="6">
        <v>174129.23652826954</v>
      </c>
      <c r="J300" s="6">
        <v>10744.982422498246</v>
      </c>
      <c r="K300" s="6">
        <v>0</v>
      </c>
      <c r="L300" s="6">
        <f t="shared" si="65"/>
        <v>0</v>
      </c>
      <c r="M300" s="7">
        <f t="shared" si="61"/>
        <v>1.1841666666666667E-2</v>
      </c>
      <c r="N300" s="7">
        <f t="shared" si="62"/>
        <v>1.1492539586390151E-2</v>
      </c>
      <c r="O300" s="7">
        <f t="shared" si="59"/>
        <v>-2.9482934294990826E-2</v>
      </c>
      <c r="P300" s="6">
        <f t="shared" si="60"/>
        <v>7760632.218950768</v>
      </c>
      <c r="Q300" s="6">
        <f t="shared" si="63"/>
        <v>7575744</v>
      </c>
      <c r="R300" s="4">
        <f t="shared" ca="1" si="64"/>
        <v>-314</v>
      </c>
      <c r="S300" s="6"/>
      <c r="T300" s="5"/>
      <c r="U300" s="30" t="str">
        <f t="shared" si="57"/>
        <v>PENDIENTE</v>
      </c>
    </row>
    <row r="301" spans="1:21" x14ac:dyDescent="0.25">
      <c r="A301" s="4" t="str">
        <f t="shared" si="58"/>
        <v>20259</v>
      </c>
      <c r="B301" s="4" t="s">
        <v>34</v>
      </c>
      <c r="C301" s="4" t="s">
        <v>21</v>
      </c>
      <c r="D301" s="29" t="s">
        <v>35</v>
      </c>
      <c r="E301" s="28">
        <v>45914</v>
      </c>
      <c r="F301" s="4">
        <v>36</v>
      </c>
      <c r="G301" s="4">
        <v>0</v>
      </c>
      <c r="H301" s="6">
        <v>7575776</v>
      </c>
      <c r="I301" s="6">
        <v>87064.727443037467</v>
      </c>
      <c r="J301" s="6">
        <v>5372.4979483451662</v>
      </c>
      <c r="K301" s="6">
        <v>0</v>
      </c>
      <c r="L301" s="6">
        <f t="shared" si="65"/>
        <v>0</v>
      </c>
      <c r="M301" s="7">
        <f t="shared" si="61"/>
        <v>1.1841666666666667E-2</v>
      </c>
      <c r="N301" s="7">
        <f t="shared" si="62"/>
        <v>1.1492564617156739E-2</v>
      </c>
      <c r="O301" s="7">
        <f t="shared" si="59"/>
        <v>-2.9480820507523764E-2</v>
      </c>
      <c r="P301" s="6">
        <f t="shared" si="60"/>
        <v>7668213.2253913824</v>
      </c>
      <c r="Q301" s="6">
        <f t="shared" si="63"/>
        <v>-32</v>
      </c>
      <c r="R301" s="4">
        <f t="shared" ca="1" si="64"/>
        <v>-345</v>
      </c>
      <c r="S301" s="6"/>
      <c r="T301" s="5"/>
      <c r="U301" s="30" t="str">
        <f t="shared" si="57"/>
        <v>PENDIENTE</v>
      </c>
    </row>
    <row r="302" spans="1:21" x14ac:dyDescent="0.25">
      <c r="A302" s="4" t="str">
        <f t="shared" si="58"/>
        <v>202211</v>
      </c>
      <c r="B302" s="4" t="s">
        <v>20</v>
      </c>
      <c r="C302" s="4" t="s">
        <v>21</v>
      </c>
      <c r="D302" s="29">
        <v>8140097009</v>
      </c>
      <c r="E302" s="28">
        <v>44873</v>
      </c>
      <c r="F302" s="4">
        <v>0</v>
      </c>
      <c r="G302" s="4">
        <v>36</v>
      </c>
      <c r="H302" s="6">
        <v>0</v>
      </c>
      <c r="I302" s="6">
        <v>0</v>
      </c>
      <c r="J302" s="6">
        <v>0</v>
      </c>
      <c r="K302" s="6">
        <v>0</v>
      </c>
      <c r="L302" s="6">
        <f t="shared" si="65"/>
        <v>0</v>
      </c>
      <c r="M302" s="7">
        <f>0.125/12</f>
        <v>1.0416666666666666E-2</v>
      </c>
      <c r="N302" s="7">
        <v>0</v>
      </c>
      <c r="O302" s="7">
        <f t="shared" si="59"/>
        <v>-1</v>
      </c>
      <c r="P302" s="6">
        <f t="shared" si="60"/>
        <v>0</v>
      </c>
      <c r="Q302" s="6">
        <v>22964000</v>
      </c>
      <c r="R302" s="4" t="s">
        <v>27</v>
      </c>
      <c r="S302" s="6">
        <v>0</v>
      </c>
      <c r="T302" s="5">
        <v>44868</v>
      </c>
      <c r="U302" s="30" t="str">
        <f t="shared" si="57"/>
        <v>PAGADO</v>
      </c>
    </row>
    <row r="303" spans="1:21" x14ac:dyDescent="0.25">
      <c r="A303" s="4" t="str">
        <f t="shared" si="58"/>
        <v>202212</v>
      </c>
      <c r="B303" s="4" t="s">
        <v>20</v>
      </c>
      <c r="C303" s="4" t="s">
        <v>21</v>
      </c>
      <c r="D303" s="29">
        <v>8140097009</v>
      </c>
      <c r="E303" s="28">
        <v>44903</v>
      </c>
      <c r="F303" s="4">
        <v>1</v>
      </c>
      <c r="G303" s="4">
        <v>35</v>
      </c>
      <c r="H303" s="6">
        <v>637888</v>
      </c>
      <c r="I303" s="6">
        <v>437330</v>
      </c>
      <c r="J303" s="6">
        <v>0</v>
      </c>
      <c r="K303" s="6">
        <v>0</v>
      </c>
      <c r="L303" s="6">
        <f t="shared" si="65"/>
        <v>0</v>
      </c>
      <c r="M303" s="7">
        <f t="shared" ref="M303:M338" si="66">0.125/12</f>
        <v>1.0416666666666666E-2</v>
      </c>
      <c r="N303" s="7">
        <f>I303/Q302</f>
        <v>1.9044156070371014E-2</v>
      </c>
      <c r="O303" s="7">
        <f t="shared" si="59"/>
        <v>0.82823898275561736</v>
      </c>
      <c r="P303" s="6">
        <f t="shared" si="60"/>
        <v>1075218</v>
      </c>
      <c r="Q303" s="6">
        <f>Q302-H303</f>
        <v>22326112</v>
      </c>
      <c r="R303" s="4" t="str">
        <f t="shared" ref="R303:R338" ca="1" si="67">IF(T302="",TODAY()-E302,IF(T303="",TODAY()-E303,"OK"))</f>
        <v>OK</v>
      </c>
      <c r="S303" s="6">
        <v>1075218</v>
      </c>
      <c r="T303" s="5">
        <v>44896</v>
      </c>
      <c r="U303" s="30" t="str">
        <f t="shared" si="57"/>
        <v>PAGADO</v>
      </c>
    </row>
    <row r="304" spans="1:21" x14ac:dyDescent="0.25">
      <c r="A304" s="4" t="str">
        <f t="shared" si="58"/>
        <v>20231</v>
      </c>
      <c r="B304" s="4" t="s">
        <v>20</v>
      </c>
      <c r="C304" s="4" t="s">
        <v>21</v>
      </c>
      <c r="D304" s="29">
        <v>8140097009</v>
      </c>
      <c r="E304" s="28">
        <v>44934</v>
      </c>
      <c r="F304" s="4">
        <v>2</v>
      </c>
      <c r="G304" s="4">
        <v>34</v>
      </c>
      <c r="H304" s="6">
        <v>637888</v>
      </c>
      <c r="I304" s="6">
        <v>546169</v>
      </c>
      <c r="J304" s="6">
        <v>0</v>
      </c>
      <c r="K304" s="6">
        <v>0</v>
      </c>
      <c r="L304" s="6">
        <f t="shared" si="65"/>
        <v>0</v>
      </c>
      <c r="M304" s="7">
        <f t="shared" si="66"/>
        <v>1.0416666666666666E-2</v>
      </c>
      <c r="N304" s="7">
        <f t="shared" ref="N304:N338" si="68">I304/Q303</f>
        <v>2.4463238382034454E-2</v>
      </c>
      <c r="O304" s="7">
        <f t="shared" si="59"/>
        <v>1.348470884675308</v>
      </c>
      <c r="P304" s="6">
        <f t="shared" si="60"/>
        <v>1184057</v>
      </c>
      <c r="Q304" s="6">
        <f t="shared" ref="Q304:Q338" si="69">Q303-H304</f>
        <v>21688224</v>
      </c>
      <c r="R304" s="4" t="str">
        <f t="shared" ca="1" si="67"/>
        <v>OK</v>
      </c>
      <c r="S304" s="6">
        <v>1184057</v>
      </c>
      <c r="T304" s="5">
        <v>44936</v>
      </c>
      <c r="U304" s="30" t="str">
        <f t="shared" si="57"/>
        <v>PAGADO</v>
      </c>
    </row>
    <row r="305" spans="1:21" x14ac:dyDescent="0.25">
      <c r="A305" s="4" t="str">
        <f t="shared" si="58"/>
        <v>20232</v>
      </c>
      <c r="B305" s="4" t="s">
        <v>20</v>
      </c>
      <c r="C305" s="4" t="s">
        <v>21</v>
      </c>
      <c r="D305" s="29">
        <v>8140097009</v>
      </c>
      <c r="E305" s="28">
        <v>44965</v>
      </c>
      <c r="F305" s="4">
        <v>3</v>
      </c>
      <c r="G305" s="4">
        <v>33</v>
      </c>
      <c r="H305" s="6">
        <v>637888</v>
      </c>
      <c r="I305" s="6">
        <v>444757</v>
      </c>
      <c r="J305" s="6">
        <v>0</v>
      </c>
      <c r="K305" s="6">
        <v>0</v>
      </c>
      <c r="L305" s="6">
        <f t="shared" si="65"/>
        <v>0</v>
      </c>
      <c r="M305" s="7">
        <f t="shared" si="66"/>
        <v>1.0416666666666666E-2</v>
      </c>
      <c r="N305" s="7">
        <f t="shared" si="68"/>
        <v>2.0506842791738041E-2</v>
      </c>
      <c r="O305" s="7">
        <f t="shared" si="59"/>
        <v>0.96865690800685189</v>
      </c>
      <c r="P305" s="6">
        <f t="shared" si="60"/>
        <v>1082645</v>
      </c>
      <c r="Q305" s="6">
        <f t="shared" si="69"/>
        <v>21050336</v>
      </c>
      <c r="R305" s="4" t="str">
        <f t="shared" ca="1" si="67"/>
        <v>OK</v>
      </c>
      <c r="S305" s="6">
        <v>1082645</v>
      </c>
      <c r="T305" s="5">
        <v>44965</v>
      </c>
      <c r="U305" s="30" t="str">
        <f t="shared" si="57"/>
        <v>PAGADO</v>
      </c>
    </row>
    <row r="306" spans="1:21" x14ac:dyDescent="0.25">
      <c r="A306" s="4" t="str">
        <f t="shared" si="58"/>
        <v>20233</v>
      </c>
      <c r="B306" s="4" t="s">
        <v>20</v>
      </c>
      <c r="C306" s="4" t="s">
        <v>21</v>
      </c>
      <c r="D306" s="29">
        <v>8140097009</v>
      </c>
      <c r="E306" s="28">
        <v>44993</v>
      </c>
      <c r="F306" s="4">
        <v>4</v>
      </c>
      <c r="G306" s="4">
        <v>32</v>
      </c>
      <c r="H306" s="6">
        <v>637888</v>
      </c>
      <c r="I306" s="6">
        <v>397243</v>
      </c>
      <c r="J306" s="6">
        <v>0</v>
      </c>
      <c r="K306" s="6">
        <v>0</v>
      </c>
      <c r="L306" s="6">
        <f t="shared" si="65"/>
        <v>0</v>
      </c>
      <c r="M306" s="7">
        <f t="shared" si="66"/>
        <v>1.0416666666666666E-2</v>
      </c>
      <c r="N306" s="7">
        <f t="shared" si="68"/>
        <v>1.8871100204766327E-2</v>
      </c>
      <c r="O306" s="7">
        <f t="shared" si="59"/>
        <v>0.81162561965756752</v>
      </c>
      <c r="P306" s="6">
        <f t="shared" si="60"/>
        <v>1035131</v>
      </c>
      <c r="Q306" s="6">
        <f t="shared" si="69"/>
        <v>20412448</v>
      </c>
      <c r="R306" s="4" t="str">
        <f t="shared" ca="1" si="67"/>
        <v>OK</v>
      </c>
      <c r="S306" s="6">
        <v>1036460</v>
      </c>
      <c r="T306" s="5">
        <v>44995</v>
      </c>
      <c r="U306" s="30" t="str">
        <f t="shared" si="57"/>
        <v>PAGADO</v>
      </c>
    </row>
    <row r="307" spans="1:21" x14ac:dyDescent="0.25">
      <c r="A307" s="4" t="str">
        <f t="shared" si="58"/>
        <v>20234</v>
      </c>
      <c r="B307" s="4" t="s">
        <v>20</v>
      </c>
      <c r="C307" s="4" t="s">
        <v>21</v>
      </c>
      <c r="D307" s="29">
        <v>8140097009</v>
      </c>
      <c r="E307" s="28">
        <v>45024</v>
      </c>
      <c r="F307" s="4">
        <v>5</v>
      </c>
      <c r="G307" s="4">
        <v>31</v>
      </c>
      <c r="H307" s="6">
        <v>637888</v>
      </c>
      <c r="I307" s="6">
        <v>427618</v>
      </c>
      <c r="J307" s="6">
        <v>0</v>
      </c>
      <c r="K307" s="6">
        <v>0</v>
      </c>
      <c r="L307" s="6">
        <f t="shared" si="65"/>
        <v>0</v>
      </c>
      <c r="M307" s="7">
        <f t="shared" si="66"/>
        <v>1.0416666666666666E-2</v>
      </c>
      <c r="N307" s="7">
        <f t="shared" si="68"/>
        <v>2.0948883739961028E-2</v>
      </c>
      <c r="O307" s="7">
        <f t="shared" si="59"/>
        <v>1.0110928390362588</v>
      </c>
      <c r="P307" s="6">
        <f t="shared" si="60"/>
        <v>1065506</v>
      </c>
      <c r="Q307" s="6">
        <f t="shared" si="69"/>
        <v>19774560</v>
      </c>
      <c r="R307" s="4" t="str">
        <f t="shared" ca="1" si="67"/>
        <v>OK</v>
      </c>
      <c r="S307" s="6">
        <v>1065506</v>
      </c>
      <c r="T307" s="5">
        <v>45026</v>
      </c>
      <c r="U307" s="30" t="str">
        <f t="shared" si="57"/>
        <v>PAGADO</v>
      </c>
    </row>
    <row r="308" spans="1:21" x14ac:dyDescent="0.25">
      <c r="A308" s="4" t="str">
        <f t="shared" si="58"/>
        <v>20235</v>
      </c>
      <c r="B308" s="4" t="s">
        <v>20</v>
      </c>
      <c r="C308" s="4" t="s">
        <v>21</v>
      </c>
      <c r="D308" s="29">
        <v>8140097009</v>
      </c>
      <c r="E308" s="28">
        <v>45054</v>
      </c>
      <c r="F308" s="4">
        <v>6</v>
      </c>
      <c r="G308" s="4">
        <v>30</v>
      </c>
      <c r="H308" s="6">
        <v>637888</v>
      </c>
      <c r="I308" s="6">
        <v>403254</v>
      </c>
      <c r="J308" s="6">
        <v>0</v>
      </c>
      <c r="K308" s="6">
        <v>0</v>
      </c>
      <c r="L308" s="6">
        <f t="shared" si="65"/>
        <v>0</v>
      </c>
      <c r="M308" s="7">
        <f t="shared" si="66"/>
        <v>1.0416666666666666E-2</v>
      </c>
      <c r="N308" s="7">
        <f t="shared" si="68"/>
        <v>2.0392564992596549E-2</v>
      </c>
      <c r="O308" s="7">
        <f t="shared" si="59"/>
        <v>0.95768623928926866</v>
      </c>
      <c r="P308" s="6">
        <f t="shared" si="60"/>
        <v>1041142</v>
      </c>
      <c r="Q308" s="6">
        <f t="shared" si="69"/>
        <v>19136672</v>
      </c>
      <c r="R308" s="4" t="str">
        <f t="shared" ca="1" si="67"/>
        <v>OK</v>
      </c>
      <c r="S308" s="6">
        <v>1041142</v>
      </c>
      <c r="T308" s="5">
        <v>45054</v>
      </c>
      <c r="U308" s="30" t="str">
        <f t="shared" si="57"/>
        <v>PAGADO</v>
      </c>
    </row>
    <row r="309" spans="1:21" x14ac:dyDescent="0.25">
      <c r="A309" s="4" t="str">
        <f t="shared" si="58"/>
        <v>20236</v>
      </c>
      <c r="B309" s="4" t="s">
        <v>20</v>
      </c>
      <c r="C309" s="4" t="s">
        <v>21</v>
      </c>
      <c r="D309" s="29">
        <v>8140097009</v>
      </c>
      <c r="E309" s="28">
        <v>45085</v>
      </c>
      <c r="F309" s="4">
        <v>7</v>
      </c>
      <c r="G309" s="4">
        <v>29</v>
      </c>
      <c r="H309" s="6">
        <v>637888</v>
      </c>
      <c r="I309" s="6">
        <f>1045006-H309</f>
        <v>407118</v>
      </c>
      <c r="J309" s="6">
        <v>0</v>
      </c>
      <c r="K309" s="6">
        <v>0</v>
      </c>
      <c r="L309" s="6">
        <f t="shared" si="65"/>
        <v>0</v>
      </c>
      <c r="M309" s="7">
        <f t="shared" si="66"/>
        <v>1.0416666666666666E-2</v>
      </c>
      <c r="N309" s="7">
        <f t="shared" si="68"/>
        <v>2.127423200857495E-2</v>
      </c>
      <c r="O309" s="7">
        <f t="shared" si="59"/>
        <v>1.0423262728231952</v>
      </c>
      <c r="P309" s="6">
        <f t="shared" si="60"/>
        <v>1045006</v>
      </c>
      <c r="Q309" s="6">
        <f t="shared" si="69"/>
        <v>18498784</v>
      </c>
      <c r="R309" s="4" t="str">
        <f t="shared" ca="1" si="67"/>
        <v>OK</v>
      </c>
      <c r="S309" s="6">
        <v>1045006</v>
      </c>
      <c r="T309" s="5">
        <v>45085</v>
      </c>
      <c r="U309" s="30" t="str">
        <f t="shared" si="57"/>
        <v>PAGADO</v>
      </c>
    </row>
    <row r="310" spans="1:21" x14ac:dyDescent="0.25">
      <c r="A310" s="4" t="str">
        <f t="shared" si="58"/>
        <v>20237</v>
      </c>
      <c r="B310" s="4" t="s">
        <v>20</v>
      </c>
      <c r="C310" s="4" t="s">
        <v>21</v>
      </c>
      <c r="D310" s="29">
        <v>8140097009</v>
      </c>
      <c r="E310" s="28">
        <v>45115</v>
      </c>
      <c r="F310" s="4">
        <v>8</v>
      </c>
      <c r="G310" s="4">
        <v>28</v>
      </c>
      <c r="H310" s="6">
        <v>637888</v>
      </c>
      <c r="I310" s="6">
        <v>376752.446881134</v>
      </c>
      <c r="J310" s="6">
        <v>0</v>
      </c>
      <c r="K310" s="6">
        <v>0</v>
      </c>
      <c r="L310" s="6">
        <f t="shared" si="65"/>
        <v>0</v>
      </c>
      <c r="M310" s="7">
        <f t="shared" si="66"/>
        <v>1.0416666666666666E-2</v>
      </c>
      <c r="N310" s="7">
        <f t="shared" si="68"/>
        <v>2.0366335802457825E-2</v>
      </c>
      <c r="O310" s="7">
        <f t="shared" si="59"/>
        <v>0.95516823703595133</v>
      </c>
      <c r="P310" s="6">
        <f t="shared" si="60"/>
        <v>1014640.4468811341</v>
      </c>
      <c r="Q310" s="6">
        <f t="shared" si="69"/>
        <v>17860896</v>
      </c>
      <c r="R310" s="4" t="str">
        <f t="shared" ca="1" si="67"/>
        <v>OK</v>
      </c>
      <c r="S310" s="6">
        <f>78404.56+448009.51+236084.91+259445.69</f>
        <v>1021944.6700000002</v>
      </c>
      <c r="T310" s="5">
        <v>45121</v>
      </c>
      <c r="U310" s="30" t="str">
        <f t="shared" si="57"/>
        <v>PAGADO</v>
      </c>
    </row>
    <row r="311" spans="1:21" x14ac:dyDescent="0.25">
      <c r="A311" s="4" t="str">
        <f t="shared" si="58"/>
        <v>20238</v>
      </c>
      <c r="B311" s="4" t="s">
        <v>20</v>
      </c>
      <c r="C311" s="4" t="s">
        <v>21</v>
      </c>
      <c r="D311" s="29">
        <v>8140097009</v>
      </c>
      <c r="E311" s="28">
        <v>45146</v>
      </c>
      <c r="F311" s="4">
        <v>9</v>
      </c>
      <c r="G311" s="4">
        <v>27</v>
      </c>
      <c r="H311" s="6">
        <v>637888</v>
      </c>
      <c r="I311" s="6">
        <v>363259.08952421439</v>
      </c>
      <c r="J311" s="6">
        <v>0</v>
      </c>
      <c r="K311" s="6">
        <v>0</v>
      </c>
      <c r="L311" s="6">
        <f t="shared" si="65"/>
        <v>0</v>
      </c>
      <c r="M311" s="7">
        <f t="shared" si="66"/>
        <v>1.0416666666666666E-2</v>
      </c>
      <c r="N311" s="7">
        <f t="shared" si="68"/>
        <v>2.0338234404601783E-2</v>
      </c>
      <c r="O311" s="7">
        <f t="shared" si="59"/>
        <v>0.95247050284177126</v>
      </c>
      <c r="P311" s="6">
        <f t="shared" si="60"/>
        <v>1001147.0895242144</v>
      </c>
      <c r="Q311" s="6">
        <f t="shared" si="69"/>
        <v>17223008</v>
      </c>
      <c r="R311" s="4" t="str">
        <f t="shared" ca="1" si="67"/>
        <v>OK</v>
      </c>
      <c r="S311" s="6">
        <f>1017643+17758852</f>
        <v>18776495</v>
      </c>
      <c r="T311" s="5">
        <v>45146</v>
      </c>
      <c r="U311" s="30" t="str">
        <f t="shared" si="57"/>
        <v>PAGADO</v>
      </c>
    </row>
    <row r="312" spans="1:21" x14ac:dyDescent="0.25">
      <c r="A312" s="4" t="str">
        <f t="shared" si="58"/>
        <v>20239</v>
      </c>
      <c r="B312" s="4" t="s">
        <v>20</v>
      </c>
      <c r="C312" s="4" t="s">
        <v>21</v>
      </c>
      <c r="D312" s="29">
        <v>8140097009</v>
      </c>
      <c r="E312" s="28">
        <v>45177</v>
      </c>
      <c r="F312" s="4">
        <v>10</v>
      </c>
      <c r="G312" s="4">
        <v>26</v>
      </c>
      <c r="H312" s="6">
        <v>637888</v>
      </c>
      <c r="I312" s="6">
        <v>350285.57385633176</v>
      </c>
      <c r="J312" s="6">
        <v>0</v>
      </c>
      <c r="K312" s="6">
        <v>0</v>
      </c>
      <c r="L312" s="6">
        <f t="shared" si="65"/>
        <v>0</v>
      </c>
      <c r="M312" s="7">
        <f t="shared" si="66"/>
        <v>1.0416666666666666E-2</v>
      </c>
      <c r="N312" s="7">
        <f t="shared" si="68"/>
        <v>2.0338234404601783E-2</v>
      </c>
      <c r="O312" s="7">
        <v>0</v>
      </c>
      <c r="P312" s="6">
        <f t="shared" si="60"/>
        <v>988173.57385633176</v>
      </c>
      <c r="Q312" s="6">
        <f t="shared" si="69"/>
        <v>16585120</v>
      </c>
      <c r="R312" s="4" t="str">
        <f t="shared" ca="1" si="67"/>
        <v>OK</v>
      </c>
      <c r="S312" s="6">
        <v>1004017</v>
      </c>
      <c r="T312" s="5">
        <v>45177</v>
      </c>
      <c r="U312" s="30" t="str">
        <f t="shared" si="57"/>
        <v>PAGADO</v>
      </c>
    </row>
    <row r="313" spans="1:21" x14ac:dyDescent="0.25">
      <c r="A313" s="4" t="str">
        <f t="shared" si="58"/>
        <v>202310</v>
      </c>
      <c r="B313" s="4" t="s">
        <v>20</v>
      </c>
      <c r="C313" s="4" t="s">
        <v>21</v>
      </c>
      <c r="D313" s="29">
        <v>8140097009</v>
      </c>
      <c r="E313" s="28">
        <v>45207</v>
      </c>
      <c r="F313" s="4">
        <v>11</v>
      </c>
      <c r="G313" s="4">
        <v>25</v>
      </c>
      <c r="H313" s="6">
        <v>637888</v>
      </c>
      <c r="I313" s="6">
        <f>978731-H313</f>
        <v>340843</v>
      </c>
      <c r="J313" s="6">
        <v>0</v>
      </c>
      <c r="K313" s="6">
        <v>0</v>
      </c>
      <c r="L313" s="6">
        <v>0</v>
      </c>
      <c r="M313" s="7">
        <f t="shared" si="66"/>
        <v>1.0416666666666666E-2</v>
      </c>
      <c r="N313" s="7">
        <f t="shared" si="68"/>
        <v>2.0551132581494738E-2</v>
      </c>
      <c r="O313" s="7">
        <v>0</v>
      </c>
      <c r="P313" s="6">
        <f t="shared" si="60"/>
        <v>978731</v>
      </c>
      <c r="Q313" s="6">
        <f t="shared" si="69"/>
        <v>15947232</v>
      </c>
      <c r="R313" s="4" t="str">
        <f t="shared" ca="1" si="67"/>
        <v>OK</v>
      </c>
      <c r="S313" s="6">
        <v>978731</v>
      </c>
      <c r="T313" s="5">
        <v>45208</v>
      </c>
      <c r="U313" s="30" t="str">
        <f t="shared" si="57"/>
        <v>PAGADO</v>
      </c>
    </row>
    <row r="314" spans="1:21" x14ac:dyDescent="0.25">
      <c r="A314" s="4" t="str">
        <f t="shared" si="58"/>
        <v>202311</v>
      </c>
      <c r="B314" s="4" t="s">
        <v>20</v>
      </c>
      <c r="C314" s="4" t="s">
        <v>21</v>
      </c>
      <c r="D314" s="29">
        <v>8140097009</v>
      </c>
      <c r="E314" s="28">
        <v>45238</v>
      </c>
      <c r="F314" s="4">
        <v>12</v>
      </c>
      <c r="G314" s="4">
        <v>24</v>
      </c>
      <c r="H314" s="6">
        <v>637888</v>
      </c>
      <c r="I314" s="6">
        <v>339418</v>
      </c>
      <c r="J314" s="6">
        <v>0</v>
      </c>
      <c r="K314" s="6">
        <v>0</v>
      </c>
      <c r="L314" s="6">
        <v>0</v>
      </c>
      <c r="M314" s="7">
        <f t="shared" si="66"/>
        <v>1.0416666666666666E-2</v>
      </c>
      <c r="N314" s="7">
        <f t="shared" si="68"/>
        <v>2.1283819035178016E-2</v>
      </c>
      <c r="O314" s="7">
        <v>0</v>
      </c>
      <c r="P314" s="6">
        <f t="shared" si="60"/>
        <v>977306</v>
      </c>
      <c r="Q314" s="6">
        <f t="shared" si="69"/>
        <v>15309344</v>
      </c>
      <c r="R314" s="4" t="str">
        <f t="shared" ca="1" si="67"/>
        <v>OK</v>
      </c>
      <c r="S314" s="6">
        <v>977306</v>
      </c>
      <c r="T314" s="5">
        <v>45239</v>
      </c>
      <c r="U314" s="30" t="str">
        <f t="shared" si="57"/>
        <v>PAGADO</v>
      </c>
    </row>
    <row r="315" spans="1:21" x14ac:dyDescent="0.25">
      <c r="A315" s="4" t="str">
        <f t="shared" si="58"/>
        <v>202312</v>
      </c>
      <c r="B315" s="4" t="s">
        <v>20</v>
      </c>
      <c r="C315" s="4" t="s">
        <v>21</v>
      </c>
      <c r="D315" s="29">
        <v>8140097009</v>
      </c>
      <c r="E315" s="28">
        <v>45268</v>
      </c>
      <c r="F315" s="4">
        <v>13</v>
      </c>
      <c r="G315" s="4">
        <v>23</v>
      </c>
      <c r="H315" s="6">
        <v>637888</v>
      </c>
      <c r="I315" s="6">
        <v>314715</v>
      </c>
      <c r="J315" s="6">
        <v>0</v>
      </c>
      <c r="K315" s="6">
        <v>0</v>
      </c>
      <c r="L315" s="6">
        <f t="shared" si="65"/>
        <v>0</v>
      </c>
      <c r="M315" s="7">
        <f t="shared" si="66"/>
        <v>1.0416666666666666E-2</v>
      </c>
      <c r="N315" s="7">
        <f t="shared" si="68"/>
        <v>2.0557053261067229E-2</v>
      </c>
      <c r="O315" s="7">
        <v>0</v>
      </c>
      <c r="P315" s="6">
        <f t="shared" si="60"/>
        <v>952603</v>
      </c>
      <c r="Q315" s="6">
        <f t="shared" si="69"/>
        <v>14671456</v>
      </c>
      <c r="R315" s="4" t="str">
        <f t="shared" ca="1" si="67"/>
        <v>OK</v>
      </c>
      <c r="S315" s="6">
        <v>954803</v>
      </c>
      <c r="T315" s="5">
        <v>45271</v>
      </c>
      <c r="U315" s="30" t="str">
        <f t="shared" si="57"/>
        <v>PAGADO</v>
      </c>
    </row>
    <row r="316" spans="1:21" x14ac:dyDescent="0.25">
      <c r="A316" s="4" t="str">
        <f t="shared" si="58"/>
        <v>20241</v>
      </c>
      <c r="B316" s="4" t="s">
        <v>20</v>
      </c>
      <c r="C316" s="4" t="s">
        <v>21</v>
      </c>
      <c r="D316" s="29">
        <v>8140097009</v>
      </c>
      <c r="E316" s="28">
        <v>45299</v>
      </c>
      <c r="F316" s="4">
        <v>14</v>
      </c>
      <c r="G316" s="4">
        <v>22</v>
      </c>
      <c r="H316" s="6">
        <v>637888</v>
      </c>
      <c r="I316" s="6">
        <v>298391.51118480123</v>
      </c>
      <c r="J316" s="6">
        <v>0</v>
      </c>
      <c r="K316" s="6">
        <v>0</v>
      </c>
      <c r="L316" s="6">
        <f t="shared" si="65"/>
        <v>0</v>
      </c>
      <c r="M316" s="7">
        <f t="shared" si="66"/>
        <v>1.0416666666666666E-2</v>
      </c>
      <c r="N316" s="7">
        <f t="shared" si="68"/>
        <v>2.0338234404601783E-2</v>
      </c>
      <c r="O316" s="7">
        <v>0</v>
      </c>
      <c r="P316" s="6">
        <f t="shared" si="60"/>
        <v>936279.51118480123</v>
      </c>
      <c r="Q316" s="6">
        <f t="shared" si="69"/>
        <v>14033568</v>
      </c>
      <c r="R316" s="4" t="str">
        <f t="shared" ca="1" si="67"/>
        <v>OK</v>
      </c>
      <c r="S316" s="6">
        <v>1425965</v>
      </c>
      <c r="T316" s="5">
        <v>45301</v>
      </c>
      <c r="U316" s="30" t="str">
        <f t="shared" si="57"/>
        <v>PAGADO</v>
      </c>
    </row>
    <row r="317" spans="1:21" x14ac:dyDescent="0.25">
      <c r="A317" s="4" t="str">
        <f t="shared" si="58"/>
        <v>20242</v>
      </c>
      <c r="B317" s="4" t="s">
        <v>20</v>
      </c>
      <c r="C317" s="4" t="s">
        <v>21</v>
      </c>
      <c r="D317" s="29">
        <v>8140097009</v>
      </c>
      <c r="E317" s="28">
        <v>45330</v>
      </c>
      <c r="F317" s="4">
        <v>15</v>
      </c>
      <c r="G317" s="4">
        <v>21</v>
      </c>
      <c r="H317" s="6">
        <v>637888</v>
      </c>
      <c r="I317" s="6">
        <v>285417.99551691866</v>
      </c>
      <c r="J317" s="6">
        <v>0</v>
      </c>
      <c r="K317" s="6">
        <v>0</v>
      </c>
      <c r="L317" s="6">
        <f t="shared" si="65"/>
        <v>0</v>
      </c>
      <c r="M317" s="7">
        <f t="shared" si="66"/>
        <v>1.0416666666666666E-2</v>
      </c>
      <c r="N317" s="7">
        <f t="shared" si="68"/>
        <v>2.0338234404601786E-2</v>
      </c>
      <c r="O317" s="7">
        <v>0</v>
      </c>
      <c r="P317" s="6">
        <f t="shared" si="60"/>
        <v>923305.9955169186</v>
      </c>
      <c r="Q317" s="6">
        <f t="shared" si="69"/>
        <v>13395680</v>
      </c>
      <c r="R317" s="4" t="str">
        <f t="shared" ca="1" si="67"/>
        <v>OK</v>
      </c>
      <c r="S317" s="6">
        <v>934449</v>
      </c>
      <c r="T317" s="5">
        <v>45331</v>
      </c>
      <c r="U317" s="30" t="str">
        <f t="shared" si="57"/>
        <v>PAGADO</v>
      </c>
    </row>
    <row r="318" spans="1:21" x14ac:dyDescent="0.25">
      <c r="A318" s="4" t="str">
        <f t="shared" si="58"/>
        <v>20243</v>
      </c>
      <c r="B318" s="4" t="s">
        <v>20</v>
      </c>
      <c r="C318" s="4" t="s">
        <v>21</v>
      </c>
      <c r="D318" s="29">
        <v>8140097009</v>
      </c>
      <c r="E318" s="28">
        <v>45359</v>
      </c>
      <c r="F318" s="4">
        <v>16</v>
      </c>
      <c r="G318" s="4">
        <v>20</v>
      </c>
      <c r="H318" s="6">
        <v>637888</v>
      </c>
      <c r="I318" s="6">
        <v>272444.47984903603</v>
      </c>
      <c r="J318" s="6">
        <v>0</v>
      </c>
      <c r="K318" s="6">
        <v>0</v>
      </c>
      <c r="L318" s="6">
        <f t="shared" si="65"/>
        <v>0</v>
      </c>
      <c r="M318" s="7">
        <f t="shared" si="66"/>
        <v>1.0416666666666666E-2</v>
      </c>
      <c r="N318" s="7">
        <f t="shared" si="68"/>
        <v>2.0338234404601783E-2</v>
      </c>
      <c r="O318" s="7">
        <v>0</v>
      </c>
      <c r="P318" s="6">
        <f t="shared" si="60"/>
        <v>910332.47984903608</v>
      </c>
      <c r="Q318" s="6">
        <f t="shared" si="69"/>
        <v>12757792</v>
      </c>
      <c r="R318" s="4" t="str">
        <f t="shared" ca="1" si="67"/>
        <v>OK</v>
      </c>
      <c r="S318" s="6">
        <v>900489</v>
      </c>
      <c r="T318" s="5">
        <v>45362</v>
      </c>
      <c r="U318" s="30" t="str">
        <f t="shared" si="57"/>
        <v>PAGADO</v>
      </c>
    </row>
    <row r="319" spans="1:21" x14ac:dyDescent="0.25">
      <c r="A319" s="4" t="str">
        <f t="shared" si="58"/>
        <v>20244</v>
      </c>
      <c r="B319" s="4" t="s">
        <v>20</v>
      </c>
      <c r="C319" s="4" t="s">
        <v>21</v>
      </c>
      <c r="D319" s="29">
        <v>8140097009</v>
      </c>
      <c r="E319" s="28">
        <v>45390</v>
      </c>
      <c r="F319" s="4">
        <v>17</v>
      </c>
      <c r="G319" s="4">
        <v>19</v>
      </c>
      <c r="H319" s="6">
        <v>637888</v>
      </c>
      <c r="I319" s="6">
        <v>259470.96418115339</v>
      </c>
      <c r="J319" s="6">
        <v>0</v>
      </c>
      <c r="K319" s="6">
        <v>0</v>
      </c>
      <c r="L319" s="6">
        <f t="shared" si="65"/>
        <v>9843.4798490360845</v>
      </c>
      <c r="M319" s="7">
        <f t="shared" si="66"/>
        <v>1.0416666666666666E-2</v>
      </c>
      <c r="N319" s="7">
        <f t="shared" si="68"/>
        <v>2.0338234404601783E-2</v>
      </c>
      <c r="O319" s="7">
        <v>0</v>
      </c>
      <c r="P319" s="6">
        <f t="shared" si="60"/>
        <v>907202.44403018942</v>
      </c>
      <c r="Q319" s="6">
        <f t="shared" si="69"/>
        <v>12119904</v>
      </c>
      <c r="R319" s="4" t="str">
        <f t="shared" ca="1" si="67"/>
        <v>OK</v>
      </c>
      <c r="S319" s="6">
        <v>902222</v>
      </c>
      <c r="T319" s="5">
        <v>45391</v>
      </c>
      <c r="U319" s="30" t="str">
        <f t="shared" si="57"/>
        <v>PAGADO</v>
      </c>
    </row>
    <row r="320" spans="1:21" x14ac:dyDescent="0.25">
      <c r="A320" s="4" t="str">
        <f t="shared" si="58"/>
        <v>20245</v>
      </c>
      <c r="B320" s="4" t="s">
        <v>20</v>
      </c>
      <c r="C320" s="4" t="s">
        <v>21</v>
      </c>
      <c r="D320" s="29">
        <v>8140097009</v>
      </c>
      <c r="E320" s="28">
        <v>45420</v>
      </c>
      <c r="F320" s="4">
        <v>18</v>
      </c>
      <c r="G320" s="4">
        <v>18</v>
      </c>
      <c r="H320" s="6">
        <v>637888</v>
      </c>
      <c r="I320" s="6">
        <v>246497.44851327076</v>
      </c>
      <c r="J320" s="6">
        <v>0</v>
      </c>
      <c r="K320" s="6">
        <v>0</v>
      </c>
      <c r="L320" s="6">
        <f t="shared" si="65"/>
        <v>4980.444030189421</v>
      </c>
      <c r="M320" s="7">
        <f t="shared" si="66"/>
        <v>1.0416666666666666E-2</v>
      </c>
      <c r="N320" s="7">
        <f t="shared" si="68"/>
        <v>2.0338234404601783E-2</v>
      </c>
      <c r="O320" s="7">
        <v>0</v>
      </c>
      <c r="P320" s="6">
        <f t="shared" si="60"/>
        <v>889365.89254346024</v>
      </c>
      <c r="Q320" s="6">
        <f t="shared" si="69"/>
        <v>11482016</v>
      </c>
      <c r="R320" s="4" t="str">
        <f t="shared" ca="1" si="67"/>
        <v>OK</v>
      </c>
      <c r="S320" s="6">
        <v>880329</v>
      </c>
      <c r="T320" s="5">
        <v>45427</v>
      </c>
      <c r="U320" s="30" t="str">
        <f t="shared" si="57"/>
        <v>PAGADO</v>
      </c>
    </row>
    <row r="321" spans="1:21" x14ac:dyDescent="0.25">
      <c r="A321" s="4" t="str">
        <f t="shared" si="58"/>
        <v>20246</v>
      </c>
      <c r="B321" s="4" t="s">
        <v>20</v>
      </c>
      <c r="C321" s="4" t="s">
        <v>21</v>
      </c>
      <c r="D321" s="29">
        <v>8140097009</v>
      </c>
      <c r="E321" s="28">
        <v>45451</v>
      </c>
      <c r="F321" s="4">
        <v>19</v>
      </c>
      <c r="G321" s="4">
        <v>17</v>
      </c>
      <c r="H321" s="6">
        <v>637888</v>
      </c>
      <c r="I321" s="6">
        <v>233523.93284538813</v>
      </c>
      <c r="J321" s="6">
        <v>0</v>
      </c>
      <c r="K321" s="6">
        <v>0</v>
      </c>
      <c r="L321" s="6">
        <f t="shared" si="65"/>
        <v>9036.8925434602425</v>
      </c>
      <c r="M321" s="7">
        <f t="shared" si="66"/>
        <v>1.0416666666666666E-2</v>
      </c>
      <c r="N321" s="7">
        <f t="shared" si="68"/>
        <v>2.0338234404601783E-2</v>
      </c>
      <c r="O321" s="7">
        <v>0</v>
      </c>
      <c r="P321" s="6">
        <f t="shared" si="60"/>
        <v>880448.82538884832</v>
      </c>
      <c r="Q321" s="6">
        <f t="shared" si="69"/>
        <v>10844128</v>
      </c>
      <c r="R321" s="4" t="str">
        <f t="shared" ca="1" si="67"/>
        <v>OK</v>
      </c>
      <c r="S321" s="6">
        <v>868143</v>
      </c>
      <c r="T321" s="5">
        <v>45454</v>
      </c>
      <c r="U321" s="30" t="str">
        <f t="shared" si="57"/>
        <v>PAGADO</v>
      </c>
    </row>
    <row r="322" spans="1:21" x14ac:dyDescent="0.25">
      <c r="A322" s="4" t="str">
        <f t="shared" si="58"/>
        <v>20247</v>
      </c>
      <c r="B322" s="4" t="s">
        <v>20</v>
      </c>
      <c r="C322" s="4" t="s">
        <v>21</v>
      </c>
      <c r="D322" s="29">
        <v>8140097009</v>
      </c>
      <c r="E322" s="28">
        <v>45481</v>
      </c>
      <c r="F322" s="4">
        <v>20</v>
      </c>
      <c r="G322" s="4">
        <v>16</v>
      </c>
      <c r="H322" s="6">
        <v>637888</v>
      </c>
      <c r="I322" s="6">
        <v>220550.41717750553</v>
      </c>
      <c r="J322" s="6">
        <v>0</v>
      </c>
      <c r="K322" s="6">
        <v>0</v>
      </c>
      <c r="L322" s="6">
        <f t="shared" si="65"/>
        <v>12305.825388848316</v>
      </c>
      <c r="M322" s="7">
        <f t="shared" si="66"/>
        <v>1.0416666666666666E-2</v>
      </c>
      <c r="N322" s="7">
        <f t="shared" si="68"/>
        <v>2.0338234404601783E-2</v>
      </c>
      <c r="O322" s="7">
        <v>0</v>
      </c>
      <c r="P322" s="6">
        <f t="shared" si="60"/>
        <v>870744.24256635387</v>
      </c>
      <c r="Q322" s="6">
        <f t="shared" si="69"/>
        <v>10206240</v>
      </c>
      <c r="R322" s="4" t="str">
        <f t="shared" ca="1" si="67"/>
        <v>OK</v>
      </c>
      <c r="S322" s="6">
        <v>847509</v>
      </c>
      <c r="T322" s="5">
        <v>45479</v>
      </c>
      <c r="U322" s="30" t="str">
        <f t="shared" ref="U322:U385" si="70">IF(AND(S322="",T322=""),"PENDIENTE",IF(AND(S322&lt;&gt;"",T322&lt;&gt;""),"PAGADO","ABONADO"))</f>
        <v>PAGADO</v>
      </c>
    </row>
    <row r="323" spans="1:21" x14ac:dyDescent="0.25">
      <c r="A323" s="4" t="str">
        <f t="shared" ref="A323:A386" si="71">CONCATENATE(YEAR($E323),MONTH($E323))</f>
        <v>20248</v>
      </c>
      <c r="B323" s="4" t="s">
        <v>20</v>
      </c>
      <c r="C323" s="4" t="s">
        <v>21</v>
      </c>
      <c r="D323" s="29">
        <v>8140097009</v>
      </c>
      <c r="E323" s="28">
        <v>45512</v>
      </c>
      <c r="F323" s="4">
        <v>21</v>
      </c>
      <c r="G323" s="4">
        <v>15</v>
      </c>
      <c r="H323" s="6">
        <v>637888</v>
      </c>
      <c r="I323" s="6">
        <v>207576.9015096229</v>
      </c>
      <c r="J323" s="6">
        <v>0</v>
      </c>
      <c r="K323" s="6">
        <v>0</v>
      </c>
      <c r="L323" s="6">
        <f t="shared" si="65"/>
        <v>23235.242566353874</v>
      </c>
      <c r="M323" s="7">
        <f t="shared" si="66"/>
        <v>1.0416666666666666E-2</v>
      </c>
      <c r="N323" s="7">
        <f t="shared" si="68"/>
        <v>2.0338234404601783E-2</v>
      </c>
      <c r="O323" s="7">
        <v>0</v>
      </c>
      <c r="P323" s="6">
        <f t="shared" si="60"/>
        <v>868700.1440759768</v>
      </c>
      <c r="Q323" s="6">
        <f t="shared" si="69"/>
        <v>9568352</v>
      </c>
      <c r="R323" s="4" t="str">
        <f t="shared" ca="1" si="67"/>
        <v>OK</v>
      </c>
      <c r="S323" s="6">
        <v>851121</v>
      </c>
      <c r="T323" s="5">
        <v>45514</v>
      </c>
      <c r="U323" s="30" t="str">
        <f t="shared" si="70"/>
        <v>PAGADO</v>
      </c>
    </row>
    <row r="324" spans="1:21" x14ac:dyDescent="0.25">
      <c r="A324" s="4" t="str">
        <f t="shared" si="71"/>
        <v>20249</v>
      </c>
      <c r="B324" s="4" t="s">
        <v>20</v>
      </c>
      <c r="C324" s="4" t="s">
        <v>21</v>
      </c>
      <c r="D324" s="29">
        <v>8140097009</v>
      </c>
      <c r="E324" s="28">
        <v>45543</v>
      </c>
      <c r="F324" s="4">
        <v>22</v>
      </c>
      <c r="G324" s="4">
        <v>14</v>
      </c>
      <c r="H324" s="6">
        <v>637888</v>
      </c>
      <c r="I324" s="6">
        <v>194603.38584174027</v>
      </c>
      <c r="J324" s="6">
        <v>0</v>
      </c>
      <c r="K324" s="6">
        <v>0</v>
      </c>
      <c r="L324" s="6">
        <f t="shared" si="65"/>
        <v>17579.144075976801</v>
      </c>
      <c r="M324" s="7">
        <f t="shared" si="66"/>
        <v>1.0416666666666666E-2</v>
      </c>
      <c r="N324" s="7">
        <f t="shared" si="68"/>
        <v>2.0338234404601783E-2</v>
      </c>
      <c r="O324" s="7">
        <v>0</v>
      </c>
      <c r="P324" s="6">
        <f t="shared" ref="P324:P375" si="72">H324+I324+J324+K324+L324</f>
        <v>850070.5299177171</v>
      </c>
      <c r="Q324" s="6">
        <f t="shared" si="69"/>
        <v>8930464</v>
      </c>
      <c r="R324" s="4">
        <f t="shared" ca="1" si="67"/>
        <v>-5</v>
      </c>
      <c r="S324" s="6"/>
      <c r="T324" s="5"/>
      <c r="U324" s="30" t="str">
        <f t="shared" si="70"/>
        <v>PENDIENTE</v>
      </c>
    </row>
    <row r="325" spans="1:21" x14ac:dyDescent="0.25">
      <c r="A325" s="4" t="str">
        <f t="shared" si="71"/>
        <v>202410</v>
      </c>
      <c r="B325" s="4" t="s">
        <v>20</v>
      </c>
      <c r="C325" s="4" t="s">
        <v>21</v>
      </c>
      <c r="D325" s="29">
        <v>8140097009</v>
      </c>
      <c r="E325" s="28">
        <v>45573</v>
      </c>
      <c r="F325" s="4">
        <v>23</v>
      </c>
      <c r="G325" s="4">
        <v>13</v>
      </c>
      <c r="H325" s="6">
        <v>637888</v>
      </c>
      <c r="I325" s="6">
        <v>181629.87017385766</v>
      </c>
      <c r="J325" s="6">
        <v>0</v>
      </c>
      <c r="K325" s="6">
        <v>0</v>
      </c>
      <c r="L325" s="6">
        <f t="shared" si="65"/>
        <v>0</v>
      </c>
      <c r="M325" s="7">
        <f t="shared" si="66"/>
        <v>1.0416666666666666E-2</v>
      </c>
      <c r="N325" s="7">
        <f t="shared" si="68"/>
        <v>2.0338234404601783E-2</v>
      </c>
      <c r="O325" s="7">
        <v>0</v>
      </c>
      <c r="P325" s="6">
        <f t="shared" si="72"/>
        <v>819517.87017385766</v>
      </c>
      <c r="Q325" s="6">
        <f t="shared" si="69"/>
        <v>8292576</v>
      </c>
      <c r="R325" s="4">
        <f t="shared" ca="1" si="67"/>
        <v>-5</v>
      </c>
      <c r="S325" s="6"/>
      <c r="T325" s="5"/>
      <c r="U325" s="30" t="str">
        <f t="shared" si="70"/>
        <v>PENDIENTE</v>
      </c>
    </row>
    <row r="326" spans="1:21" x14ac:dyDescent="0.25">
      <c r="A326" s="4" t="str">
        <f t="shared" si="71"/>
        <v>202411</v>
      </c>
      <c r="B326" s="4" t="s">
        <v>20</v>
      </c>
      <c r="C326" s="4" t="s">
        <v>21</v>
      </c>
      <c r="D326" s="29">
        <v>8140097009</v>
      </c>
      <c r="E326" s="28">
        <v>45604</v>
      </c>
      <c r="F326" s="4">
        <v>24</v>
      </c>
      <c r="G326" s="4">
        <v>12</v>
      </c>
      <c r="H326" s="6">
        <v>637888</v>
      </c>
      <c r="I326" s="6">
        <v>168656.35450597503</v>
      </c>
      <c r="J326" s="6">
        <v>0</v>
      </c>
      <c r="K326" s="6">
        <v>0</v>
      </c>
      <c r="L326" s="6">
        <f t="shared" si="65"/>
        <v>0</v>
      </c>
      <c r="M326" s="7">
        <f t="shared" si="66"/>
        <v>1.0416666666666666E-2</v>
      </c>
      <c r="N326" s="7">
        <f t="shared" si="68"/>
        <v>2.0338234404601783E-2</v>
      </c>
      <c r="O326" s="7">
        <v>0</v>
      </c>
      <c r="P326" s="6">
        <f t="shared" si="72"/>
        <v>806544.35450597503</v>
      </c>
      <c r="Q326" s="6">
        <f t="shared" si="69"/>
        <v>7654688</v>
      </c>
      <c r="R326" s="4">
        <f t="shared" ca="1" si="67"/>
        <v>-35</v>
      </c>
      <c r="S326" s="6"/>
      <c r="T326" s="5"/>
      <c r="U326" s="30" t="str">
        <f t="shared" si="70"/>
        <v>PENDIENTE</v>
      </c>
    </row>
    <row r="327" spans="1:21" x14ac:dyDescent="0.25">
      <c r="A327" s="4" t="str">
        <f t="shared" si="71"/>
        <v>202412</v>
      </c>
      <c r="B327" s="4" t="s">
        <v>20</v>
      </c>
      <c r="C327" s="4" t="s">
        <v>21</v>
      </c>
      <c r="D327" s="29">
        <v>8140097009</v>
      </c>
      <c r="E327" s="28">
        <v>45634</v>
      </c>
      <c r="F327" s="4">
        <v>25</v>
      </c>
      <c r="G327" s="4">
        <v>11</v>
      </c>
      <c r="H327" s="6">
        <v>637888</v>
      </c>
      <c r="I327" s="6">
        <v>155682.8388380924</v>
      </c>
      <c r="J327" s="6">
        <v>0</v>
      </c>
      <c r="K327" s="6">
        <v>0</v>
      </c>
      <c r="L327" s="6">
        <f t="shared" si="65"/>
        <v>0</v>
      </c>
      <c r="M327" s="7">
        <f t="shared" si="66"/>
        <v>1.0416666666666666E-2</v>
      </c>
      <c r="N327" s="7">
        <f t="shared" si="68"/>
        <v>2.0338234404601783E-2</v>
      </c>
      <c r="O327" s="7">
        <v>0</v>
      </c>
      <c r="P327" s="6">
        <f t="shared" si="72"/>
        <v>793570.8388380924</v>
      </c>
      <c r="Q327" s="6">
        <f t="shared" si="69"/>
        <v>7016800</v>
      </c>
      <c r="R327" s="4">
        <f t="shared" ca="1" si="67"/>
        <v>-66</v>
      </c>
      <c r="S327" s="6"/>
      <c r="T327" s="5"/>
      <c r="U327" s="30" t="str">
        <f t="shared" si="70"/>
        <v>PENDIENTE</v>
      </c>
    </row>
    <row r="328" spans="1:21" x14ac:dyDescent="0.25">
      <c r="A328" s="4" t="str">
        <f t="shared" si="71"/>
        <v>20251</v>
      </c>
      <c r="B328" s="4" t="s">
        <v>20</v>
      </c>
      <c r="C328" s="4" t="s">
        <v>21</v>
      </c>
      <c r="D328" s="29">
        <v>8140097009</v>
      </c>
      <c r="E328" s="28">
        <v>45665</v>
      </c>
      <c r="F328" s="4">
        <v>26</v>
      </c>
      <c r="G328" s="4">
        <v>10</v>
      </c>
      <c r="H328" s="6">
        <v>637888</v>
      </c>
      <c r="I328" s="6">
        <v>142709.3231702098</v>
      </c>
      <c r="J328" s="6">
        <v>0</v>
      </c>
      <c r="K328" s="6">
        <v>0</v>
      </c>
      <c r="L328" s="6">
        <f t="shared" si="65"/>
        <v>0</v>
      </c>
      <c r="M328" s="7">
        <f t="shared" si="66"/>
        <v>1.0416666666666666E-2</v>
      </c>
      <c r="N328" s="7">
        <f t="shared" si="68"/>
        <v>2.0338234404601783E-2</v>
      </c>
      <c r="O328" s="7">
        <v>0</v>
      </c>
      <c r="P328" s="6">
        <f t="shared" si="72"/>
        <v>780597.32317020977</v>
      </c>
      <c r="Q328" s="6">
        <f t="shared" si="69"/>
        <v>6378912</v>
      </c>
      <c r="R328" s="4">
        <f t="shared" ca="1" si="67"/>
        <v>-96</v>
      </c>
      <c r="S328" s="6"/>
      <c r="T328" s="5"/>
      <c r="U328" s="30" t="str">
        <f t="shared" si="70"/>
        <v>PENDIENTE</v>
      </c>
    </row>
    <row r="329" spans="1:21" x14ac:dyDescent="0.25">
      <c r="A329" s="4" t="str">
        <f t="shared" si="71"/>
        <v>20252</v>
      </c>
      <c r="B329" s="4" t="s">
        <v>20</v>
      </c>
      <c r="C329" s="4" t="s">
        <v>21</v>
      </c>
      <c r="D329" s="29">
        <v>8140097009</v>
      </c>
      <c r="E329" s="28">
        <v>45696</v>
      </c>
      <c r="F329" s="4">
        <v>27</v>
      </c>
      <c r="G329" s="4">
        <v>9</v>
      </c>
      <c r="H329" s="6">
        <v>637888</v>
      </c>
      <c r="I329" s="6">
        <v>129735.80750232717</v>
      </c>
      <c r="J329" s="6">
        <v>0</v>
      </c>
      <c r="K329" s="6">
        <v>0</v>
      </c>
      <c r="L329" s="6">
        <f t="shared" si="65"/>
        <v>0</v>
      </c>
      <c r="M329" s="7">
        <f t="shared" si="66"/>
        <v>1.0416666666666666E-2</v>
      </c>
      <c r="N329" s="7">
        <f t="shared" si="68"/>
        <v>2.0338234404601783E-2</v>
      </c>
      <c r="O329" s="7">
        <v>0</v>
      </c>
      <c r="P329" s="6">
        <f t="shared" si="72"/>
        <v>767623.80750232714</v>
      </c>
      <c r="Q329" s="6">
        <f t="shared" si="69"/>
        <v>5741024</v>
      </c>
      <c r="R329" s="4">
        <f t="shared" ca="1" si="67"/>
        <v>-127</v>
      </c>
      <c r="S329" s="6"/>
      <c r="T329" s="5"/>
      <c r="U329" s="30" t="str">
        <f t="shared" si="70"/>
        <v>PENDIENTE</v>
      </c>
    </row>
    <row r="330" spans="1:21" x14ac:dyDescent="0.25">
      <c r="A330" s="4" t="str">
        <f t="shared" si="71"/>
        <v>20253</v>
      </c>
      <c r="B330" s="4" t="s">
        <v>20</v>
      </c>
      <c r="C330" s="4" t="s">
        <v>21</v>
      </c>
      <c r="D330" s="29">
        <v>8140097009</v>
      </c>
      <c r="E330" s="28">
        <v>45724</v>
      </c>
      <c r="F330" s="4">
        <v>28</v>
      </c>
      <c r="G330" s="4">
        <v>8</v>
      </c>
      <c r="H330" s="6">
        <v>637888</v>
      </c>
      <c r="I330" s="6">
        <v>116762.29183444455</v>
      </c>
      <c r="J330" s="6">
        <v>0</v>
      </c>
      <c r="K330" s="6">
        <v>0</v>
      </c>
      <c r="L330" s="6">
        <f t="shared" si="65"/>
        <v>0</v>
      </c>
      <c r="M330" s="7">
        <f t="shared" si="66"/>
        <v>1.0416666666666666E-2</v>
      </c>
      <c r="N330" s="7">
        <f t="shared" si="68"/>
        <v>2.0338234404601783E-2</v>
      </c>
      <c r="O330" s="7">
        <v>0</v>
      </c>
      <c r="P330" s="6">
        <f t="shared" si="72"/>
        <v>754650.29183444451</v>
      </c>
      <c r="Q330" s="6">
        <f t="shared" si="69"/>
        <v>5103136</v>
      </c>
      <c r="R330" s="4">
        <f t="shared" ca="1" si="67"/>
        <v>-158</v>
      </c>
      <c r="S330" s="6"/>
      <c r="T330" s="5"/>
      <c r="U330" s="30" t="str">
        <f t="shared" si="70"/>
        <v>PENDIENTE</v>
      </c>
    </row>
    <row r="331" spans="1:21" x14ac:dyDescent="0.25">
      <c r="A331" s="4" t="str">
        <f t="shared" si="71"/>
        <v>20254</v>
      </c>
      <c r="B331" s="4" t="s">
        <v>20</v>
      </c>
      <c r="C331" s="4" t="s">
        <v>21</v>
      </c>
      <c r="D331" s="29">
        <v>8140097009</v>
      </c>
      <c r="E331" s="28">
        <v>45755</v>
      </c>
      <c r="F331" s="4">
        <v>29</v>
      </c>
      <c r="G331" s="4">
        <v>7</v>
      </c>
      <c r="H331" s="6">
        <v>637888</v>
      </c>
      <c r="I331" s="6">
        <v>103788.77616656192</v>
      </c>
      <c r="J331" s="6">
        <v>0</v>
      </c>
      <c r="K331" s="6">
        <v>0</v>
      </c>
      <c r="L331" s="6">
        <f t="shared" si="65"/>
        <v>0</v>
      </c>
      <c r="M331" s="7">
        <f t="shared" si="66"/>
        <v>1.0416666666666666E-2</v>
      </c>
      <c r="N331" s="7">
        <f t="shared" si="68"/>
        <v>2.0338234404601783E-2</v>
      </c>
      <c r="O331" s="7">
        <v>0</v>
      </c>
      <c r="P331" s="6">
        <f t="shared" si="72"/>
        <v>741676.77616656187</v>
      </c>
      <c r="Q331" s="6">
        <f t="shared" si="69"/>
        <v>4465248</v>
      </c>
      <c r="R331" s="4">
        <f t="shared" ca="1" si="67"/>
        <v>-186</v>
      </c>
      <c r="S331" s="6"/>
      <c r="T331" s="5"/>
      <c r="U331" s="30" t="str">
        <f t="shared" si="70"/>
        <v>PENDIENTE</v>
      </c>
    </row>
    <row r="332" spans="1:21" x14ac:dyDescent="0.25">
      <c r="A332" s="4" t="str">
        <f t="shared" si="71"/>
        <v>20255</v>
      </c>
      <c r="B332" s="4" t="s">
        <v>20</v>
      </c>
      <c r="C332" s="4" t="s">
        <v>21</v>
      </c>
      <c r="D332" s="29">
        <v>8140097009</v>
      </c>
      <c r="E332" s="28">
        <v>45785</v>
      </c>
      <c r="F332" s="4">
        <v>30</v>
      </c>
      <c r="G332" s="4">
        <v>6</v>
      </c>
      <c r="H332" s="6">
        <v>637888</v>
      </c>
      <c r="I332" s="6">
        <v>90815.260498679301</v>
      </c>
      <c r="J332" s="6">
        <v>0</v>
      </c>
      <c r="K332" s="6">
        <v>0</v>
      </c>
      <c r="L332" s="6">
        <f t="shared" si="65"/>
        <v>0</v>
      </c>
      <c r="M332" s="7">
        <f t="shared" si="66"/>
        <v>1.0416666666666666E-2</v>
      </c>
      <c r="N332" s="7">
        <f t="shared" si="68"/>
        <v>2.0338234404601783E-2</v>
      </c>
      <c r="O332" s="7">
        <v>0</v>
      </c>
      <c r="P332" s="6">
        <f t="shared" si="72"/>
        <v>728703.26049867924</v>
      </c>
      <c r="Q332" s="6">
        <f t="shared" si="69"/>
        <v>3827360</v>
      </c>
      <c r="R332" s="4">
        <f t="shared" ca="1" si="67"/>
        <v>-217</v>
      </c>
      <c r="S332" s="6"/>
      <c r="T332" s="5"/>
      <c r="U332" s="30" t="str">
        <f t="shared" si="70"/>
        <v>PENDIENTE</v>
      </c>
    </row>
    <row r="333" spans="1:21" x14ac:dyDescent="0.25">
      <c r="A333" s="4" t="str">
        <f t="shared" si="71"/>
        <v>20256</v>
      </c>
      <c r="B333" s="4" t="s">
        <v>20</v>
      </c>
      <c r="C333" s="4" t="s">
        <v>21</v>
      </c>
      <c r="D333" s="29">
        <v>8140097009</v>
      </c>
      <c r="E333" s="28">
        <v>45816</v>
      </c>
      <c r="F333" s="4">
        <v>31</v>
      </c>
      <c r="G333" s="4">
        <v>5</v>
      </c>
      <c r="H333" s="6">
        <v>637888</v>
      </c>
      <c r="I333" s="6">
        <v>77841.744830796684</v>
      </c>
      <c r="J333" s="6">
        <v>0</v>
      </c>
      <c r="K333" s="6">
        <v>0</v>
      </c>
      <c r="L333" s="6">
        <f t="shared" si="65"/>
        <v>0</v>
      </c>
      <c r="M333" s="7">
        <f t="shared" si="66"/>
        <v>1.0416666666666666E-2</v>
      </c>
      <c r="N333" s="7">
        <f t="shared" si="68"/>
        <v>2.0338234404601783E-2</v>
      </c>
      <c r="O333" s="7">
        <v>0</v>
      </c>
      <c r="P333" s="6">
        <f t="shared" si="72"/>
        <v>715729.74483079673</v>
      </c>
      <c r="Q333" s="6">
        <f t="shared" si="69"/>
        <v>3189472</v>
      </c>
      <c r="R333" s="4">
        <f t="shared" ca="1" si="67"/>
        <v>-247</v>
      </c>
      <c r="S333" s="6"/>
      <c r="T333" s="5"/>
      <c r="U333" s="30" t="str">
        <f t="shared" si="70"/>
        <v>PENDIENTE</v>
      </c>
    </row>
    <row r="334" spans="1:21" x14ac:dyDescent="0.25">
      <c r="A334" s="4" t="str">
        <f t="shared" si="71"/>
        <v>20257</v>
      </c>
      <c r="B334" s="4" t="s">
        <v>20</v>
      </c>
      <c r="C334" s="4" t="s">
        <v>21</v>
      </c>
      <c r="D334" s="29">
        <v>8140097009</v>
      </c>
      <c r="E334" s="28">
        <v>45846</v>
      </c>
      <c r="F334" s="4">
        <v>32</v>
      </c>
      <c r="G334" s="4">
        <v>4</v>
      </c>
      <c r="H334" s="6">
        <v>637888</v>
      </c>
      <c r="I334" s="6">
        <v>64868.22916291406</v>
      </c>
      <c r="J334" s="6">
        <v>0</v>
      </c>
      <c r="K334" s="6">
        <v>0</v>
      </c>
      <c r="L334" s="6">
        <f t="shared" si="65"/>
        <v>0</v>
      </c>
      <c r="M334" s="7">
        <f t="shared" si="66"/>
        <v>1.0416666666666666E-2</v>
      </c>
      <c r="N334" s="7">
        <f t="shared" si="68"/>
        <v>2.0338234404601783E-2</v>
      </c>
      <c r="O334" s="7">
        <v>0</v>
      </c>
      <c r="P334" s="6">
        <f t="shared" si="72"/>
        <v>702756.2291629141</v>
      </c>
      <c r="Q334" s="6">
        <f t="shared" si="69"/>
        <v>2551584</v>
      </c>
      <c r="R334" s="4">
        <f t="shared" ca="1" si="67"/>
        <v>-278</v>
      </c>
      <c r="S334" s="6"/>
      <c r="T334" s="5"/>
      <c r="U334" s="30" t="str">
        <f t="shared" si="70"/>
        <v>PENDIENTE</v>
      </c>
    </row>
    <row r="335" spans="1:21" x14ac:dyDescent="0.25">
      <c r="A335" s="4" t="str">
        <f t="shared" si="71"/>
        <v>20258</v>
      </c>
      <c r="B335" s="4" t="s">
        <v>20</v>
      </c>
      <c r="C335" s="4" t="s">
        <v>21</v>
      </c>
      <c r="D335" s="29">
        <v>8140097009</v>
      </c>
      <c r="E335" s="28">
        <v>45877</v>
      </c>
      <c r="F335" s="4">
        <v>33</v>
      </c>
      <c r="G335" s="4">
        <v>3</v>
      </c>
      <c r="H335" s="6">
        <v>637888</v>
      </c>
      <c r="I335" s="6">
        <v>51894.713495031436</v>
      </c>
      <c r="J335" s="6">
        <v>0</v>
      </c>
      <c r="K335" s="6">
        <v>0</v>
      </c>
      <c r="L335" s="6">
        <f t="shared" si="65"/>
        <v>0</v>
      </c>
      <c r="M335" s="7">
        <f t="shared" si="66"/>
        <v>1.0416666666666666E-2</v>
      </c>
      <c r="N335" s="7">
        <f t="shared" si="68"/>
        <v>2.0338234404601783E-2</v>
      </c>
      <c r="O335" s="7">
        <v>0</v>
      </c>
      <c r="P335" s="6">
        <f t="shared" si="72"/>
        <v>689782.71349503146</v>
      </c>
      <c r="Q335" s="6">
        <f t="shared" si="69"/>
        <v>1913696</v>
      </c>
      <c r="R335" s="4">
        <f t="shared" ca="1" si="67"/>
        <v>-308</v>
      </c>
      <c r="S335" s="6"/>
      <c r="T335" s="5"/>
      <c r="U335" s="30" t="str">
        <f t="shared" si="70"/>
        <v>PENDIENTE</v>
      </c>
    </row>
    <row r="336" spans="1:21" x14ac:dyDescent="0.25">
      <c r="A336" s="4" t="str">
        <f t="shared" si="71"/>
        <v>20259</v>
      </c>
      <c r="B336" s="4" t="s">
        <v>20</v>
      </c>
      <c r="C336" s="4" t="s">
        <v>21</v>
      </c>
      <c r="D336" s="29">
        <v>8140097009</v>
      </c>
      <c r="E336" s="28">
        <v>45908</v>
      </c>
      <c r="F336" s="4">
        <v>34</v>
      </c>
      <c r="G336" s="4">
        <v>2</v>
      </c>
      <c r="H336" s="6">
        <v>637888</v>
      </c>
      <c r="I336" s="6">
        <v>38921.197827148811</v>
      </c>
      <c r="J336" s="6">
        <v>0</v>
      </c>
      <c r="K336" s="6">
        <v>0</v>
      </c>
      <c r="L336" s="6">
        <f t="shared" si="65"/>
        <v>0</v>
      </c>
      <c r="M336" s="7">
        <f t="shared" si="66"/>
        <v>1.0416666666666666E-2</v>
      </c>
      <c r="N336" s="7">
        <f t="shared" si="68"/>
        <v>2.0338234404601783E-2</v>
      </c>
      <c r="O336" s="7">
        <v>0</v>
      </c>
      <c r="P336" s="6">
        <f t="shared" si="72"/>
        <v>676809.19782714883</v>
      </c>
      <c r="Q336" s="6">
        <f t="shared" si="69"/>
        <v>1275808</v>
      </c>
      <c r="R336" s="4">
        <f t="shared" ca="1" si="67"/>
        <v>-339</v>
      </c>
      <c r="S336" s="6"/>
      <c r="T336" s="5"/>
      <c r="U336" s="30" t="str">
        <f t="shared" si="70"/>
        <v>PENDIENTE</v>
      </c>
    </row>
    <row r="337" spans="1:21" x14ac:dyDescent="0.25">
      <c r="A337" s="4" t="str">
        <f t="shared" si="71"/>
        <v>202510</v>
      </c>
      <c r="B337" s="4" t="s">
        <v>20</v>
      </c>
      <c r="C337" s="4" t="s">
        <v>21</v>
      </c>
      <c r="D337" s="29">
        <v>8140097009</v>
      </c>
      <c r="E337" s="28">
        <v>45938</v>
      </c>
      <c r="F337" s="4">
        <v>35</v>
      </c>
      <c r="G337" s="4">
        <v>1</v>
      </c>
      <c r="H337" s="6">
        <v>637888</v>
      </c>
      <c r="I337" s="6">
        <v>25947.682159266191</v>
      </c>
      <c r="J337" s="6">
        <v>0</v>
      </c>
      <c r="K337" s="6">
        <v>0</v>
      </c>
      <c r="L337" s="6">
        <f t="shared" si="65"/>
        <v>0</v>
      </c>
      <c r="M337" s="7">
        <f t="shared" si="66"/>
        <v>1.0416666666666666E-2</v>
      </c>
      <c r="N337" s="7">
        <f t="shared" si="68"/>
        <v>2.0338234404601783E-2</v>
      </c>
      <c r="O337" s="7">
        <v>0</v>
      </c>
      <c r="P337" s="6">
        <f t="shared" si="72"/>
        <v>663835.6821592662</v>
      </c>
      <c r="Q337" s="6">
        <f t="shared" si="69"/>
        <v>637920</v>
      </c>
      <c r="R337" s="4">
        <f t="shared" ca="1" si="67"/>
        <v>-370</v>
      </c>
      <c r="S337" s="6"/>
      <c r="T337" s="5"/>
      <c r="U337" s="30" t="str">
        <f t="shared" si="70"/>
        <v>PENDIENTE</v>
      </c>
    </row>
    <row r="338" spans="1:21" x14ac:dyDescent="0.25">
      <c r="A338" s="4" t="str">
        <f t="shared" si="71"/>
        <v>202511</v>
      </c>
      <c r="B338" s="4" t="s">
        <v>20</v>
      </c>
      <c r="C338" s="4" t="s">
        <v>21</v>
      </c>
      <c r="D338" s="29">
        <v>8140097009</v>
      </c>
      <c r="E338" s="28">
        <v>45969</v>
      </c>
      <c r="F338" s="4">
        <v>36</v>
      </c>
      <c r="G338" s="4">
        <v>0</v>
      </c>
      <c r="H338" s="6">
        <v>637888</v>
      </c>
      <c r="I338" s="6">
        <v>12974.166491383568</v>
      </c>
      <c r="J338" s="6">
        <v>0</v>
      </c>
      <c r="K338" s="6">
        <v>0</v>
      </c>
      <c r="L338" s="6">
        <f t="shared" si="65"/>
        <v>0</v>
      </c>
      <c r="M338" s="7">
        <f t="shared" si="66"/>
        <v>1.0416666666666666E-2</v>
      </c>
      <c r="N338" s="7">
        <f t="shared" si="68"/>
        <v>2.0338234404601783E-2</v>
      </c>
      <c r="O338" s="7">
        <v>0</v>
      </c>
      <c r="P338" s="6">
        <f t="shared" si="72"/>
        <v>650862.16649138357</v>
      </c>
      <c r="Q338" s="6">
        <f t="shared" si="69"/>
        <v>32</v>
      </c>
      <c r="R338" s="4">
        <f t="shared" ca="1" si="67"/>
        <v>-400</v>
      </c>
      <c r="S338" s="6"/>
      <c r="T338" s="5"/>
      <c r="U338" s="30" t="str">
        <f t="shared" si="70"/>
        <v>PENDIENTE</v>
      </c>
    </row>
    <row r="339" spans="1:21" x14ac:dyDescent="0.25">
      <c r="A339" s="4" t="str">
        <f t="shared" si="71"/>
        <v>20219</v>
      </c>
      <c r="B339" s="4" t="s">
        <v>36</v>
      </c>
      <c r="C339" s="4" t="s">
        <v>21</v>
      </c>
      <c r="D339" s="29" t="s">
        <v>37</v>
      </c>
      <c r="E339" s="28">
        <v>44463</v>
      </c>
      <c r="F339" s="4">
        <v>-1</v>
      </c>
      <c r="G339" s="4">
        <v>36</v>
      </c>
      <c r="H339" s="6">
        <v>0</v>
      </c>
      <c r="I339" s="6">
        <v>0</v>
      </c>
      <c r="J339" s="6">
        <v>0</v>
      </c>
      <c r="K339" s="6">
        <v>0</v>
      </c>
      <c r="L339" s="6">
        <f t="shared" si="65"/>
        <v>0</v>
      </c>
      <c r="M339" s="7">
        <f t="shared" ref="M339" si="73">0.0693/12</f>
        <v>5.7749999999999998E-3</v>
      </c>
      <c r="N339" s="7">
        <v>0</v>
      </c>
      <c r="O339" s="7">
        <v>0</v>
      </c>
      <c r="P339" s="6">
        <f t="shared" si="72"/>
        <v>0</v>
      </c>
      <c r="Q339" s="6">
        <v>70000000</v>
      </c>
      <c r="R339" s="4" t="s">
        <v>27</v>
      </c>
      <c r="S339" s="6">
        <v>0</v>
      </c>
      <c r="T339" s="5">
        <v>44464</v>
      </c>
      <c r="U339" s="30" t="str">
        <f t="shared" si="70"/>
        <v>PAGADO</v>
      </c>
    </row>
    <row r="340" spans="1:21" x14ac:dyDescent="0.25">
      <c r="A340" s="4" t="str">
        <f t="shared" si="71"/>
        <v>202110</v>
      </c>
      <c r="B340" s="4" t="s">
        <v>36</v>
      </c>
      <c r="C340" s="4" t="s">
        <v>21</v>
      </c>
      <c r="D340" s="29" t="s">
        <v>37</v>
      </c>
      <c r="E340" s="28">
        <v>44493</v>
      </c>
      <c r="F340" s="4">
        <v>0</v>
      </c>
      <c r="G340" s="4">
        <v>35</v>
      </c>
      <c r="H340" s="6">
        <v>1944444.44</v>
      </c>
      <c r="I340" s="6">
        <v>540070.93999999994</v>
      </c>
      <c r="J340" s="6">
        <v>0</v>
      </c>
      <c r="K340" s="6">
        <v>238</v>
      </c>
      <c r="L340" s="6">
        <v>0</v>
      </c>
      <c r="M340" s="7">
        <f>0.229515699/12</f>
        <v>1.9126308249999998E-2</v>
      </c>
      <c r="N340" s="7">
        <f>I340/Q339</f>
        <v>7.715299142857142E-3</v>
      </c>
      <c r="O340" s="7">
        <f t="shared" ref="O340:O403" si="74">(N340/M340)-1</f>
        <v>-0.59661325949522204</v>
      </c>
      <c r="P340" s="6">
        <f t="shared" si="72"/>
        <v>2484753.38</v>
      </c>
      <c r="Q340" s="6">
        <f>Q339-H340</f>
        <v>68055555.560000002</v>
      </c>
      <c r="R340" s="4" t="str">
        <f t="shared" ref="R340:R375" ca="1" si="75">IF(T339="",TODAY()-E339,IF(T340="",TODAY()-E340,"OK"))</f>
        <v>OK</v>
      </c>
      <c r="S340" s="6">
        <f>778349+1725000</f>
        <v>2503349</v>
      </c>
      <c r="T340" s="5">
        <v>44494</v>
      </c>
      <c r="U340" s="30" t="str">
        <f t="shared" si="70"/>
        <v>PAGADO</v>
      </c>
    </row>
    <row r="341" spans="1:21" x14ac:dyDescent="0.25">
      <c r="A341" s="4" t="str">
        <f t="shared" si="71"/>
        <v>202111</v>
      </c>
      <c r="B341" s="4" t="s">
        <v>36</v>
      </c>
      <c r="C341" s="4" t="s">
        <v>21</v>
      </c>
      <c r="D341" s="29" t="s">
        <v>37</v>
      </c>
      <c r="E341" s="28">
        <v>44524</v>
      </c>
      <c r="F341" s="4">
        <f>F340+1</f>
        <v>1</v>
      </c>
      <c r="G341" s="4">
        <f>G340-1</f>
        <v>34</v>
      </c>
      <c r="H341" s="6">
        <v>1944444.44</v>
      </c>
      <c r="I341" s="6">
        <v>540070.93999999994</v>
      </c>
      <c r="J341" s="6">
        <v>0</v>
      </c>
      <c r="K341" s="6">
        <v>238</v>
      </c>
      <c r="L341" s="6">
        <f t="shared" ref="L341:L404" si="76">IF(S340="",0,IF(S340&lt;=P340,P340-S340,0))</f>
        <v>0</v>
      </c>
      <c r="M341" s="7">
        <f t="shared" ref="M341:M375" si="77">0.229515699/12</f>
        <v>1.9126308249999998E-2</v>
      </c>
      <c r="N341" s="7">
        <f t="shared" ref="N341:N374" si="78">I341/Q340</f>
        <v>7.9357362607062366E-3</v>
      </c>
      <c r="O341" s="7">
        <f t="shared" si="74"/>
        <v>-0.58508792407932475</v>
      </c>
      <c r="P341" s="6">
        <f>H341+I341+J341+K341+L341</f>
        <v>2484753.38</v>
      </c>
      <c r="Q341" s="6">
        <f t="shared" ref="Q341:Q375" si="79">Q340-H341</f>
        <v>66111111.120000005</v>
      </c>
      <c r="R341" s="4" t="str">
        <f t="shared" ca="1" si="75"/>
        <v>OK</v>
      </c>
      <c r="S341" s="6">
        <v>2484754</v>
      </c>
      <c r="T341" s="5">
        <v>44525</v>
      </c>
      <c r="U341" s="30" t="str">
        <f t="shared" si="70"/>
        <v>PAGADO</v>
      </c>
    </row>
    <row r="342" spans="1:21" x14ac:dyDescent="0.25">
      <c r="A342" s="4" t="str">
        <f t="shared" si="71"/>
        <v>202112</v>
      </c>
      <c r="B342" s="4" t="s">
        <v>36</v>
      </c>
      <c r="C342" s="4" t="s">
        <v>21</v>
      </c>
      <c r="D342" s="29" t="s">
        <v>37</v>
      </c>
      <c r="E342" s="28">
        <v>44554</v>
      </c>
      <c r="F342" s="4">
        <f t="shared" ref="F342:F375" si="80">F341+1</f>
        <v>2</v>
      </c>
      <c r="G342" s="4">
        <f t="shared" ref="G342:G375" si="81">G341-1</f>
        <v>33</v>
      </c>
      <c r="H342" s="6">
        <v>1944444.44</v>
      </c>
      <c r="I342" s="6">
        <v>549934.25</v>
      </c>
      <c r="J342" s="6">
        <v>0</v>
      </c>
      <c r="K342" s="6">
        <v>238</v>
      </c>
      <c r="L342" s="6">
        <f t="shared" si="76"/>
        <v>0</v>
      </c>
      <c r="M342" s="7">
        <f t="shared" si="77"/>
        <v>1.9126308249999998E-2</v>
      </c>
      <c r="N342" s="7">
        <f t="shared" si="78"/>
        <v>8.3183331921588798E-3</v>
      </c>
      <c r="O342" s="7">
        <f t="shared" si="74"/>
        <v>-0.56508422412574677</v>
      </c>
      <c r="P342" s="6">
        <f t="shared" si="72"/>
        <v>2494616.69</v>
      </c>
      <c r="Q342" s="6">
        <f t="shared" si="79"/>
        <v>64166666.680000007</v>
      </c>
      <c r="R342" s="4" t="str">
        <f t="shared" ca="1" si="75"/>
        <v>OK</v>
      </c>
      <c r="S342" s="6">
        <v>2494617</v>
      </c>
      <c r="T342" s="5">
        <v>44554</v>
      </c>
      <c r="U342" s="30" t="str">
        <f t="shared" si="70"/>
        <v>PAGADO</v>
      </c>
    </row>
    <row r="343" spans="1:21" x14ac:dyDescent="0.25">
      <c r="A343" s="4" t="str">
        <f t="shared" si="71"/>
        <v>20221</v>
      </c>
      <c r="B343" s="4" t="s">
        <v>36</v>
      </c>
      <c r="C343" s="4" t="s">
        <v>21</v>
      </c>
      <c r="D343" s="29" t="s">
        <v>37</v>
      </c>
      <c r="E343" s="28">
        <v>44585</v>
      </c>
      <c r="F343" s="4">
        <f t="shared" si="80"/>
        <v>3</v>
      </c>
      <c r="G343" s="4">
        <f t="shared" si="81"/>
        <v>32</v>
      </c>
      <c r="H343" s="6">
        <v>1944444.44</v>
      </c>
      <c r="I343" s="6">
        <v>553972.21</v>
      </c>
      <c r="J343" s="6">
        <v>0</v>
      </c>
      <c r="K343" s="6">
        <v>238</v>
      </c>
      <c r="L343" s="6">
        <f t="shared" si="76"/>
        <v>0</v>
      </c>
      <c r="M343" s="7">
        <f t="shared" si="77"/>
        <v>1.9126308249999998E-2</v>
      </c>
      <c r="N343" s="7">
        <f t="shared" si="78"/>
        <v>8.6333331410632028E-3</v>
      </c>
      <c r="O343" s="7">
        <f t="shared" si="74"/>
        <v>-0.54861476515923013</v>
      </c>
      <c r="P343" s="6">
        <f t="shared" si="72"/>
        <v>2498654.65</v>
      </c>
      <c r="Q343" s="6">
        <f t="shared" si="79"/>
        <v>62222222.24000001</v>
      </c>
      <c r="R343" s="4" t="str">
        <f t="shared" ca="1" si="75"/>
        <v>OK</v>
      </c>
      <c r="S343" s="6">
        <v>2498655</v>
      </c>
      <c r="T343" s="5">
        <v>44585</v>
      </c>
      <c r="U343" s="30" t="str">
        <f t="shared" si="70"/>
        <v>PAGADO</v>
      </c>
    </row>
    <row r="344" spans="1:21" x14ac:dyDescent="0.25">
      <c r="A344" s="4" t="str">
        <f t="shared" si="71"/>
        <v>20222</v>
      </c>
      <c r="B344" s="4" t="s">
        <v>36</v>
      </c>
      <c r="C344" s="4" t="s">
        <v>21</v>
      </c>
      <c r="D344" s="29" t="s">
        <v>37</v>
      </c>
      <c r="E344" s="28">
        <v>44616</v>
      </c>
      <c r="F344" s="4">
        <f t="shared" si="80"/>
        <v>4</v>
      </c>
      <c r="G344" s="4">
        <f t="shared" si="81"/>
        <v>31</v>
      </c>
      <c r="H344" s="6">
        <v>1944444.44</v>
      </c>
      <c r="I344" s="6">
        <v>569125.92000000004</v>
      </c>
      <c r="J344" s="6">
        <v>0</v>
      </c>
      <c r="K344" s="6">
        <v>238</v>
      </c>
      <c r="L344" s="6">
        <f t="shared" si="76"/>
        <v>0</v>
      </c>
      <c r="M344" s="7">
        <f t="shared" si="77"/>
        <v>1.9126308249999998E-2</v>
      </c>
      <c r="N344" s="7">
        <f t="shared" si="78"/>
        <v>9.1466665688152374E-3</v>
      </c>
      <c r="O344" s="7">
        <f t="shared" si="74"/>
        <v>-0.52177563755330358</v>
      </c>
      <c r="P344" s="6">
        <f t="shared" si="72"/>
        <v>2513808.36</v>
      </c>
      <c r="Q344" s="6">
        <f t="shared" si="79"/>
        <v>60277777.800000012</v>
      </c>
      <c r="R344" s="4" t="str">
        <f t="shared" ca="1" si="75"/>
        <v>OK</v>
      </c>
      <c r="S344" s="6">
        <v>2514568</v>
      </c>
      <c r="T344" s="5">
        <v>44617</v>
      </c>
      <c r="U344" s="30" t="str">
        <f t="shared" si="70"/>
        <v>PAGADO</v>
      </c>
    </row>
    <row r="345" spans="1:21" x14ac:dyDescent="0.25">
      <c r="A345" s="4" t="str">
        <f t="shared" si="71"/>
        <v>20223</v>
      </c>
      <c r="B345" s="4" t="s">
        <v>36</v>
      </c>
      <c r="C345" s="4" t="s">
        <v>21</v>
      </c>
      <c r="D345" s="29" t="s">
        <v>37</v>
      </c>
      <c r="E345" s="28">
        <v>44644</v>
      </c>
      <c r="F345" s="4">
        <f t="shared" si="80"/>
        <v>5</v>
      </c>
      <c r="G345" s="4">
        <f t="shared" si="81"/>
        <v>30</v>
      </c>
      <c r="H345" s="6">
        <v>1944444.44</v>
      </c>
      <c r="I345" s="6">
        <v>573291.88</v>
      </c>
      <c r="J345" s="6">
        <v>0</v>
      </c>
      <c r="K345" s="6">
        <v>238</v>
      </c>
      <c r="L345" s="6">
        <f t="shared" si="76"/>
        <v>0</v>
      </c>
      <c r="M345" s="7">
        <f t="shared" si="77"/>
        <v>1.9126308249999998E-2</v>
      </c>
      <c r="N345" s="7">
        <f t="shared" si="78"/>
        <v>9.5108330287517646E-3</v>
      </c>
      <c r="O345" s="7">
        <f t="shared" si="74"/>
        <v>-0.50273555646831292</v>
      </c>
      <c r="P345" s="6">
        <f t="shared" si="72"/>
        <v>2517974.3199999998</v>
      </c>
      <c r="Q345" s="6">
        <f t="shared" si="79"/>
        <v>58333333.360000014</v>
      </c>
      <c r="R345" s="4" t="str">
        <f t="shared" ca="1" si="75"/>
        <v>OK</v>
      </c>
      <c r="S345" s="6">
        <v>2518131</v>
      </c>
      <c r="T345" s="5">
        <v>44646</v>
      </c>
      <c r="U345" s="30" t="str">
        <f t="shared" si="70"/>
        <v>PAGADO</v>
      </c>
    </row>
    <row r="346" spans="1:21" x14ac:dyDescent="0.25">
      <c r="A346" s="4" t="str">
        <f t="shared" si="71"/>
        <v>20224</v>
      </c>
      <c r="B346" s="4" t="s">
        <v>36</v>
      </c>
      <c r="C346" s="4" t="s">
        <v>21</v>
      </c>
      <c r="D346" s="29" t="s">
        <v>37</v>
      </c>
      <c r="E346" s="28">
        <v>44675</v>
      </c>
      <c r="F346" s="4">
        <f t="shared" si="80"/>
        <v>6</v>
      </c>
      <c r="G346" s="4">
        <f t="shared" si="81"/>
        <v>29</v>
      </c>
      <c r="H346" s="6">
        <v>1944444.44</v>
      </c>
      <c r="I346" s="6">
        <v>600929.74</v>
      </c>
      <c r="J346" s="6">
        <v>0</v>
      </c>
      <c r="K346" s="6">
        <v>238</v>
      </c>
      <c r="L346" s="6">
        <f t="shared" si="76"/>
        <v>0</v>
      </c>
      <c r="M346" s="7">
        <f t="shared" si="77"/>
        <v>1.9126308249999998E-2</v>
      </c>
      <c r="N346" s="7">
        <f t="shared" si="78"/>
        <v>1.0301652681004955E-2</v>
      </c>
      <c r="O346" s="7">
        <f t="shared" si="74"/>
        <v>-0.46138833765763676</v>
      </c>
      <c r="P346" s="6">
        <f t="shared" si="72"/>
        <v>2545612.1799999997</v>
      </c>
      <c r="Q346" s="6">
        <f t="shared" si="79"/>
        <v>56388888.920000017</v>
      </c>
      <c r="R346" s="4" t="str">
        <f t="shared" ca="1" si="75"/>
        <v>OK</v>
      </c>
      <c r="S346" s="6">
        <f>758563+19921+1444624+1942+325890</f>
        <v>2550940</v>
      </c>
      <c r="T346" s="5">
        <v>44683</v>
      </c>
      <c r="U346" s="30" t="str">
        <f t="shared" si="70"/>
        <v>PAGADO</v>
      </c>
    </row>
    <row r="347" spans="1:21" x14ac:dyDescent="0.25">
      <c r="A347" s="4" t="str">
        <f t="shared" si="71"/>
        <v>20225</v>
      </c>
      <c r="B347" s="4" t="s">
        <v>36</v>
      </c>
      <c r="C347" s="4" t="s">
        <v>21</v>
      </c>
      <c r="D347" s="29" t="s">
        <v>37</v>
      </c>
      <c r="E347" s="28">
        <v>44705</v>
      </c>
      <c r="F347" s="4">
        <f t="shared" si="80"/>
        <v>7</v>
      </c>
      <c r="G347" s="4">
        <f t="shared" si="81"/>
        <v>28</v>
      </c>
      <c r="H347" s="6">
        <v>1944444.44</v>
      </c>
      <c r="I347" s="6">
        <v>599585</v>
      </c>
      <c r="J347" s="6">
        <v>0</v>
      </c>
      <c r="K347" s="6">
        <v>238</v>
      </c>
      <c r="L347" s="6">
        <f t="shared" si="76"/>
        <v>0</v>
      </c>
      <c r="M347" s="7">
        <f t="shared" si="77"/>
        <v>1.9126308249999998E-2</v>
      </c>
      <c r="N347" s="7">
        <f t="shared" si="78"/>
        <v>1.0633034476892116E-2</v>
      </c>
      <c r="O347" s="7">
        <f t="shared" si="74"/>
        <v>-0.44406237011828376</v>
      </c>
      <c r="P347" s="6">
        <f t="shared" si="72"/>
        <v>2544267.44</v>
      </c>
      <c r="Q347" s="6">
        <f t="shared" si="79"/>
        <v>54444444.480000019</v>
      </c>
      <c r="R347" s="4" t="str">
        <f t="shared" ca="1" si="75"/>
        <v>OK</v>
      </c>
      <c r="S347" s="6">
        <v>2800000</v>
      </c>
      <c r="T347" s="5">
        <v>44720</v>
      </c>
      <c r="U347" s="30" t="str">
        <f t="shared" si="70"/>
        <v>PAGADO</v>
      </c>
    </row>
    <row r="348" spans="1:21" x14ac:dyDescent="0.25">
      <c r="A348" s="4" t="str">
        <f t="shared" si="71"/>
        <v>20226</v>
      </c>
      <c r="B348" s="4" t="s">
        <v>36</v>
      </c>
      <c r="C348" s="4" t="s">
        <v>21</v>
      </c>
      <c r="D348" s="29" t="s">
        <v>37</v>
      </c>
      <c r="E348" s="28">
        <v>44736</v>
      </c>
      <c r="F348" s="4">
        <f t="shared" si="80"/>
        <v>8</v>
      </c>
      <c r="G348" s="4">
        <f t="shared" si="81"/>
        <v>27</v>
      </c>
      <c r="H348" s="6">
        <v>1944444.44</v>
      </c>
      <c r="I348" s="6">
        <v>599387</v>
      </c>
      <c r="J348" s="6">
        <v>0</v>
      </c>
      <c r="K348" s="6">
        <v>238</v>
      </c>
      <c r="L348" s="6">
        <f t="shared" si="76"/>
        <v>0</v>
      </c>
      <c r="M348" s="7">
        <f t="shared" si="77"/>
        <v>1.9126308249999998E-2</v>
      </c>
      <c r="N348" s="7">
        <f t="shared" si="78"/>
        <v>1.1009148972402185E-2</v>
      </c>
      <c r="O348" s="7">
        <f t="shared" si="74"/>
        <v>-0.42439759787923603</v>
      </c>
      <c r="P348" s="6">
        <f t="shared" si="72"/>
        <v>2544069.44</v>
      </c>
      <c r="Q348" s="6">
        <f t="shared" si="79"/>
        <v>52500000.040000021</v>
      </c>
      <c r="R348" s="4" t="str">
        <f t="shared" ca="1" si="75"/>
        <v>OK</v>
      </c>
      <c r="S348" s="6">
        <v>3050000</v>
      </c>
      <c r="T348" s="5">
        <v>44767</v>
      </c>
      <c r="U348" s="30" t="str">
        <f t="shared" si="70"/>
        <v>PAGADO</v>
      </c>
    </row>
    <row r="349" spans="1:21" x14ac:dyDescent="0.25">
      <c r="A349" s="4" t="str">
        <f t="shared" si="71"/>
        <v>20227</v>
      </c>
      <c r="B349" s="4" t="s">
        <v>36</v>
      </c>
      <c r="C349" s="4" t="s">
        <v>21</v>
      </c>
      <c r="D349" s="29" t="s">
        <v>37</v>
      </c>
      <c r="E349" s="28">
        <v>44766</v>
      </c>
      <c r="F349" s="4">
        <f t="shared" si="80"/>
        <v>9</v>
      </c>
      <c r="G349" s="4">
        <f t="shared" si="81"/>
        <v>26</v>
      </c>
      <c r="H349" s="6">
        <v>1944444.44</v>
      </c>
      <c r="I349" s="6">
        <v>626324.05000000005</v>
      </c>
      <c r="J349" s="6">
        <v>0</v>
      </c>
      <c r="K349" s="6">
        <v>238</v>
      </c>
      <c r="L349" s="6">
        <f t="shared" si="76"/>
        <v>0</v>
      </c>
      <c r="M349" s="7">
        <f t="shared" si="77"/>
        <v>1.9126308249999998E-2</v>
      </c>
      <c r="N349" s="7">
        <f t="shared" si="78"/>
        <v>1.1929981895672391E-2</v>
      </c>
      <c r="O349" s="7">
        <f t="shared" si="74"/>
        <v>-0.37625276453063583</v>
      </c>
      <c r="P349" s="6">
        <f t="shared" si="72"/>
        <v>2571006.4900000002</v>
      </c>
      <c r="Q349" s="6">
        <f t="shared" si="79"/>
        <v>50555555.600000024</v>
      </c>
      <c r="R349" s="4" t="str">
        <f t="shared" ca="1" si="75"/>
        <v>OK</v>
      </c>
      <c r="S349" s="6">
        <v>2490000</v>
      </c>
      <c r="T349" s="5">
        <v>44785</v>
      </c>
      <c r="U349" s="30" t="str">
        <f t="shared" si="70"/>
        <v>PAGADO</v>
      </c>
    </row>
    <row r="350" spans="1:21" x14ac:dyDescent="0.25">
      <c r="A350" s="4" t="str">
        <f t="shared" si="71"/>
        <v>20228</v>
      </c>
      <c r="B350" s="4" t="s">
        <v>36</v>
      </c>
      <c r="C350" s="4" t="s">
        <v>21</v>
      </c>
      <c r="D350" s="29" t="s">
        <v>37</v>
      </c>
      <c r="E350" s="28">
        <v>44797</v>
      </c>
      <c r="F350" s="4">
        <f t="shared" si="80"/>
        <v>10</v>
      </c>
      <c r="G350" s="4">
        <f t="shared" si="81"/>
        <v>25</v>
      </c>
      <c r="H350" s="6">
        <v>1944444.44</v>
      </c>
      <c r="I350" s="6">
        <v>654735.54</v>
      </c>
      <c r="J350" s="6">
        <v>0</v>
      </c>
      <c r="K350" s="6">
        <v>238</v>
      </c>
      <c r="L350" s="6">
        <f t="shared" si="76"/>
        <v>81006.490000000224</v>
      </c>
      <c r="M350" s="7">
        <f t="shared" si="77"/>
        <v>1.9126308249999998E-2</v>
      </c>
      <c r="N350" s="7">
        <f t="shared" si="78"/>
        <v>1.2950812867735544E-2</v>
      </c>
      <c r="O350" s="7">
        <f t="shared" si="74"/>
        <v>-0.32287963267895436</v>
      </c>
      <c r="P350" s="6">
        <f t="shared" si="72"/>
        <v>2680424.4700000002</v>
      </c>
      <c r="Q350" s="6">
        <f t="shared" si="79"/>
        <v>48611111.160000026</v>
      </c>
      <c r="R350" s="4" t="str">
        <f t="shared" ca="1" si="75"/>
        <v>OK</v>
      </c>
      <c r="S350" s="6">
        <v>3000000</v>
      </c>
      <c r="T350" s="5">
        <v>44805</v>
      </c>
      <c r="U350" s="30" t="str">
        <f t="shared" si="70"/>
        <v>PAGADO</v>
      </c>
    </row>
    <row r="351" spans="1:21" x14ac:dyDescent="0.25">
      <c r="A351" s="4" t="str">
        <f t="shared" si="71"/>
        <v>20229</v>
      </c>
      <c r="B351" s="4" t="s">
        <v>36</v>
      </c>
      <c r="C351" s="4" t="s">
        <v>21</v>
      </c>
      <c r="D351" s="29" t="s">
        <v>37</v>
      </c>
      <c r="E351" s="28">
        <v>44828</v>
      </c>
      <c r="F351" s="4">
        <f t="shared" si="80"/>
        <v>11</v>
      </c>
      <c r="G351" s="4">
        <f t="shared" si="81"/>
        <v>24</v>
      </c>
      <c r="H351" s="6">
        <v>1944444.44</v>
      </c>
      <c r="I351" s="6">
        <v>647336.9</v>
      </c>
      <c r="J351" s="6">
        <v>0</v>
      </c>
      <c r="K351" s="6">
        <v>238</v>
      </c>
      <c r="L351" s="6">
        <f t="shared" si="76"/>
        <v>0</v>
      </c>
      <c r="M351" s="7">
        <f t="shared" si="77"/>
        <v>1.9126308249999998E-2</v>
      </c>
      <c r="N351" s="7">
        <f t="shared" si="78"/>
        <v>1.3316644786607254E-2</v>
      </c>
      <c r="O351" s="7">
        <f t="shared" si="74"/>
        <v>-0.30375247473033617</v>
      </c>
      <c r="P351" s="6">
        <f t="shared" si="72"/>
        <v>2592019.34</v>
      </c>
      <c r="Q351" s="6">
        <f t="shared" si="79"/>
        <v>46666666.720000029</v>
      </c>
      <c r="R351" s="4" t="str">
        <f t="shared" ca="1" si="75"/>
        <v>OK</v>
      </c>
      <c r="S351" s="6">
        <v>2100000</v>
      </c>
      <c r="T351" s="5">
        <v>44834</v>
      </c>
      <c r="U351" s="30" t="str">
        <f t="shared" si="70"/>
        <v>PAGADO</v>
      </c>
    </row>
    <row r="352" spans="1:21" x14ac:dyDescent="0.25">
      <c r="A352" s="4" t="str">
        <f t="shared" si="71"/>
        <v>202210</v>
      </c>
      <c r="B352" s="4" t="s">
        <v>36</v>
      </c>
      <c r="C352" s="4" t="s">
        <v>21</v>
      </c>
      <c r="D352" s="29" t="s">
        <v>37</v>
      </c>
      <c r="E352" s="28">
        <v>44858</v>
      </c>
      <c r="F352" s="4">
        <f t="shared" si="80"/>
        <v>12</v>
      </c>
      <c r="G352" s="4">
        <f t="shared" si="81"/>
        <v>23</v>
      </c>
      <c r="H352" s="6">
        <v>1944444.44</v>
      </c>
      <c r="I352" s="6">
        <v>658971.1</v>
      </c>
      <c r="J352" s="6">
        <v>0</v>
      </c>
      <c r="K352" s="6">
        <v>238</v>
      </c>
      <c r="L352" s="6">
        <f t="shared" si="76"/>
        <v>492019.33999999985</v>
      </c>
      <c r="M352" s="7">
        <f t="shared" si="77"/>
        <v>1.9126308249999998E-2</v>
      </c>
      <c r="N352" s="7">
        <f t="shared" si="78"/>
        <v>1.4120809269576208E-2</v>
      </c>
      <c r="O352" s="7">
        <f t="shared" si="74"/>
        <v>-0.26170753472112374</v>
      </c>
      <c r="P352" s="6">
        <f t="shared" si="72"/>
        <v>3095672.88</v>
      </c>
      <c r="Q352" s="6">
        <f t="shared" si="79"/>
        <v>44722222.280000031</v>
      </c>
      <c r="R352" s="4" t="str">
        <f t="shared" ca="1" si="75"/>
        <v>OK</v>
      </c>
      <c r="S352" s="6">
        <v>5076000</v>
      </c>
      <c r="T352" s="5">
        <v>44888</v>
      </c>
      <c r="U352" s="30" t="str">
        <f t="shared" si="70"/>
        <v>PAGADO</v>
      </c>
    </row>
    <row r="353" spans="1:21" x14ac:dyDescent="0.25">
      <c r="A353" s="4" t="str">
        <f t="shared" si="71"/>
        <v>202211</v>
      </c>
      <c r="B353" s="4" t="s">
        <v>36</v>
      </c>
      <c r="C353" s="4" t="s">
        <v>21</v>
      </c>
      <c r="D353" s="29" t="s">
        <v>37</v>
      </c>
      <c r="E353" s="28">
        <v>44889</v>
      </c>
      <c r="F353" s="4">
        <f t="shared" si="80"/>
        <v>13</v>
      </c>
      <c r="G353" s="4">
        <f t="shared" si="81"/>
        <v>22</v>
      </c>
      <c r="H353" s="6">
        <v>1944444.44</v>
      </c>
      <c r="I353" s="6">
        <v>661254.14</v>
      </c>
      <c r="J353" s="6">
        <v>0</v>
      </c>
      <c r="K353" s="6">
        <v>238</v>
      </c>
      <c r="L353" s="6">
        <f t="shared" si="76"/>
        <v>0</v>
      </c>
      <c r="M353" s="7">
        <f t="shared" si="77"/>
        <v>1.9126308249999998E-2</v>
      </c>
      <c r="N353" s="7">
        <f t="shared" si="78"/>
        <v>1.4785806838040687E-2</v>
      </c>
      <c r="O353" s="7">
        <f t="shared" si="74"/>
        <v>-0.2269387983935327</v>
      </c>
      <c r="P353" s="6">
        <f t="shared" si="72"/>
        <v>2605936.58</v>
      </c>
      <c r="Q353" s="6">
        <f t="shared" si="79"/>
        <v>42777777.840000033</v>
      </c>
      <c r="R353" s="4" t="str">
        <f t="shared" ca="1" si="75"/>
        <v>OK</v>
      </c>
      <c r="S353" s="6">
        <v>2650000</v>
      </c>
      <c r="T353" s="5">
        <v>44890</v>
      </c>
      <c r="U353" s="30" t="str">
        <f t="shared" si="70"/>
        <v>PAGADO</v>
      </c>
    </row>
    <row r="354" spans="1:21" x14ac:dyDescent="0.25">
      <c r="A354" s="4" t="str">
        <f t="shared" si="71"/>
        <v>202212</v>
      </c>
      <c r="B354" s="4" t="s">
        <v>36</v>
      </c>
      <c r="C354" s="4" t="s">
        <v>21</v>
      </c>
      <c r="D354" s="29" t="s">
        <v>37</v>
      </c>
      <c r="E354" s="28">
        <v>44919</v>
      </c>
      <c r="F354" s="4">
        <f t="shared" si="80"/>
        <v>14</v>
      </c>
      <c r="G354" s="4">
        <f t="shared" si="81"/>
        <v>21</v>
      </c>
      <c r="H354" s="6">
        <v>1944444.44</v>
      </c>
      <c r="I354" s="6">
        <v>635056</v>
      </c>
      <c r="J354" s="6">
        <v>0</v>
      </c>
      <c r="K354" s="6">
        <v>238</v>
      </c>
      <c r="L354" s="6">
        <f t="shared" si="76"/>
        <v>0</v>
      </c>
      <c r="M354" s="7">
        <f t="shared" si="77"/>
        <v>1.9126308249999998E-2</v>
      </c>
      <c r="N354" s="7">
        <f t="shared" si="78"/>
        <v>1.484546491347152E-2</v>
      </c>
      <c r="O354" s="7">
        <f t="shared" si="74"/>
        <v>-0.22381963526748438</v>
      </c>
      <c r="P354" s="6">
        <f t="shared" si="72"/>
        <v>2579738.44</v>
      </c>
      <c r="Q354" s="6">
        <f t="shared" si="79"/>
        <v>40833333.400000036</v>
      </c>
      <c r="R354" s="4" t="str">
        <f t="shared" ca="1" si="75"/>
        <v>OK</v>
      </c>
      <c r="S354" s="6">
        <v>3150000</v>
      </c>
      <c r="T354" s="5">
        <v>44939</v>
      </c>
      <c r="U354" s="30" t="str">
        <f t="shared" si="70"/>
        <v>PAGADO</v>
      </c>
    </row>
    <row r="355" spans="1:21" x14ac:dyDescent="0.25">
      <c r="A355" s="4" t="str">
        <f t="shared" si="71"/>
        <v>20231</v>
      </c>
      <c r="B355" s="4" t="s">
        <v>36</v>
      </c>
      <c r="C355" s="4" t="s">
        <v>21</v>
      </c>
      <c r="D355" s="29" t="s">
        <v>37</v>
      </c>
      <c r="E355" s="28">
        <v>44950</v>
      </c>
      <c r="F355" s="4">
        <f t="shared" si="80"/>
        <v>15</v>
      </c>
      <c r="G355" s="4">
        <f t="shared" si="81"/>
        <v>20</v>
      </c>
      <c r="H355" s="6">
        <v>1944444.44</v>
      </c>
      <c r="I355" s="6">
        <v>617027.55000000005</v>
      </c>
      <c r="J355" s="6">
        <v>0</v>
      </c>
      <c r="K355" s="6">
        <v>238</v>
      </c>
      <c r="L355" s="6">
        <f t="shared" si="76"/>
        <v>0</v>
      </c>
      <c r="M355" s="7">
        <f t="shared" si="77"/>
        <v>1.9126308249999998E-2</v>
      </c>
      <c r="N355" s="7">
        <f t="shared" si="78"/>
        <v>1.5110878750839369E-2</v>
      </c>
      <c r="O355" s="7">
        <f t="shared" si="74"/>
        <v>-0.20994273681438913</v>
      </c>
      <c r="P355" s="6">
        <f t="shared" si="72"/>
        <v>2561709.9900000002</v>
      </c>
      <c r="Q355" s="6">
        <f t="shared" si="79"/>
        <v>38888888.960000038</v>
      </c>
      <c r="R355" s="4" t="str">
        <f t="shared" ca="1" si="75"/>
        <v>OK</v>
      </c>
      <c r="S355" s="6">
        <v>2600000</v>
      </c>
      <c r="T355" s="5">
        <v>44952</v>
      </c>
      <c r="U355" s="30" t="str">
        <f t="shared" si="70"/>
        <v>PAGADO</v>
      </c>
    </row>
    <row r="356" spans="1:21" x14ac:dyDescent="0.25">
      <c r="A356" s="4" t="str">
        <f t="shared" si="71"/>
        <v>20232</v>
      </c>
      <c r="B356" s="4" t="s">
        <v>36</v>
      </c>
      <c r="C356" s="4" t="s">
        <v>21</v>
      </c>
      <c r="D356" s="29" t="s">
        <v>37</v>
      </c>
      <c r="E356" s="28">
        <v>44981</v>
      </c>
      <c r="F356" s="4">
        <f t="shared" si="80"/>
        <v>16</v>
      </c>
      <c r="G356" s="4">
        <f t="shared" si="81"/>
        <v>19</v>
      </c>
      <c r="H356" s="6">
        <v>1944444.44</v>
      </c>
      <c r="I356" s="6">
        <v>634957.09</v>
      </c>
      <c r="J356" s="6">
        <v>0</v>
      </c>
      <c r="K356" s="6">
        <v>238</v>
      </c>
      <c r="L356" s="6">
        <f t="shared" si="76"/>
        <v>0</v>
      </c>
      <c r="M356" s="7">
        <f t="shared" si="77"/>
        <v>1.9126308249999998E-2</v>
      </c>
      <c r="N356" s="7">
        <f t="shared" si="78"/>
        <v>1.632746799871547E-2</v>
      </c>
      <c r="O356" s="7">
        <f t="shared" si="74"/>
        <v>-0.14633457825215845</v>
      </c>
      <c r="P356" s="6">
        <f t="shared" si="72"/>
        <v>2579639.5299999998</v>
      </c>
      <c r="Q356" s="6">
        <f t="shared" si="79"/>
        <v>36944444.520000041</v>
      </c>
      <c r="R356" s="4" t="str">
        <f t="shared" ca="1" si="75"/>
        <v>OK</v>
      </c>
      <c r="S356" s="6">
        <v>2900000</v>
      </c>
      <c r="T356" s="5">
        <v>45008</v>
      </c>
      <c r="U356" s="30" t="str">
        <f t="shared" si="70"/>
        <v>PAGADO</v>
      </c>
    </row>
    <row r="357" spans="1:21" x14ac:dyDescent="0.25">
      <c r="A357" s="4" t="str">
        <f t="shared" si="71"/>
        <v>20233</v>
      </c>
      <c r="B357" s="4" t="s">
        <v>36</v>
      </c>
      <c r="C357" s="4" t="s">
        <v>21</v>
      </c>
      <c r="D357" s="29" t="s">
        <v>37</v>
      </c>
      <c r="E357" s="28">
        <v>45009</v>
      </c>
      <c r="F357" s="4">
        <f t="shared" si="80"/>
        <v>17</v>
      </c>
      <c r="G357" s="4">
        <f t="shared" si="81"/>
        <v>18</v>
      </c>
      <c r="H357" s="6">
        <v>1944444.44</v>
      </c>
      <c r="I357" s="6">
        <v>595450.79</v>
      </c>
      <c r="J357" s="6">
        <v>0</v>
      </c>
      <c r="K357" s="6">
        <v>238</v>
      </c>
      <c r="L357" s="6">
        <f t="shared" si="76"/>
        <v>0</v>
      </c>
      <c r="M357" s="7">
        <f t="shared" si="77"/>
        <v>1.9126308249999998E-2</v>
      </c>
      <c r="N357" s="7">
        <f t="shared" si="78"/>
        <v>1.6117464959519153E-2</v>
      </c>
      <c r="O357" s="7">
        <f t="shared" si="74"/>
        <v>-0.15731437824551664</v>
      </c>
      <c r="P357" s="6">
        <f t="shared" si="72"/>
        <v>2540133.23</v>
      </c>
      <c r="Q357" s="6">
        <f t="shared" si="79"/>
        <v>35000000.080000043</v>
      </c>
      <c r="R357" s="4" t="str">
        <f t="shared" ca="1" si="75"/>
        <v>OK</v>
      </c>
      <c r="S357" s="6">
        <v>2480000</v>
      </c>
      <c r="T357" s="5">
        <v>45029</v>
      </c>
      <c r="U357" s="30" t="str">
        <f t="shared" si="70"/>
        <v>PAGADO</v>
      </c>
    </row>
    <row r="358" spans="1:21" x14ac:dyDescent="0.25">
      <c r="A358" s="4" t="str">
        <f t="shared" si="71"/>
        <v>20234</v>
      </c>
      <c r="B358" s="4" t="s">
        <v>36</v>
      </c>
      <c r="C358" s="4" t="s">
        <v>21</v>
      </c>
      <c r="D358" s="29" t="s">
        <v>37</v>
      </c>
      <c r="E358" s="28">
        <v>45040</v>
      </c>
      <c r="F358" s="4">
        <f t="shared" si="80"/>
        <v>18</v>
      </c>
      <c r="G358" s="4">
        <f t="shared" si="81"/>
        <v>17</v>
      </c>
      <c r="H358" s="6">
        <v>1944444.44</v>
      </c>
      <c r="I358" s="6">
        <v>570119.53</v>
      </c>
      <c r="J358" s="6">
        <v>0</v>
      </c>
      <c r="K358" s="6">
        <v>238</v>
      </c>
      <c r="L358" s="6">
        <f t="shared" si="76"/>
        <v>60133.229999999981</v>
      </c>
      <c r="M358" s="7">
        <f t="shared" si="77"/>
        <v>1.9126308249999998E-2</v>
      </c>
      <c r="N358" s="7">
        <f t="shared" si="78"/>
        <v>1.6289129391339113E-2</v>
      </c>
      <c r="O358" s="7">
        <f t="shared" si="74"/>
        <v>-0.14833907419958503</v>
      </c>
      <c r="P358" s="6">
        <f t="shared" si="72"/>
        <v>2574935.1999999997</v>
      </c>
      <c r="Q358" s="6">
        <f t="shared" si="79"/>
        <v>33055555.640000042</v>
      </c>
      <c r="R358" s="4" t="str">
        <f t="shared" ca="1" si="75"/>
        <v>OK</v>
      </c>
      <c r="S358" s="6">
        <v>2800000</v>
      </c>
      <c r="T358" s="5">
        <v>45065</v>
      </c>
      <c r="U358" s="30" t="str">
        <f t="shared" si="70"/>
        <v>PAGADO</v>
      </c>
    </row>
    <row r="359" spans="1:21" x14ac:dyDescent="0.25">
      <c r="A359" s="4" t="str">
        <f t="shared" si="71"/>
        <v>20235</v>
      </c>
      <c r="B359" s="4" t="s">
        <v>36</v>
      </c>
      <c r="C359" s="4" t="s">
        <v>21</v>
      </c>
      <c r="D359" s="29" t="s">
        <v>37</v>
      </c>
      <c r="E359" s="28">
        <v>45070</v>
      </c>
      <c r="F359" s="4">
        <f t="shared" si="80"/>
        <v>19</v>
      </c>
      <c r="G359" s="4">
        <f t="shared" si="81"/>
        <v>16</v>
      </c>
      <c r="H359" s="6">
        <v>1944444.44</v>
      </c>
      <c r="I359" s="6">
        <v>539382.73</v>
      </c>
      <c r="J359" s="6">
        <v>0</v>
      </c>
      <c r="K359" s="6">
        <v>238</v>
      </c>
      <c r="L359" s="6">
        <f t="shared" si="76"/>
        <v>0</v>
      </c>
      <c r="M359" s="7">
        <f t="shared" si="77"/>
        <v>1.9126308249999998E-2</v>
      </c>
      <c r="N359" s="7">
        <f t="shared" si="78"/>
        <v>1.6317460697810836E-2</v>
      </c>
      <c r="O359" s="7">
        <f t="shared" si="74"/>
        <v>-0.1468578000246944</v>
      </c>
      <c r="P359" s="6">
        <f t="shared" si="72"/>
        <v>2484065.17</v>
      </c>
      <c r="Q359" s="6">
        <f t="shared" si="79"/>
        <v>31111111.20000004</v>
      </c>
      <c r="R359" s="4" t="str">
        <f t="shared" ca="1" si="75"/>
        <v>OK</v>
      </c>
      <c r="S359" s="6">
        <v>2500000</v>
      </c>
      <c r="T359" s="5">
        <v>45072</v>
      </c>
      <c r="U359" s="30" t="str">
        <f t="shared" si="70"/>
        <v>PAGADO</v>
      </c>
    </row>
    <row r="360" spans="1:21" x14ac:dyDescent="0.25">
      <c r="A360" s="4" t="str">
        <f t="shared" si="71"/>
        <v>20236</v>
      </c>
      <c r="B360" s="4" t="s">
        <v>36</v>
      </c>
      <c r="C360" s="4" t="s">
        <v>21</v>
      </c>
      <c r="D360" s="29" t="s">
        <v>37</v>
      </c>
      <c r="E360" s="28">
        <v>45101</v>
      </c>
      <c r="F360" s="4">
        <f t="shared" si="80"/>
        <v>20</v>
      </c>
      <c r="G360" s="4">
        <f t="shared" si="81"/>
        <v>15</v>
      </c>
      <c r="H360" s="6">
        <v>1944444.44</v>
      </c>
      <c r="I360" s="6">
        <v>503375.63</v>
      </c>
      <c r="J360" s="6">
        <v>0</v>
      </c>
      <c r="K360" s="6">
        <v>238</v>
      </c>
      <c r="L360" s="6">
        <f t="shared" si="76"/>
        <v>0</v>
      </c>
      <c r="M360" s="7">
        <f t="shared" si="77"/>
        <v>1.9126308249999998E-2</v>
      </c>
      <c r="N360" s="7">
        <f t="shared" si="78"/>
        <v>1.617993091805732E-2</v>
      </c>
      <c r="O360" s="7">
        <f t="shared" si="74"/>
        <v>-0.15404840774448347</v>
      </c>
      <c r="P360" s="6">
        <f t="shared" si="72"/>
        <v>2448058.0699999998</v>
      </c>
      <c r="Q360" s="6">
        <f t="shared" si="79"/>
        <v>29166666.760000039</v>
      </c>
      <c r="R360" s="4" t="str">
        <f t="shared" ca="1" si="75"/>
        <v>OK</v>
      </c>
      <c r="S360" s="6">
        <v>2830000</v>
      </c>
      <c r="T360" s="5">
        <v>45131</v>
      </c>
      <c r="U360" s="30" t="str">
        <f t="shared" si="70"/>
        <v>PAGADO</v>
      </c>
    </row>
    <row r="361" spans="1:21" x14ac:dyDescent="0.25">
      <c r="A361" s="4" t="str">
        <f t="shared" si="71"/>
        <v>20237</v>
      </c>
      <c r="B361" s="4" t="s">
        <v>36</v>
      </c>
      <c r="C361" s="4" t="s">
        <v>21</v>
      </c>
      <c r="D361" s="29" t="s">
        <v>37</v>
      </c>
      <c r="E361" s="28">
        <v>45131</v>
      </c>
      <c r="F361" s="4">
        <f t="shared" si="80"/>
        <v>21</v>
      </c>
      <c r="G361" s="4">
        <f t="shared" si="81"/>
        <v>14</v>
      </c>
      <c r="H361" s="6">
        <v>1944444.44</v>
      </c>
      <c r="I361" s="6">
        <v>480835.39</v>
      </c>
      <c r="J361" s="6">
        <v>0</v>
      </c>
      <c r="K361" s="6">
        <v>238</v>
      </c>
      <c r="L361" s="6">
        <f t="shared" si="76"/>
        <v>0</v>
      </c>
      <c r="M361" s="7">
        <f t="shared" si="77"/>
        <v>1.9126308249999998E-2</v>
      </c>
      <c r="N361" s="7">
        <f t="shared" si="78"/>
        <v>1.6485784747245467E-2</v>
      </c>
      <c r="O361" s="7">
        <f t="shared" si="74"/>
        <v>-0.13805714454876739</v>
      </c>
      <c r="P361" s="6">
        <f t="shared" si="72"/>
        <v>2425517.83</v>
      </c>
      <c r="Q361" s="6">
        <f t="shared" si="79"/>
        <v>27222222.320000038</v>
      </c>
      <c r="R361" s="4" t="str">
        <f t="shared" ca="1" si="75"/>
        <v>OK</v>
      </c>
      <c r="S361" s="6">
        <v>2720000</v>
      </c>
      <c r="T361" s="5">
        <v>45161</v>
      </c>
      <c r="U361" s="30" t="str">
        <f t="shared" si="70"/>
        <v>PAGADO</v>
      </c>
    </row>
    <row r="362" spans="1:21" x14ac:dyDescent="0.25">
      <c r="A362" s="4" t="str">
        <f t="shared" si="71"/>
        <v>20238</v>
      </c>
      <c r="B362" s="4" t="s">
        <v>36</v>
      </c>
      <c r="C362" s="4" t="s">
        <v>21</v>
      </c>
      <c r="D362" s="29" t="s">
        <v>37</v>
      </c>
      <c r="E362" s="28">
        <v>45162</v>
      </c>
      <c r="F362" s="4">
        <f t="shared" si="80"/>
        <v>22</v>
      </c>
      <c r="G362" s="4">
        <f t="shared" si="81"/>
        <v>13</v>
      </c>
      <c r="H362" s="6">
        <v>1944444.44</v>
      </c>
      <c r="I362" s="6">
        <v>436808.17</v>
      </c>
      <c r="J362" s="6">
        <v>0</v>
      </c>
      <c r="K362" s="6">
        <v>238</v>
      </c>
      <c r="L362" s="6">
        <f t="shared" si="76"/>
        <v>0</v>
      </c>
      <c r="M362" s="7">
        <f t="shared" si="77"/>
        <v>1.9126308249999998E-2</v>
      </c>
      <c r="N362" s="7">
        <f t="shared" si="78"/>
        <v>1.6046014350528579E-2</v>
      </c>
      <c r="O362" s="7">
        <f t="shared" si="74"/>
        <v>-0.1610501022575237</v>
      </c>
      <c r="P362" s="6">
        <f t="shared" si="72"/>
        <v>2381490.61</v>
      </c>
      <c r="Q362" s="6">
        <f t="shared" si="79"/>
        <v>25277777.880000036</v>
      </c>
      <c r="R362" s="4" t="str">
        <f t="shared" ca="1" si="75"/>
        <v>OK</v>
      </c>
      <c r="S362" s="6">
        <v>2800000</v>
      </c>
      <c r="T362" s="5">
        <v>45190</v>
      </c>
      <c r="U362" s="30" t="str">
        <f t="shared" si="70"/>
        <v>PAGADO</v>
      </c>
    </row>
    <row r="363" spans="1:21" x14ac:dyDescent="0.25">
      <c r="A363" s="4" t="str">
        <f t="shared" si="71"/>
        <v>20239</v>
      </c>
      <c r="B363" s="4" t="s">
        <v>36</v>
      </c>
      <c r="C363" s="4" t="s">
        <v>21</v>
      </c>
      <c r="D363" s="29" t="s">
        <v>37</v>
      </c>
      <c r="E363" s="28">
        <v>45193</v>
      </c>
      <c r="F363" s="4">
        <f t="shared" si="80"/>
        <v>23</v>
      </c>
      <c r="G363" s="4">
        <f t="shared" si="81"/>
        <v>12</v>
      </c>
      <c r="H363" s="6">
        <v>1944444.44</v>
      </c>
      <c r="I363" s="6">
        <v>416808.17</v>
      </c>
      <c r="J363" s="6">
        <v>0</v>
      </c>
      <c r="K363" s="6">
        <v>238</v>
      </c>
      <c r="L363" s="6">
        <f t="shared" si="76"/>
        <v>0</v>
      </c>
      <c r="M363" s="7">
        <f t="shared" si="77"/>
        <v>1.9126308249999998E-2</v>
      </c>
      <c r="N363" s="7">
        <f t="shared" si="78"/>
        <v>1.6489114350901141E-2</v>
      </c>
      <c r="O363" s="7">
        <f t="shared" si="74"/>
        <v>-0.1378830595339201</v>
      </c>
      <c r="P363" s="6">
        <f t="shared" si="72"/>
        <v>2361490.61</v>
      </c>
      <c r="Q363" s="6">
        <f t="shared" si="79"/>
        <v>23333333.440000035</v>
      </c>
      <c r="R363" s="4" t="str">
        <f t="shared" ca="1" si="75"/>
        <v>OK</v>
      </c>
      <c r="S363" s="6">
        <v>2250000</v>
      </c>
      <c r="T363" s="5">
        <v>45203</v>
      </c>
      <c r="U363" s="30" t="str">
        <f t="shared" si="70"/>
        <v>PAGADO</v>
      </c>
    </row>
    <row r="364" spans="1:21" x14ac:dyDescent="0.25">
      <c r="A364" s="4" t="str">
        <f t="shared" si="71"/>
        <v>202310</v>
      </c>
      <c r="B364" s="4" t="s">
        <v>36</v>
      </c>
      <c r="C364" s="4" t="s">
        <v>21</v>
      </c>
      <c r="D364" s="29" t="s">
        <v>37</v>
      </c>
      <c r="E364" s="28">
        <v>45223</v>
      </c>
      <c r="F364" s="4">
        <f t="shared" si="80"/>
        <v>24</v>
      </c>
      <c r="G364" s="4">
        <f t="shared" si="81"/>
        <v>11</v>
      </c>
      <c r="H364" s="6">
        <v>1944444.44</v>
      </c>
      <c r="I364" s="6">
        <v>384376.46</v>
      </c>
      <c r="J364" s="6">
        <v>0</v>
      </c>
      <c r="K364" s="6">
        <f>238+1345000</f>
        <v>1345238</v>
      </c>
      <c r="L364" s="6">
        <v>0</v>
      </c>
      <c r="M364" s="7">
        <f t="shared" si="77"/>
        <v>1.9126308249999998E-2</v>
      </c>
      <c r="N364" s="7">
        <f t="shared" si="78"/>
        <v>1.6473276781836424E-2</v>
      </c>
      <c r="O364" s="7">
        <f t="shared" si="74"/>
        <v>-0.13871111107725531</v>
      </c>
      <c r="P364" s="6">
        <f t="shared" si="72"/>
        <v>3674058.9</v>
      </c>
      <c r="Q364" s="6">
        <f t="shared" si="79"/>
        <v>21388889.000000034</v>
      </c>
      <c r="R364" s="4" t="str">
        <f t="shared" ca="1" si="75"/>
        <v>OK</v>
      </c>
      <c r="S364" s="6">
        <v>3800000</v>
      </c>
      <c r="T364" s="5">
        <v>45253</v>
      </c>
      <c r="U364" s="30" t="str">
        <f t="shared" si="70"/>
        <v>PAGADO</v>
      </c>
    </row>
    <row r="365" spans="1:21" x14ac:dyDescent="0.25">
      <c r="A365" s="4" t="str">
        <f t="shared" si="71"/>
        <v>202311</v>
      </c>
      <c r="B365" s="4" t="s">
        <v>36</v>
      </c>
      <c r="C365" s="4" t="s">
        <v>21</v>
      </c>
      <c r="D365" s="29" t="s">
        <v>37</v>
      </c>
      <c r="E365" s="28">
        <v>45254</v>
      </c>
      <c r="F365" s="4">
        <f t="shared" si="80"/>
        <v>25</v>
      </c>
      <c r="G365" s="4">
        <f t="shared" si="81"/>
        <v>10</v>
      </c>
      <c r="H365" s="6">
        <v>1944444.44</v>
      </c>
      <c r="I365" s="6">
        <v>250068.30849531724</v>
      </c>
      <c r="J365" s="6">
        <v>0</v>
      </c>
      <c r="K365" s="6">
        <v>238</v>
      </c>
      <c r="L365" s="6">
        <f t="shared" si="76"/>
        <v>0</v>
      </c>
      <c r="M365" s="7">
        <f t="shared" si="77"/>
        <v>1.9126308249999998E-2</v>
      </c>
      <c r="N365" s="7">
        <f t="shared" si="78"/>
        <v>1.1691505271513487E-2</v>
      </c>
      <c r="O365" s="7">
        <f t="shared" si="74"/>
        <v>-0.38872127758824093</v>
      </c>
      <c r="P365" s="6">
        <f t="shared" si="72"/>
        <v>2194750.7484953171</v>
      </c>
      <c r="Q365" s="6">
        <f t="shared" si="79"/>
        <v>19444444.560000032</v>
      </c>
      <c r="R365" s="4" t="str">
        <f t="shared" ca="1" si="75"/>
        <v>OK</v>
      </c>
      <c r="S365" s="6">
        <v>2561000</v>
      </c>
      <c r="T365" s="5">
        <v>45286</v>
      </c>
      <c r="U365" s="30" t="str">
        <f t="shared" si="70"/>
        <v>PAGADO</v>
      </c>
    </row>
    <row r="366" spans="1:21" x14ac:dyDescent="0.25">
      <c r="A366" s="4" t="str">
        <f t="shared" si="71"/>
        <v>202312</v>
      </c>
      <c r="B366" s="4" t="s">
        <v>36</v>
      </c>
      <c r="C366" s="4" t="s">
        <v>21</v>
      </c>
      <c r="D366" s="29" t="s">
        <v>37</v>
      </c>
      <c r="E366" s="28">
        <v>45284</v>
      </c>
      <c r="F366" s="4">
        <f t="shared" si="80"/>
        <v>26</v>
      </c>
      <c r="G366" s="4">
        <f t="shared" si="81"/>
        <v>9</v>
      </c>
      <c r="H366" s="6">
        <v>1944444.44</v>
      </c>
      <c r="I366" s="6">
        <v>231457.22056060206</v>
      </c>
      <c r="J366" s="6">
        <v>0</v>
      </c>
      <c r="K366" s="6">
        <v>238</v>
      </c>
      <c r="L366" s="6">
        <f t="shared" si="76"/>
        <v>0</v>
      </c>
      <c r="M366" s="7">
        <f t="shared" si="77"/>
        <v>1.9126308249999998E-2</v>
      </c>
      <c r="N366" s="7">
        <f t="shared" si="78"/>
        <v>1.1903514129518631E-2</v>
      </c>
      <c r="O366" s="7">
        <f t="shared" si="74"/>
        <v>-0.37763660535385168</v>
      </c>
      <c r="P366" s="6">
        <f t="shared" si="72"/>
        <v>2176139.6605606019</v>
      </c>
      <c r="Q366" s="6">
        <f t="shared" si="79"/>
        <v>17500000.120000031</v>
      </c>
      <c r="R366" s="4" t="str">
        <f t="shared" ca="1" si="75"/>
        <v>OK</v>
      </c>
      <c r="S366" s="6">
        <v>3000000</v>
      </c>
      <c r="T366" s="5">
        <v>45314</v>
      </c>
      <c r="U366" s="30" t="str">
        <f t="shared" si="70"/>
        <v>PAGADO</v>
      </c>
    </row>
    <row r="367" spans="1:21" x14ac:dyDescent="0.25">
      <c r="A367" s="4" t="str">
        <f t="shared" si="71"/>
        <v>20241</v>
      </c>
      <c r="B367" s="4" t="s">
        <v>36</v>
      </c>
      <c r="C367" s="4" t="s">
        <v>21</v>
      </c>
      <c r="D367" s="29" t="s">
        <v>37</v>
      </c>
      <c r="E367" s="28">
        <v>45315</v>
      </c>
      <c r="F367" s="4">
        <f t="shared" si="80"/>
        <v>27</v>
      </c>
      <c r="G367" s="4">
        <f t="shared" si="81"/>
        <v>8</v>
      </c>
      <c r="H367" s="6">
        <v>1944444.44</v>
      </c>
      <c r="I367" s="6">
        <v>204005.48039642026</v>
      </c>
      <c r="J367" s="6">
        <v>0</v>
      </c>
      <c r="K367" s="6">
        <v>238</v>
      </c>
      <c r="L367" s="6">
        <f t="shared" si="76"/>
        <v>0</v>
      </c>
      <c r="M367" s="7">
        <f t="shared" si="77"/>
        <v>1.9126308249999998E-2</v>
      </c>
      <c r="N367" s="7">
        <f t="shared" si="78"/>
        <v>1.1657455942715726E-2</v>
      </c>
      <c r="O367" s="7">
        <f t="shared" si="74"/>
        <v>-0.39050151287215995</v>
      </c>
      <c r="P367" s="6">
        <f t="shared" si="72"/>
        <v>2148687.9203964202</v>
      </c>
      <c r="Q367" s="6">
        <f t="shared" si="79"/>
        <v>15555555.680000031</v>
      </c>
      <c r="R367" s="4" t="str">
        <f t="shared" ca="1" si="75"/>
        <v>OK</v>
      </c>
      <c r="S367" s="6">
        <v>2050000</v>
      </c>
      <c r="T367" s="5">
        <v>45345</v>
      </c>
      <c r="U367" s="30" t="str">
        <f t="shared" si="70"/>
        <v>PAGADO</v>
      </c>
    </row>
    <row r="368" spans="1:21" x14ac:dyDescent="0.25">
      <c r="A368" s="4" t="str">
        <f t="shared" si="71"/>
        <v>20242</v>
      </c>
      <c r="B368" s="4" t="s">
        <v>36</v>
      </c>
      <c r="C368" s="4" t="s">
        <v>21</v>
      </c>
      <c r="D368" s="29" t="s">
        <v>37</v>
      </c>
      <c r="E368" s="28">
        <v>45346</v>
      </c>
      <c r="F368" s="4">
        <f t="shared" si="80"/>
        <v>28</v>
      </c>
      <c r="G368" s="4">
        <f t="shared" si="81"/>
        <v>7</v>
      </c>
      <c r="H368" s="6">
        <v>1944444.44</v>
      </c>
      <c r="I368" s="6">
        <v>184101.03831585619</v>
      </c>
      <c r="J368" s="6">
        <v>0</v>
      </c>
      <c r="K368" s="6">
        <v>238</v>
      </c>
      <c r="L368" s="6">
        <f t="shared" si="76"/>
        <v>98687.920396420173</v>
      </c>
      <c r="M368" s="7">
        <f t="shared" si="77"/>
        <v>1.9126308249999998E-2</v>
      </c>
      <c r="N368" s="7">
        <f t="shared" si="78"/>
        <v>1.1835066654195913E-2</v>
      </c>
      <c r="O368" s="7">
        <f t="shared" si="74"/>
        <v>-0.38121531350955229</v>
      </c>
      <c r="P368" s="6">
        <f t="shared" si="72"/>
        <v>2227471.3987122765</v>
      </c>
      <c r="Q368" s="6">
        <f t="shared" si="79"/>
        <v>13611111.240000032</v>
      </c>
      <c r="R368" s="4" t="str">
        <f t="shared" ca="1" si="75"/>
        <v>OK</v>
      </c>
      <c r="S368" s="6">
        <v>2480000</v>
      </c>
      <c r="T368" s="5">
        <v>45377</v>
      </c>
      <c r="U368" s="30" t="str">
        <f t="shared" si="70"/>
        <v>PAGADO</v>
      </c>
    </row>
    <row r="369" spans="1:21" x14ac:dyDescent="0.25">
      <c r="A369" s="4" t="str">
        <f t="shared" si="71"/>
        <v>20243</v>
      </c>
      <c r="B369" s="4" t="s">
        <v>36</v>
      </c>
      <c r="C369" s="4" t="s">
        <v>21</v>
      </c>
      <c r="D369" s="29" t="s">
        <v>37</v>
      </c>
      <c r="E369" s="28">
        <v>45375</v>
      </c>
      <c r="F369" s="4">
        <f t="shared" si="80"/>
        <v>29</v>
      </c>
      <c r="G369" s="4">
        <f t="shared" si="81"/>
        <v>6</v>
      </c>
      <c r="H369" s="6">
        <v>1944444.44</v>
      </c>
      <c r="I369" s="6">
        <v>163937.64519644398</v>
      </c>
      <c r="J369" s="6">
        <v>0</v>
      </c>
      <c r="K369" s="6">
        <v>238</v>
      </c>
      <c r="L369" s="6">
        <f t="shared" si="76"/>
        <v>0</v>
      </c>
      <c r="M369" s="7">
        <f t="shared" si="77"/>
        <v>1.9126308249999998E-2</v>
      </c>
      <c r="N369" s="7">
        <f t="shared" si="78"/>
        <v>1.2044398308542778E-2</v>
      </c>
      <c r="O369" s="7">
        <f t="shared" si="74"/>
        <v>-0.370270616205154</v>
      </c>
      <c r="P369" s="6">
        <f t="shared" si="72"/>
        <v>2108620.0851964438</v>
      </c>
      <c r="Q369" s="6">
        <f t="shared" si="79"/>
        <v>11666666.800000032</v>
      </c>
      <c r="R369" s="4" t="str">
        <f t="shared" ca="1" si="75"/>
        <v>OK</v>
      </c>
      <c r="S369" s="6">
        <v>2183000</v>
      </c>
      <c r="T369" s="5">
        <v>45408</v>
      </c>
      <c r="U369" s="30" t="str">
        <f t="shared" si="70"/>
        <v>PAGADO</v>
      </c>
    </row>
    <row r="370" spans="1:21" x14ac:dyDescent="0.25">
      <c r="A370" s="4" t="str">
        <f t="shared" si="71"/>
        <v>20244</v>
      </c>
      <c r="B370" s="4" t="s">
        <v>36</v>
      </c>
      <c r="C370" s="4" t="s">
        <v>21</v>
      </c>
      <c r="D370" s="29" t="s">
        <v>37</v>
      </c>
      <c r="E370" s="28">
        <v>45406</v>
      </c>
      <c r="F370" s="4">
        <f t="shared" si="80"/>
        <v>30</v>
      </c>
      <c r="G370" s="4">
        <f t="shared" si="81"/>
        <v>5</v>
      </c>
      <c r="H370" s="6">
        <v>1944444.44</v>
      </c>
      <c r="I370" s="6">
        <v>143582.23786920638</v>
      </c>
      <c r="J370" s="6">
        <v>0</v>
      </c>
      <c r="K370" s="6">
        <v>238</v>
      </c>
      <c r="L370" s="6">
        <f t="shared" si="76"/>
        <v>0</v>
      </c>
      <c r="M370" s="7">
        <f t="shared" si="77"/>
        <v>1.9126308249999998E-2</v>
      </c>
      <c r="N370" s="7">
        <f t="shared" si="78"/>
        <v>1.230704881956567E-2</v>
      </c>
      <c r="O370" s="7">
        <f t="shared" si="74"/>
        <v>-0.35653819552104782</v>
      </c>
      <c r="P370" s="6">
        <f t="shared" si="72"/>
        <v>2088264.6778692063</v>
      </c>
      <c r="Q370" s="6">
        <f t="shared" si="79"/>
        <v>9722222.3600000329</v>
      </c>
      <c r="R370" s="4" t="str">
        <f t="shared" ca="1" si="75"/>
        <v>OK</v>
      </c>
      <c r="S370" s="6">
        <v>2500000</v>
      </c>
      <c r="T370" s="5">
        <v>45439</v>
      </c>
      <c r="U370" s="30" t="str">
        <f t="shared" si="70"/>
        <v>PAGADO</v>
      </c>
    </row>
    <row r="371" spans="1:21" x14ac:dyDescent="0.25">
      <c r="A371" s="4" t="str">
        <f t="shared" si="71"/>
        <v>20245</v>
      </c>
      <c r="B371" s="4" t="s">
        <v>36</v>
      </c>
      <c r="C371" s="4" t="s">
        <v>21</v>
      </c>
      <c r="D371" s="29" t="s">
        <v>37</v>
      </c>
      <c r="E371" s="28">
        <v>45436</v>
      </c>
      <c r="F371" s="4">
        <f t="shared" si="80"/>
        <v>31</v>
      </c>
      <c r="G371" s="4">
        <f t="shared" si="81"/>
        <v>4</v>
      </c>
      <c r="H371" s="6">
        <v>1944444.44</v>
      </c>
      <c r="I371" s="6">
        <v>123117.70769805503</v>
      </c>
      <c r="J371" s="6">
        <v>0</v>
      </c>
      <c r="K371" s="6">
        <v>238</v>
      </c>
      <c r="L371" s="6">
        <f t="shared" si="76"/>
        <v>0</v>
      </c>
      <c r="M371" s="7">
        <f t="shared" si="77"/>
        <v>1.9126308249999998E-2</v>
      </c>
      <c r="N371" s="7">
        <f t="shared" si="78"/>
        <v>1.2663535469482371E-2</v>
      </c>
      <c r="O371" s="7">
        <f t="shared" si="74"/>
        <v>-0.33789964566306863</v>
      </c>
      <c r="P371" s="6">
        <f t="shared" si="72"/>
        <v>2067800.147698055</v>
      </c>
      <c r="Q371" s="6">
        <f t="shared" si="79"/>
        <v>7777777.9200000335</v>
      </c>
      <c r="R371" s="4" t="str">
        <f t="shared" ca="1" si="75"/>
        <v>OK</v>
      </c>
      <c r="S371" s="6">
        <v>2400000</v>
      </c>
      <c r="T371" s="5">
        <v>45456</v>
      </c>
      <c r="U371" s="30" t="str">
        <f t="shared" si="70"/>
        <v>PAGADO</v>
      </c>
    </row>
    <row r="372" spans="1:21" x14ac:dyDescent="0.25">
      <c r="A372" s="4" t="str">
        <f t="shared" si="71"/>
        <v>20246</v>
      </c>
      <c r="B372" s="4" t="s">
        <v>36</v>
      </c>
      <c r="C372" s="4" t="s">
        <v>21</v>
      </c>
      <c r="D372" s="29" t="s">
        <v>37</v>
      </c>
      <c r="E372" s="28">
        <v>45467</v>
      </c>
      <c r="F372" s="4">
        <f t="shared" si="80"/>
        <v>32</v>
      </c>
      <c r="G372" s="4">
        <f t="shared" si="81"/>
        <v>3</v>
      </c>
      <c r="H372" s="6">
        <v>1944444.44</v>
      </c>
      <c r="I372" s="6">
        <v>102607.16371657977</v>
      </c>
      <c r="J372" s="6">
        <v>0</v>
      </c>
      <c r="K372" s="6">
        <v>238</v>
      </c>
      <c r="L372" s="6">
        <f t="shared" si="76"/>
        <v>0</v>
      </c>
      <c r="M372" s="7">
        <f t="shared" si="77"/>
        <v>1.9126308249999998E-2</v>
      </c>
      <c r="N372" s="7">
        <f t="shared" si="78"/>
        <v>1.3192349379471526E-2</v>
      </c>
      <c r="O372" s="7">
        <f t="shared" si="74"/>
        <v>-0.31025113644335789</v>
      </c>
      <c r="P372" s="6">
        <f t="shared" si="72"/>
        <v>2047289.6037165797</v>
      </c>
      <c r="Q372" s="6">
        <f t="shared" si="79"/>
        <v>5833333.480000034</v>
      </c>
      <c r="R372" s="4" t="str">
        <f t="shared" ca="1" si="75"/>
        <v>OK</v>
      </c>
      <c r="S372" s="6">
        <v>1800000</v>
      </c>
      <c r="T372" s="5">
        <v>45461</v>
      </c>
      <c r="U372" s="30" t="str">
        <f t="shared" si="70"/>
        <v>PAGADO</v>
      </c>
    </row>
    <row r="373" spans="1:21" x14ac:dyDescent="0.25">
      <c r="A373" s="4" t="str">
        <f t="shared" si="71"/>
        <v>20247</v>
      </c>
      <c r="B373" s="4" t="s">
        <v>36</v>
      </c>
      <c r="C373" s="4" t="s">
        <v>21</v>
      </c>
      <c r="D373" s="29" t="s">
        <v>37</v>
      </c>
      <c r="E373" s="28">
        <v>45497</v>
      </c>
      <c r="F373" s="4">
        <f t="shared" si="80"/>
        <v>33</v>
      </c>
      <c r="G373" s="4">
        <f t="shared" si="81"/>
        <v>2</v>
      </c>
      <c r="H373" s="6">
        <v>1944444.44</v>
      </c>
      <c r="I373" s="6">
        <v>82115.612197758397</v>
      </c>
      <c r="J373" s="6">
        <v>0</v>
      </c>
      <c r="K373" s="6">
        <v>238</v>
      </c>
      <c r="L373" s="6">
        <f t="shared" si="76"/>
        <v>247289.60371657973</v>
      </c>
      <c r="M373" s="7">
        <f t="shared" si="77"/>
        <v>1.9126308249999998E-2</v>
      </c>
      <c r="N373" s="7">
        <f t="shared" si="78"/>
        <v>1.4076961737109176E-2</v>
      </c>
      <c r="O373" s="7">
        <f t="shared" si="74"/>
        <v>-0.26400005933663762</v>
      </c>
      <c r="P373" s="6">
        <f t="shared" si="72"/>
        <v>2274087.6559143383</v>
      </c>
      <c r="Q373" s="6">
        <f t="shared" si="79"/>
        <v>3888889.040000034</v>
      </c>
      <c r="R373" s="4" t="str">
        <f t="shared" ca="1" si="75"/>
        <v>OK</v>
      </c>
      <c r="S373" s="6">
        <v>2274087.6559143383</v>
      </c>
      <c r="T373" s="5">
        <v>45514</v>
      </c>
      <c r="U373" s="30" t="str">
        <f t="shared" si="70"/>
        <v>PAGADO</v>
      </c>
    </row>
    <row r="374" spans="1:21" x14ac:dyDescent="0.25">
      <c r="A374" s="4" t="str">
        <f t="shared" si="71"/>
        <v>20248</v>
      </c>
      <c r="B374" s="4" t="s">
        <v>36</v>
      </c>
      <c r="C374" s="4" t="s">
        <v>21</v>
      </c>
      <c r="D374" s="29" t="s">
        <v>37</v>
      </c>
      <c r="E374" s="28">
        <v>45528</v>
      </c>
      <c r="F374" s="4">
        <f t="shared" si="80"/>
        <v>34</v>
      </c>
      <c r="G374" s="4">
        <f t="shared" si="81"/>
        <v>1</v>
      </c>
      <c r="H374" s="6">
        <v>1944444.44</v>
      </c>
      <c r="I374" s="6">
        <v>61868.797620632235</v>
      </c>
      <c r="J374" s="6">
        <v>0</v>
      </c>
      <c r="K374" s="6">
        <v>238</v>
      </c>
      <c r="L374" s="6">
        <f t="shared" si="76"/>
        <v>0</v>
      </c>
      <c r="M374" s="7">
        <f t="shared" si="77"/>
        <v>1.9126308249999998E-2</v>
      </c>
      <c r="N374" s="7">
        <f t="shared" si="78"/>
        <v>1.5909118769979535E-2</v>
      </c>
      <c r="O374" s="7">
        <f t="shared" si="74"/>
        <v>-0.16820755150280842</v>
      </c>
      <c r="P374" s="6">
        <f t="shared" si="72"/>
        <v>2006551.2376206322</v>
      </c>
      <c r="Q374" s="6">
        <f t="shared" si="79"/>
        <v>1944444.6000000341</v>
      </c>
      <c r="R374" s="4" t="str">
        <f t="shared" ca="1" si="75"/>
        <v>OK</v>
      </c>
      <c r="S374" s="6">
        <f>4000000-S373</f>
        <v>1725912.3440856617</v>
      </c>
      <c r="T374" s="5">
        <v>45514</v>
      </c>
      <c r="U374" s="30" t="str">
        <f t="shared" si="70"/>
        <v>PAGADO</v>
      </c>
    </row>
    <row r="375" spans="1:21" x14ac:dyDescent="0.25">
      <c r="A375" s="4" t="str">
        <f t="shared" si="71"/>
        <v>20249</v>
      </c>
      <c r="B375" s="4" t="s">
        <v>36</v>
      </c>
      <c r="C375" s="4" t="s">
        <v>21</v>
      </c>
      <c r="D375" s="29" t="s">
        <v>37</v>
      </c>
      <c r="E375" s="28">
        <v>45559</v>
      </c>
      <c r="F375" s="4">
        <f t="shared" si="80"/>
        <v>35</v>
      </c>
      <c r="G375" s="4">
        <f t="shared" si="81"/>
        <v>0</v>
      </c>
      <c r="H375" s="6">
        <v>1944444.44</v>
      </c>
      <c r="I375" s="6">
        <v>82115.612197758397</v>
      </c>
      <c r="J375" s="6">
        <v>0</v>
      </c>
      <c r="K375" s="6">
        <v>238</v>
      </c>
      <c r="L375" s="6">
        <f t="shared" si="76"/>
        <v>280638.89353497047</v>
      </c>
      <c r="M375" s="7">
        <f t="shared" si="77"/>
        <v>1.9126308249999998E-2</v>
      </c>
      <c r="N375" s="7">
        <v>1.1100000000000001</v>
      </c>
      <c r="O375" s="7">
        <f t="shared" si="74"/>
        <v>57.03524577201145</v>
      </c>
      <c r="P375" s="6">
        <f t="shared" si="72"/>
        <v>2307436.9457327286</v>
      </c>
      <c r="Q375" s="6">
        <f t="shared" si="79"/>
        <v>0.16000003414228559</v>
      </c>
      <c r="R375" s="4">
        <f t="shared" ca="1" si="75"/>
        <v>-21</v>
      </c>
      <c r="S375" s="6"/>
      <c r="T375" s="5"/>
      <c r="U375" s="30" t="str">
        <f t="shared" si="70"/>
        <v>PENDIENTE</v>
      </c>
    </row>
    <row r="376" spans="1:21" x14ac:dyDescent="0.25">
      <c r="A376" s="4" t="str">
        <f t="shared" si="71"/>
        <v>202110</v>
      </c>
      <c r="B376" s="4" t="s">
        <v>24</v>
      </c>
      <c r="C376" s="4" t="s">
        <v>21</v>
      </c>
      <c r="D376" s="29" t="s">
        <v>38</v>
      </c>
      <c r="E376" s="28">
        <v>44481</v>
      </c>
      <c r="F376" s="4">
        <v>0</v>
      </c>
      <c r="G376" s="4">
        <v>36</v>
      </c>
      <c r="H376" s="6">
        <v>0</v>
      </c>
      <c r="I376" s="6">
        <v>0</v>
      </c>
      <c r="J376" s="6">
        <v>0</v>
      </c>
      <c r="K376" s="6">
        <v>0</v>
      </c>
      <c r="L376" s="6">
        <f t="shared" si="76"/>
        <v>0</v>
      </c>
      <c r="M376" s="7">
        <f>0.12235329/12</f>
        <v>1.0196107500000001E-2</v>
      </c>
      <c r="N376" s="7">
        <v>0</v>
      </c>
      <c r="O376" s="7">
        <f t="shared" si="74"/>
        <v>-1</v>
      </c>
      <c r="P376" s="6">
        <f>H376+I376+J376+K376+L376</f>
        <v>0</v>
      </c>
      <c r="Q376" s="6">
        <v>200000000</v>
      </c>
      <c r="R376" s="4" t="s">
        <v>27</v>
      </c>
      <c r="S376" s="6">
        <v>0</v>
      </c>
      <c r="T376" s="5">
        <v>44677</v>
      </c>
      <c r="U376" s="30" t="str">
        <f t="shared" si="70"/>
        <v>PAGADO</v>
      </c>
    </row>
    <row r="377" spans="1:21" x14ac:dyDescent="0.25">
      <c r="A377" s="4" t="str">
        <f t="shared" si="71"/>
        <v>202111</v>
      </c>
      <c r="B377" s="4" t="s">
        <v>24</v>
      </c>
      <c r="C377" s="4" t="s">
        <v>21</v>
      </c>
      <c r="D377" s="29" t="s">
        <v>38</v>
      </c>
      <c r="E377" s="28">
        <v>44512</v>
      </c>
      <c r="F377" s="4">
        <v>1</v>
      </c>
      <c r="G377" s="4">
        <v>35</v>
      </c>
      <c r="H377" s="6">
        <v>4626142.43</v>
      </c>
      <c r="I377" s="6">
        <v>2039221.5</v>
      </c>
      <c r="J377" s="6">
        <v>0</v>
      </c>
      <c r="K377" s="6">
        <v>641667</v>
      </c>
      <c r="L377" s="6">
        <f t="shared" si="76"/>
        <v>0</v>
      </c>
      <c r="M377" s="7">
        <f t="shared" ref="M377:M412" si="82">0.12235329/12</f>
        <v>1.0196107500000001E-2</v>
      </c>
      <c r="N377" s="7">
        <f t="shared" ref="N377:N440" si="83">I377/Q376</f>
        <v>1.0196107500000001E-2</v>
      </c>
      <c r="O377" s="7">
        <f t="shared" si="74"/>
        <v>0</v>
      </c>
      <c r="P377" s="6">
        <f t="shared" ref="P377:P440" si="84">H377+I377+J377+K377+L377</f>
        <v>7307030.9299999997</v>
      </c>
      <c r="Q377" s="6">
        <f>Q376-H377</f>
        <v>195373857.56999999</v>
      </c>
      <c r="R377" s="4" t="str">
        <f t="shared" ref="R377:R412" ca="1" si="85">IF(T376="",TODAY()-E376,IF(T377="",TODAY()-E377,"OK"))</f>
        <v>OK</v>
      </c>
      <c r="S377" s="6">
        <v>7318726.2400000002</v>
      </c>
      <c r="T377" s="5">
        <v>44514</v>
      </c>
      <c r="U377" s="30" t="str">
        <f t="shared" si="70"/>
        <v>PAGADO</v>
      </c>
    </row>
    <row r="378" spans="1:21" x14ac:dyDescent="0.25">
      <c r="A378" s="4" t="str">
        <f t="shared" si="71"/>
        <v>202112</v>
      </c>
      <c r="B378" s="4" t="s">
        <v>24</v>
      </c>
      <c r="C378" s="4" t="s">
        <v>21</v>
      </c>
      <c r="D378" s="29" t="s">
        <v>38</v>
      </c>
      <c r="E378" s="28">
        <v>44542</v>
      </c>
      <c r="F378" s="4">
        <v>2</v>
      </c>
      <c r="G378" s="4">
        <v>34</v>
      </c>
      <c r="H378" s="6">
        <v>4647295.04</v>
      </c>
      <c r="I378" s="6">
        <v>2053109.46</v>
      </c>
      <c r="J378" s="6">
        <v>0</v>
      </c>
      <c r="K378" s="6">
        <v>641667</v>
      </c>
      <c r="L378" s="6">
        <f t="shared" si="76"/>
        <v>0</v>
      </c>
      <c r="M378" s="7">
        <f t="shared" si="82"/>
        <v>1.0196107500000001E-2</v>
      </c>
      <c r="N378" s="7">
        <f t="shared" si="83"/>
        <v>1.0508619144526011E-2</v>
      </c>
      <c r="O378" s="7">
        <f t="shared" si="74"/>
        <v>3.0650093138583578E-2</v>
      </c>
      <c r="P378" s="6">
        <f t="shared" si="84"/>
        <v>7342071.5</v>
      </c>
      <c r="Q378" s="6">
        <f t="shared" ref="Q378:Q412" si="86">Q377-H378</f>
        <v>190726562.53</v>
      </c>
      <c r="R378" s="4" t="str">
        <f t="shared" ca="1" si="85"/>
        <v>OK</v>
      </c>
      <c r="S378" s="6">
        <v>7342071.5</v>
      </c>
      <c r="T378" s="5">
        <v>44543</v>
      </c>
      <c r="U378" s="30" t="str">
        <f t="shared" si="70"/>
        <v>PAGADO</v>
      </c>
    </row>
    <row r="379" spans="1:21" x14ac:dyDescent="0.25">
      <c r="A379" s="4" t="str">
        <f t="shared" si="71"/>
        <v>20221</v>
      </c>
      <c r="B379" s="4" t="s">
        <v>24</v>
      </c>
      <c r="C379" s="4" t="s">
        <v>21</v>
      </c>
      <c r="D379" s="29" t="s">
        <v>38</v>
      </c>
      <c r="E379" s="28">
        <v>44573</v>
      </c>
      <c r="F379" s="4">
        <v>3</v>
      </c>
      <c r="G379" s="4">
        <v>33</v>
      </c>
      <c r="H379" s="6">
        <v>4674447.5999999996</v>
      </c>
      <c r="I379" s="6">
        <v>2055201.41</v>
      </c>
      <c r="J379" s="6">
        <v>0</v>
      </c>
      <c r="K379" s="6">
        <v>641667</v>
      </c>
      <c r="L379" s="6">
        <f t="shared" si="76"/>
        <v>0</v>
      </c>
      <c r="M379" s="7">
        <f t="shared" si="82"/>
        <v>1.0196107500000001E-2</v>
      </c>
      <c r="N379" s="7">
        <f t="shared" si="83"/>
        <v>1.0775643322763344E-2</v>
      </c>
      <c r="O379" s="7">
        <f t="shared" si="74"/>
        <v>5.6838928263883259E-2</v>
      </c>
      <c r="P379" s="6">
        <f t="shared" si="84"/>
        <v>7371316.0099999998</v>
      </c>
      <c r="Q379" s="6">
        <f t="shared" si="86"/>
        <v>186052114.93000001</v>
      </c>
      <c r="R379" s="4" t="str">
        <f t="shared" ca="1" si="85"/>
        <v>OK</v>
      </c>
      <c r="S379" s="6">
        <v>7371316.0099999998</v>
      </c>
      <c r="T379" s="5">
        <v>44573</v>
      </c>
      <c r="U379" s="30" t="str">
        <f t="shared" si="70"/>
        <v>PAGADO</v>
      </c>
    </row>
    <row r="380" spans="1:21" x14ac:dyDescent="0.25">
      <c r="A380" s="4" t="str">
        <f t="shared" si="71"/>
        <v>20222</v>
      </c>
      <c r="B380" s="4" t="s">
        <v>24</v>
      </c>
      <c r="C380" s="4" t="s">
        <v>21</v>
      </c>
      <c r="D380" s="29" t="s">
        <v>38</v>
      </c>
      <c r="E380" s="28">
        <v>44604</v>
      </c>
      <c r="F380" s="4">
        <v>4</v>
      </c>
      <c r="G380" s="4">
        <v>32</v>
      </c>
      <c r="H380" s="6">
        <v>4695568.72</v>
      </c>
      <c r="I380" s="6">
        <v>2073592.99</v>
      </c>
      <c r="J380" s="6">
        <v>0</v>
      </c>
      <c r="K380" s="6">
        <v>641667</v>
      </c>
      <c r="L380" s="6">
        <f t="shared" si="76"/>
        <v>0</v>
      </c>
      <c r="M380" s="7">
        <f t="shared" si="82"/>
        <v>1.0196107500000001E-2</v>
      </c>
      <c r="N380" s="7">
        <f t="shared" si="83"/>
        <v>1.114522665211393E-2</v>
      </c>
      <c r="O380" s="7">
        <f t="shared" si="74"/>
        <v>9.308642068690709E-2</v>
      </c>
      <c r="P380" s="6">
        <f t="shared" si="84"/>
        <v>7410828.71</v>
      </c>
      <c r="Q380" s="6">
        <f t="shared" si="86"/>
        <v>181356546.21000001</v>
      </c>
      <c r="R380" s="4" t="str">
        <f t="shared" ca="1" si="85"/>
        <v>OK</v>
      </c>
      <c r="S380" s="6">
        <v>7420199.1100000003</v>
      </c>
      <c r="T380" s="5">
        <v>44607</v>
      </c>
      <c r="U380" s="30" t="str">
        <f t="shared" si="70"/>
        <v>PAGADO</v>
      </c>
    </row>
    <row r="381" spans="1:21" x14ac:dyDescent="0.25">
      <c r="A381" s="4" t="str">
        <f t="shared" si="71"/>
        <v>20223</v>
      </c>
      <c r="B381" s="4" t="s">
        <v>24</v>
      </c>
      <c r="C381" s="4" t="s">
        <v>21</v>
      </c>
      <c r="D381" s="29" t="s">
        <v>38</v>
      </c>
      <c r="E381" s="28">
        <v>44632</v>
      </c>
      <c r="F381" s="4">
        <v>5</v>
      </c>
      <c r="G381" s="4">
        <v>31</v>
      </c>
      <c r="H381" s="6">
        <v>4722934.8</v>
      </c>
      <c r="I381" s="6">
        <v>2080020.99</v>
      </c>
      <c r="J381" s="6">
        <v>0</v>
      </c>
      <c r="K381" s="6">
        <v>641667</v>
      </c>
      <c r="L381" s="6">
        <f t="shared" si="76"/>
        <v>0</v>
      </c>
      <c r="M381" s="7">
        <f t="shared" si="82"/>
        <v>1.0196107500000001E-2</v>
      </c>
      <c r="N381" s="7">
        <f t="shared" si="83"/>
        <v>1.1469235787008539E-2</v>
      </c>
      <c r="O381" s="7">
        <f t="shared" si="74"/>
        <v>0.1248641490891047</v>
      </c>
      <c r="P381" s="6">
        <f t="shared" si="84"/>
        <v>7444622.79</v>
      </c>
      <c r="Q381" s="6">
        <f t="shared" si="86"/>
        <v>176633611.41</v>
      </c>
      <c r="R381" s="4" t="str">
        <f t="shared" ca="1" si="85"/>
        <v>OK</v>
      </c>
      <c r="S381" s="6">
        <v>7463601.4800000004</v>
      </c>
      <c r="T381" s="5">
        <v>45002</v>
      </c>
      <c r="U381" s="30" t="str">
        <f t="shared" si="70"/>
        <v>PAGADO</v>
      </c>
    </row>
    <row r="382" spans="1:21" x14ac:dyDescent="0.25">
      <c r="A382" s="4" t="str">
        <f t="shared" si="71"/>
        <v>20224</v>
      </c>
      <c r="B382" s="4" t="s">
        <v>24</v>
      </c>
      <c r="C382" s="4" t="s">
        <v>21</v>
      </c>
      <c r="D382" s="29" t="s">
        <v>38</v>
      </c>
      <c r="E382" s="28">
        <v>44663</v>
      </c>
      <c r="F382" s="4">
        <v>6</v>
      </c>
      <c r="G382" s="4">
        <v>30</v>
      </c>
      <c r="H382" s="6">
        <v>4715809.6100000003</v>
      </c>
      <c r="I382" s="6">
        <v>2170627.7799999998</v>
      </c>
      <c r="J382" s="6">
        <v>0</v>
      </c>
      <c r="K382" s="6">
        <v>641667</v>
      </c>
      <c r="L382" s="6">
        <f t="shared" si="76"/>
        <v>0</v>
      </c>
      <c r="M382" s="7">
        <f t="shared" si="82"/>
        <v>1.0196107500000001E-2</v>
      </c>
      <c r="N382" s="7">
        <f t="shared" si="83"/>
        <v>1.2288871651735424E-2</v>
      </c>
      <c r="O382" s="7">
        <f t="shared" si="74"/>
        <v>0.20525128356438205</v>
      </c>
      <c r="P382" s="6">
        <f t="shared" si="84"/>
        <v>7528104.3900000006</v>
      </c>
      <c r="Q382" s="6">
        <f t="shared" si="86"/>
        <v>171917801.79999998</v>
      </c>
      <c r="R382" s="4" t="str">
        <f t="shared" ca="1" si="85"/>
        <v>OK</v>
      </c>
      <c r="S382" s="6">
        <v>7580000</v>
      </c>
      <c r="T382" s="5">
        <v>44677</v>
      </c>
      <c r="U382" s="30" t="str">
        <f t="shared" si="70"/>
        <v>PAGADO</v>
      </c>
    </row>
    <row r="383" spans="1:21" x14ac:dyDescent="0.25">
      <c r="A383" s="4" t="str">
        <f t="shared" si="71"/>
        <v>20225</v>
      </c>
      <c r="B383" s="4" t="s">
        <v>24</v>
      </c>
      <c r="C383" s="4" t="s">
        <v>21</v>
      </c>
      <c r="D383" s="29" t="s">
        <v>38</v>
      </c>
      <c r="E383" s="28">
        <v>44693</v>
      </c>
      <c r="F383" s="4">
        <v>7</v>
      </c>
      <c r="G383" s="4">
        <v>29</v>
      </c>
      <c r="H383" s="6">
        <v>4748870.1500000004</v>
      </c>
      <c r="I383" s="6">
        <v>2202602.42</v>
      </c>
      <c r="J383" s="6">
        <v>0</v>
      </c>
      <c r="K383" s="6">
        <v>641667</v>
      </c>
      <c r="L383" s="6">
        <f t="shared" si="76"/>
        <v>0</v>
      </c>
      <c r="M383" s="7">
        <f t="shared" si="82"/>
        <v>1.0196107500000001E-2</v>
      </c>
      <c r="N383" s="7">
        <f t="shared" si="83"/>
        <v>1.2811950809854993E-2</v>
      </c>
      <c r="O383" s="7">
        <f t="shared" si="74"/>
        <v>0.25655313165882099</v>
      </c>
      <c r="P383" s="6">
        <f t="shared" si="84"/>
        <v>7593139.5700000003</v>
      </c>
      <c r="Q383" s="6">
        <f t="shared" si="86"/>
        <v>167168931.64999998</v>
      </c>
      <c r="R383" s="4" t="str">
        <f t="shared" ca="1" si="85"/>
        <v>OK</v>
      </c>
      <c r="S383" s="6">
        <v>7594200</v>
      </c>
      <c r="T383" s="5">
        <v>44699</v>
      </c>
      <c r="U383" s="30" t="str">
        <f t="shared" si="70"/>
        <v>PAGADO</v>
      </c>
    </row>
    <row r="384" spans="1:21" x14ac:dyDescent="0.25">
      <c r="A384" s="4" t="str">
        <f t="shared" si="71"/>
        <v>20226</v>
      </c>
      <c r="B384" s="4" t="s">
        <v>24</v>
      </c>
      <c r="C384" s="4" t="s">
        <v>21</v>
      </c>
      <c r="D384" s="29" t="s">
        <v>38</v>
      </c>
      <c r="E384" s="28">
        <v>44724</v>
      </c>
      <c r="F384" s="4">
        <v>8</v>
      </c>
      <c r="G384" s="4">
        <v>28</v>
      </c>
      <c r="H384" s="6">
        <v>4757472.0199999996</v>
      </c>
      <c r="I384" s="6">
        <v>2255354.25</v>
      </c>
      <c r="J384" s="6">
        <v>0</v>
      </c>
      <c r="K384" s="6">
        <v>641667</v>
      </c>
      <c r="L384" s="6">
        <f t="shared" si="76"/>
        <v>0</v>
      </c>
      <c r="M384" s="7">
        <f t="shared" si="82"/>
        <v>1.0196107500000001E-2</v>
      </c>
      <c r="N384" s="7">
        <f t="shared" si="83"/>
        <v>1.3491467749055273E-2</v>
      </c>
      <c r="O384" s="7">
        <f t="shared" si="74"/>
        <v>0.32319787223264096</v>
      </c>
      <c r="P384" s="6">
        <f t="shared" si="84"/>
        <v>7654493.2699999996</v>
      </c>
      <c r="Q384" s="6">
        <f t="shared" si="86"/>
        <v>162411459.62999997</v>
      </c>
      <c r="R384" s="4" t="str">
        <f t="shared" ca="1" si="85"/>
        <v>OK</v>
      </c>
      <c r="S384" s="6">
        <v>7660000</v>
      </c>
      <c r="T384" s="5">
        <v>44728</v>
      </c>
      <c r="U384" s="30" t="str">
        <f t="shared" si="70"/>
        <v>PAGADO</v>
      </c>
    </row>
    <row r="385" spans="1:21" x14ac:dyDescent="0.25">
      <c r="A385" s="4" t="str">
        <f t="shared" si="71"/>
        <v>20227</v>
      </c>
      <c r="B385" s="4" t="s">
        <v>24</v>
      </c>
      <c r="C385" s="4" t="s">
        <v>21</v>
      </c>
      <c r="D385" s="29" t="s">
        <v>38</v>
      </c>
      <c r="E385" s="28">
        <v>44754</v>
      </c>
      <c r="F385" s="4">
        <v>9</v>
      </c>
      <c r="G385" s="4">
        <v>27</v>
      </c>
      <c r="H385" s="6">
        <v>4786769.83</v>
      </c>
      <c r="I385" s="6">
        <v>2323863.8199999998</v>
      </c>
      <c r="J385" s="6">
        <v>0</v>
      </c>
      <c r="K385" s="6">
        <v>641667</v>
      </c>
      <c r="L385" s="6">
        <f t="shared" si="76"/>
        <v>0</v>
      </c>
      <c r="M385" s="7">
        <f t="shared" si="82"/>
        <v>1.0196107500000001E-2</v>
      </c>
      <c r="N385" s="7">
        <f t="shared" si="83"/>
        <v>1.4308496612826115E-2</v>
      </c>
      <c r="O385" s="7">
        <f t="shared" si="74"/>
        <v>0.40332932080464179</v>
      </c>
      <c r="P385" s="6">
        <f t="shared" si="84"/>
        <v>7752300.6500000004</v>
      </c>
      <c r="Q385" s="6">
        <f t="shared" si="86"/>
        <v>157624689.79999995</v>
      </c>
      <c r="R385" s="4" t="str">
        <f t="shared" ca="1" si="85"/>
        <v>OK</v>
      </c>
      <c r="S385" s="6">
        <v>7850000</v>
      </c>
      <c r="T385" s="5">
        <v>44784</v>
      </c>
      <c r="U385" s="30" t="str">
        <f t="shared" si="70"/>
        <v>PAGADO</v>
      </c>
    </row>
    <row r="386" spans="1:21" x14ac:dyDescent="0.25">
      <c r="A386" s="4" t="str">
        <f t="shared" si="71"/>
        <v>20228</v>
      </c>
      <c r="B386" s="4" t="s">
        <v>24</v>
      </c>
      <c r="C386" s="4" t="s">
        <v>21</v>
      </c>
      <c r="D386" s="29" t="s">
        <v>38</v>
      </c>
      <c r="E386" s="28">
        <v>44785</v>
      </c>
      <c r="F386" s="4">
        <v>10</v>
      </c>
      <c r="G386" s="4">
        <v>26</v>
      </c>
      <c r="H386" s="6">
        <v>4950096.42</v>
      </c>
      <c r="I386" s="6">
        <v>2348785.0699999998</v>
      </c>
      <c r="J386" s="6">
        <v>0</v>
      </c>
      <c r="K386" s="6">
        <v>641667</v>
      </c>
      <c r="L386" s="6">
        <f t="shared" si="76"/>
        <v>0</v>
      </c>
      <c r="M386" s="7">
        <f t="shared" si="82"/>
        <v>1.0196107500000001E-2</v>
      </c>
      <c r="N386" s="7">
        <f t="shared" si="83"/>
        <v>1.4901124138485065E-2</v>
      </c>
      <c r="O386" s="7">
        <f t="shared" si="74"/>
        <v>0.46145223934575652</v>
      </c>
      <c r="P386" s="6">
        <f t="shared" si="84"/>
        <v>7940548.4900000002</v>
      </c>
      <c r="Q386" s="6">
        <f t="shared" si="86"/>
        <v>152674593.37999997</v>
      </c>
      <c r="R386" s="4" t="str">
        <f t="shared" ca="1" si="85"/>
        <v>OK</v>
      </c>
      <c r="S386" s="6">
        <v>7780000</v>
      </c>
      <c r="T386" s="5">
        <v>44786</v>
      </c>
      <c r="U386" s="30" t="str">
        <f t="shared" ref="U386:U449" si="87">IF(AND(S386="",T386=""),"PENDIENTE",IF(AND(S386&lt;&gt;"",T386&lt;&gt;""),"PAGADO","ABONADO"))</f>
        <v>PAGADO</v>
      </c>
    </row>
    <row r="387" spans="1:21" x14ac:dyDescent="0.25">
      <c r="A387" s="4" t="str">
        <f t="shared" ref="A387:A450" si="88">CONCATENATE(YEAR($E387),MONTH($E387))</f>
        <v>20229</v>
      </c>
      <c r="B387" s="4" t="s">
        <v>24</v>
      </c>
      <c r="C387" s="4" t="s">
        <v>21</v>
      </c>
      <c r="D387" s="29" t="s">
        <v>38</v>
      </c>
      <c r="E387" s="28">
        <v>44816</v>
      </c>
      <c r="F387" s="4">
        <v>11</v>
      </c>
      <c r="G387" s="4">
        <v>25</v>
      </c>
      <c r="H387" s="6">
        <v>4780882.04</v>
      </c>
      <c r="I387" s="6">
        <v>2463575.13</v>
      </c>
      <c r="J387" s="6">
        <v>0</v>
      </c>
      <c r="K387" s="6">
        <v>637134.68000000005</v>
      </c>
      <c r="L387" s="6">
        <f t="shared" si="76"/>
        <v>160548.49000000022</v>
      </c>
      <c r="M387" s="7">
        <f t="shared" si="82"/>
        <v>1.0196107500000001E-2</v>
      </c>
      <c r="N387" s="7">
        <f t="shared" si="83"/>
        <v>1.6136117185315019E-2</v>
      </c>
      <c r="O387" s="7">
        <f t="shared" si="74"/>
        <v>0.58257621208044519</v>
      </c>
      <c r="P387" s="6">
        <f t="shared" si="84"/>
        <v>8042140.3399999999</v>
      </c>
      <c r="Q387" s="6">
        <f t="shared" si="86"/>
        <v>147893711.33999997</v>
      </c>
      <c r="R387" s="4" t="str">
        <f t="shared" ca="1" si="85"/>
        <v>OK</v>
      </c>
      <c r="S387" s="6">
        <v>7953316.2699999996</v>
      </c>
      <c r="T387" s="5">
        <v>44834</v>
      </c>
      <c r="U387" s="30" t="str">
        <f t="shared" si="87"/>
        <v>PAGADO</v>
      </c>
    </row>
    <row r="388" spans="1:21" x14ac:dyDescent="0.25">
      <c r="A388" s="4" t="str">
        <f t="shared" si="88"/>
        <v>202210</v>
      </c>
      <c r="B388" s="4" t="s">
        <v>24</v>
      </c>
      <c r="C388" s="4" t="s">
        <v>21</v>
      </c>
      <c r="D388" s="29" t="s">
        <v>38</v>
      </c>
      <c r="E388" s="28">
        <v>44846</v>
      </c>
      <c r="F388" s="4">
        <v>12</v>
      </c>
      <c r="G388" s="4">
        <v>24</v>
      </c>
      <c r="H388" s="6">
        <v>4818313.18</v>
      </c>
      <c r="I388" s="6">
        <v>2482476.7599999998</v>
      </c>
      <c r="J388" s="6">
        <v>0</v>
      </c>
      <c r="K388" s="6">
        <v>641667</v>
      </c>
      <c r="L388" s="6">
        <f t="shared" si="76"/>
        <v>88824.070000000298</v>
      </c>
      <c r="M388" s="7">
        <f t="shared" si="82"/>
        <v>1.0196107500000001E-2</v>
      </c>
      <c r="N388" s="7">
        <f t="shared" si="83"/>
        <v>1.6785546440801085E-2</v>
      </c>
      <c r="O388" s="7">
        <f t="shared" si="74"/>
        <v>0.6462700536259629</v>
      </c>
      <c r="P388" s="6">
        <f t="shared" si="84"/>
        <v>8031281.0099999998</v>
      </c>
      <c r="Q388" s="6">
        <f t="shared" si="86"/>
        <v>143075398.15999997</v>
      </c>
      <c r="R388" s="4" t="str">
        <f t="shared" ca="1" si="85"/>
        <v>OK</v>
      </c>
      <c r="S388" s="6">
        <v>7979934.3600000003</v>
      </c>
      <c r="T388" s="5">
        <v>44855</v>
      </c>
      <c r="U388" s="30" t="str">
        <f t="shared" si="87"/>
        <v>PAGADO</v>
      </c>
    </row>
    <row r="389" spans="1:21" x14ac:dyDescent="0.25">
      <c r="A389" s="4" t="str">
        <f t="shared" si="88"/>
        <v>202211</v>
      </c>
      <c r="B389" s="4" t="s">
        <v>24</v>
      </c>
      <c r="C389" s="4" t="s">
        <v>21</v>
      </c>
      <c r="D389" s="29" t="s">
        <v>38</v>
      </c>
      <c r="E389" s="28">
        <v>44877</v>
      </c>
      <c r="F389" s="4">
        <v>13</v>
      </c>
      <c r="G389" s="4">
        <v>23</v>
      </c>
      <c r="H389" s="6">
        <v>4903188.67</v>
      </c>
      <c r="I389" s="6">
        <v>2391766.54</v>
      </c>
      <c r="J389" s="6">
        <v>0</v>
      </c>
      <c r="K389" s="6">
        <v>0</v>
      </c>
      <c r="L389" s="6">
        <f t="shared" si="76"/>
        <v>51346.649999999441</v>
      </c>
      <c r="M389" s="7">
        <f t="shared" si="82"/>
        <v>1.0196107500000001E-2</v>
      </c>
      <c r="N389" s="7">
        <f t="shared" si="83"/>
        <v>1.6716826028506371E-2</v>
      </c>
      <c r="O389" s="7">
        <f t="shared" si="74"/>
        <v>0.63953018625062263</v>
      </c>
      <c r="P389" s="6">
        <f t="shared" si="84"/>
        <v>7346301.8599999994</v>
      </c>
      <c r="Q389" s="6">
        <f t="shared" si="86"/>
        <v>138172209.48999998</v>
      </c>
      <c r="R389" s="4" t="str">
        <f t="shared" ca="1" si="85"/>
        <v>OK</v>
      </c>
      <c r="S389" s="6">
        <v>7397740.29</v>
      </c>
      <c r="T389" s="5">
        <v>44889</v>
      </c>
      <c r="U389" s="30" t="str">
        <f t="shared" si="87"/>
        <v>PAGADO</v>
      </c>
    </row>
    <row r="390" spans="1:21" x14ac:dyDescent="0.25">
      <c r="A390" s="4" t="str">
        <f t="shared" si="88"/>
        <v>202212</v>
      </c>
      <c r="B390" s="4" t="s">
        <v>24</v>
      </c>
      <c r="C390" s="4" t="s">
        <v>21</v>
      </c>
      <c r="D390" s="29" t="s">
        <v>38</v>
      </c>
      <c r="E390" s="28">
        <v>44907</v>
      </c>
      <c r="F390" s="4">
        <v>14</v>
      </c>
      <c r="G390" s="4">
        <v>22</v>
      </c>
      <c r="H390" s="6">
        <v>4950096.42</v>
      </c>
      <c r="I390" s="6">
        <v>2394233.66</v>
      </c>
      <c r="J390" s="6">
        <v>0</v>
      </c>
      <c r="K390" s="6">
        <v>0</v>
      </c>
      <c r="L390" s="6">
        <f t="shared" si="76"/>
        <v>0</v>
      </c>
      <c r="M390" s="7">
        <f t="shared" si="82"/>
        <v>1.0196107500000001E-2</v>
      </c>
      <c r="N390" s="7">
        <f t="shared" si="83"/>
        <v>1.7327895883240397E-2</v>
      </c>
      <c r="O390" s="7">
        <f t="shared" si="74"/>
        <v>0.69946186652508269</v>
      </c>
      <c r="P390" s="6">
        <f t="shared" si="84"/>
        <v>7344330.0800000001</v>
      </c>
      <c r="Q390" s="6">
        <f t="shared" si="86"/>
        <v>133222113.06999998</v>
      </c>
      <c r="R390" s="4" t="str">
        <f t="shared" ca="1" si="85"/>
        <v>OK</v>
      </c>
      <c r="S390" s="6">
        <v>7433461.4199999999</v>
      </c>
      <c r="T390" s="5">
        <v>44936</v>
      </c>
      <c r="U390" s="30" t="str">
        <f t="shared" si="87"/>
        <v>PAGADO</v>
      </c>
    </row>
    <row r="391" spans="1:21" x14ac:dyDescent="0.25">
      <c r="A391" s="4" t="str">
        <f t="shared" si="88"/>
        <v>20231</v>
      </c>
      <c r="B391" s="4" t="s">
        <v>24</v>
      </c>
      <c r="C391" s="4" t="s">
        <v>21</v>
      </c>
      <c r="D391" s="29" t="s">
        <v>38</v>
      </c>
      <c r="E391" s="28">
        <v>44938</v>
      </c>
      <c r="F391" s="4">
        <v>15</v>
      </c>
      <c r="G391" s="4">
        <v>21</v>
      </c>
      <c r="H391" s="6">
        <v>4991744.8600000003</v>
      </c>
      <c r="I391" s="6">
        <v>2414940.81</v>
      </c>
      <c r="J391" s="6">
        <v>0</v>
      </c>
      <c r="K391" s="6">
        <v>6564815</v>
      </c>
      <c r="L391" s="6">
        <f t="shared" si="76"/>
        <v>0</v>
      </c>
      <c r="M391" s="7">
        <f t="shared" si="82"/>
        <v>1.0196107500000001E-2</v>
      </c>
      <c r="N391" s="7">
        <f t="shared" si="83"/>
        <v>1.8127176895408482E-2</v>
      </c>
      <c r="O391" s="7">
        <f t="shared" si="74"/>
        <v>0.77785266538318476</v>
      </c>
      <c r="P391" s="6">
        <f t="shared" si="84"/>
        <v>13971500.67</v>
      </c>
      <c r="Q391" s="6">
        <f t="shared" si="86"/>
        <v>128230368.20999998</v>
      </c>
      <c r="R391" s="4" t="str">
        <f t="shared" ca="1" si="85"/>
        <v>OK</v>
      </c>
      <c r="S391" s="6">
        <v>14032848.710000001</v>
      </c>
      <c r="T391" s="5">
        <v>44951</v>
      </c>
      <c r="U391" s="30" t="str">
        <f t="shared" si="87"/>
        <v>PAGADO</v>
      </c>
    </row>
    <row r="392" spans="1:21" x14ac:dyDescent="0.25">
      <c r="A392" s="4" t="str">
        <f t="shared" si="88"/>
        <v>20232</v>
      </c>
      <c r="B392" s="4" t="s">
        <v>24</v>
      </c>
      <c r="C392" s="4" t="s">
        <v>21</v>
      </c>
      <c r="D392" s="29" t="s">
        <v>38</v>
      </c>
      <c r="E392" s="28">
        <v>44969</v>
      </c>
      <c r="F392" s="4">
        <v>16</v>
      </c>
      <c r="G392" s="4">
        <v>20</v>
      </c>
      <c r="H392" s="6">
        <v>5057448.82</v>
      </c>
      <c r="I392" s="6">
        <v>2384202.9700000002</v>
      </c>
      <c r="J392" s="6">
        <v>0</v>
      </c>
      <c r="K392" s="6">
        <v>0</v>
      </c>
      <c r="L392" s="6">
        <f t="shared" si="76"/>
        <v>0</v>
      </c>
      <c r="M392" s="7">
        <f t="shared" si="82"/>
        <v>1.0196107500000001E-2</v>
      </c>
      <c r="N392" s="7">
        <f t="shared" si="83"/>
        <v>1.8593122700041265E-2</v>
      </c>
      <c r="O392" s="7">
        <f t="shared" si="74"/>
        <v>0.82355106593778693</v>
      </c>
      <c r="P392" s="6">
        <f t="shared" si="84"/>
        <v>7441651.790000001</v>
      </c>
      <c r="Q392" s="6">
        <f t="shared" si="86"/>
        <v>123172919.38999999</v>
      </c>
      <c r="R392" s="4" t="str">
        <f t="shared" ca="1" si="85"/>
        <v>OK</v>
      </c>
      <c r="S392" s="6">
        <v>8000000</v>
      </c>
      <c r="T392" s="5">
        <v>44999</v>
      </c>
      <c r="U392" s="30" t="str">
        <f t="shared" si="87"/>
        <v>PAGADO</v>
      </c>
    </row>
    <row r="393" spans="1:21" x14ac:dyDescent="0.25">
      <c r="A393" s="4" t="str">
        <f t="shared" si="88"/>
        <v>20233</v>
      </c>
      <c r="B393" s="4" t="s">
        <v>24</v>
      </c>
      <c r="C393" s="4" t="s">
        <v>21</v>
      </c>
      <c r="D393" s="29" t="s">
        <v>38</v>
      </c>
      <c r="E393" s="28">
        <v>44997</v>
      </c>
      <c r="F393" s="4">
        <v>17</v>
      </c>
      <c r="G393" s="4">
        <v>19</v>
      </c>
      <c r="H393" s="6">
        <v>5147152.24</v>
      </c>
      <c r="I393" s="6">
        <v>2300400.4</v>
      </c>
      <c r="J393" s="6">
        <v>0</v>
      </c>
      <c r="K393" s="6">
        <v>0</v>
      </c>
      <c r="L393" s="6">
        <f t="shared" si="76"/>
        <v>0</v>
      </c>
      <c r="M393" s="7">
        <f t="shared" si="82"/>
        <v>1.0196107500000001E-2</v>
      </c>
      <c r="N393" s="7">
        <f t="shared" si="83"/>
        <v>1.8676186384088921E-2</v>
      </c>
      <c r="O393" s="7">
        <f t="shared" si="74"/>
        <v>0.83169767326295063</v>
      </c>
      <c r="P393" s="6">
        <f t="shared" si="84"/>
        <v>7447552.6400000006</v>
      </c>
      <c r="Q393" s="6">
        <f t="shared" si="86"/>
        <v>118025767.14999999</v>
      </c>
      <c r="R393" s="4" t="str">
        <f t="shared" ca="1" si="85"/>
        <v>OK</v>
      </c>
      <c r="S393" s="6">
        <v>7111632.6100000003</v>
      </c>
      <c r="T393" s="5">
        <v>45009</v>
      </c>
      <c r="U393" s="30" t="str">
        <f t="shared" si="87"/>
        <v>PAGADO</v>
      </c>
    </row>
    <row r="394" spans="1:21" x14ac:dyDescent="0.25">
      <c r="A394" s="4" t="str">
        <f t="shared" si="88"/>
        <v>20234</v>
      </c>
      <c r="B394" s="4" t="s">
        <v>24</v>
      </c>
      <c r="C394" s="4" t="s">
        <v>21</v>
      </c>
      <c r="D394" s="29" t="s">
        <v>38</v>
      </c>
      <c r="E394" s="28">
        <v>45028</v>
      </c>
      <c r="F394" s="4">
        <v>18</v>
      </c>
      <c r="G394" s="4">
        <v>18</v>
      </c>
      <c r="H394" s="6">
        <v>5224783.93</v>
      </c>
      <c r="I394" s="6">
        <v>2248577.33</v>
      </c>
      <c r="J394" s="6">
        <v>0</v>
      </c>
      <c r="K394" s="6">
        <v>0</v>
      </c>
      <c r="L394" s="6">
        <f t="shared" si="76"/>
        <v>335920.03000000026</v>
      </c>
      <c r="M394" s="7">
        <f t="shared" si="82"/>
        <v>1.0196107500000001E-2</v>
      </c>
      <c r="N394" s="7">
        <f t="shared" si="83"/>
        <v>1.9051579873590341E-2</v>
      </c>
      <c r="O394" s="7">
        <f t="shared" si="74"/>
        <v>0.86851500669155746</v>
      </c>
      <c r="P394" s="6">
        <f t="shared" si="84"/>
        <v>7809281.29</v>
      </c>
      <c r="Q394" s="6">
        <f t="shared" si="86"/>
        <v>112800983.22</v>
      </c>
      <c r="R394" s="4" t="str">
        <f t="shared" ca="1" si="85"/>
        <v>OK</v>
      </c>
      <c r="S394" s="6">
        <v>7501052.3399999999</v>
      </c>
      <c r="T394" s="5">
        <v>45033</v>
      </c>
      <c r="U394" s="30" t="str">
        <f t="shared" si="87"/>
        <v>PAGADO</v>
      </c>
    </row>
    <row r="395" spans="1:21" x14ac:dyDescent="0.25">
      <c r="A395" s="4" t="str">
        <f t="shared" si="88"/>
        <v>20235</v>
      </c>
      <c r="B395" s="4" t="s">
        <v>24</v>
      </c>
      <c r="C395" s="4" t="s">
        <v>21</v>
      </c>
      <c r="D395" s="29" t="s">
        <v>38</v>
      </c>
      <c r="E395" s="28">
        <v>45058</v>
      </c>
      <c r="F395" s="4">
        <v>19</v>
      </c>
      <c r="G395" s="4">
        <v>17</v>
      </c>
      <c r="H395" s="6">
        <v>5393566.6799999997</v>
      </c>
      <c r="I395" s="6">
        <v>1983321.2200000007</v>
      </c>
      <c r="J395" s="6">
        <v>0</v>
      </c>
      <c r="K395" s="6">
        <v>0</v>
      </c>
      <c r="L395" s="6">
        <f t="shared" si="76"/>
        <v>308228.95000000019</v>
      </c>
      <c r="M395" s="7">
        <f t="shared" si="82"/>
        <v>1.0196107500000001E-2</v>
      </c>
      <c r="N395" s="7">
        <f t="shared" si="83"/>
        <v>1.7582481671563576E-2</v>
      </c>
      <c r="O395" s="7">
        <f t="shared" si="74"/>
        <v>0.72443078611750367</v>
      </c>
      <c r="P395" s="6">
        <f t="shared" si="84"/>
        <v>7685116.8500000006</v>
      </c>
      <c r="Q395" s="6">
        <f t="shared" si="86"/>
        <v>107407416.53999999</v>
      </c>
      <c r="R395" s="4" t="str">
        <f t="shared" ca="1" si="85"/>
        <v>OK</v>
      </c>
      <c r="S395" s="6">
        <v>7454898.5899999999</v>
      </c>
      <c r="T395" s="5">
        <v>45072</v>
      </c>
      <c r="U395" s="30" t="str">
        <f t="shared" si="87"/>
        <v>PAGADO</v>
      </c>
    </row>
    <row r="396" spans="1:21" x14ac:dyDescent="0.25">
      <c r="A396" s="4" t="str">
        <f t="shared" si="88"/>
        <v>20236</v>
      </c>
      <c r="B396" s="4" t="s">
        <v>24</v>
      </c>
      <c r="C396" s="4" t="s">
        <v>21</v>
      </c>
      <c r="D396" s="29" t="s">
        <v>38</v>
      </c>
      <c r="E396" s="28">
        <v>45089</v>
      </c>
      <c r="F396" s="4">
        <v>20</v>
      </c>
      <c r="G396" s="4">
        <v>16</v>
      </c>
      <c r="H396" s="6">
        <v>5570214.8300000001</v>
      </c>
      <c r="I396" s="6">
        <v>1826800.32</v>
      </c>
      <c r="J396" s="6">
        <v>0</v>
      </c>
      <c r="K396" s="6">
        <v>0</v>
      </c>
      <c r="L396" s="6">
        <f t="shared" si="76"/>
        <v>230218.26000000071</v>
      </c>
      <c r="M396" s="7">
        <f t="shared" si="82"/>
        <v>1.0196107500000001E-2</v>
      </c>
      <c r="N396" s="7">
        <f t="shared" si="83"/>
        <v>1.7008139464183784E-2</v>
      </c>
      <c r="O396" s="7">
        <f t="shared" si="74"/>
        <v>0.66810123021788281</v>
      </c>
      <c r="P396" s="6">
        <f t="shared" si="84"/>
        <v>7627233.4100000011</v>
      </c>
      <c r="Q396" s="6">
        <f t="shared" si="86"/>
        <v>101837201.70999999</v>
      </c>
      <c r="R396" s="4" t="str">
        <f t="shared" ca="1" si="85"/>
        <v>OK</v>
      </c>
      <c r="S396" s="6">
        <v>7521873.4199999999</v>
      </c>
      <c r="T396" s="5">
        <v>45114</v>
      </c>
      <c r="U396" s="30" t="str">
        <f t="shared" si="87"/>
        <v>PAGADO</v>
      </c>
    </row>
    <row r="397" spans="1:21" x14ac:dyDescent="0.25">
      <c r="A397" s="4" t="str">
        <f t="shared" si="88"/>
        <v>20237</v>
      </c>
      <c r="B397" s="4" t="s">
        <v>24</v>
      </c>
      <c r="C397" s="4" t="s">
        <v>21</v>
      </c>
      <c r="D397" s="29" t="s">
        <v>38</v>
      </c>
      <c r="E397" s="28">
        <v>45119</v>
      </c>
      <c r="F397" s="4">
        <v>21</v>
      </c>
      <c r="G397" s="4">
        <v>15</v>
      </c>
      <c r="H397" s="6">
        <v>5654769.1500000004</v>
      </c>
      <c r="I397" s="6">
        <v>1762857.72</v>
      </c>
      <c r="J397" s="6">
        <v>0</v>
      </c>
      <c r="K397" s="6">
        <v>0</v>
      </c>
      <c r="L397" s="6">
        <f t="shared" si="76"/>
        <v>105359.99000000115</v>
      </c>
      <c r="M397" s="7">
        <f t="shared" si="82"/>
        <v>1.0196107500000001E-2</v>
      </c>
      <c r="N397" s="7">
        <f t="shared" si="83"/>
        <v>1.7310547524862857E-2</v>
      </c>
      <c r="O397" s="7">
        <f t="shared" si="74"/>
        <v>0.69776039776580001</v>
      </c>
      <c r="P397" s="6">
        <f t="shared" si="84"/>
        <v>7522986.8600000013</v>
      </c>
      <c r="Q397" s="6">
        <f t="shared" si="86"/>
        <v>96182432.559999987</v>
      </c>
      <c r="R397" s="4" t="str">
        <f t="shared" ca="1" si="85"/>
        <v>OK</v>
      </c>
      <c r="S397" s="6">
        <v>8500000</v>
      </c>
      <c r="T397" s="5">
        <v>45163</v>
      </c>
      <c r="U397" s="30" t="str">
        <f t="shared" si="87"/>
        <v>PAGADO</v>
      </c>
    </row>
    <row r="398" spans="1:21" x14ac:dyDescent="0.25">
      <c r="A398" s="4" t="str">
        <f t="shared" si="88"/>
        <v>20238</v>
      </c>
      <c r="B398" s="4" t="s">
        <v>24</v>
      </c>
      <c r="C398" s="4" t="s">
        <v>21</v>
      </c>
      <c r="D398" s="29" t="s">
        <v>38</v>
      </c>
      <c r="E398" s="28">
        <v>45150</v>
      </c>
      <c r="F398" s="4">
        <v>22</v>
      </c>
      <c r="G398" s="4">
        <v>14</v>
      </c>
      <c r="H398" s="6">
        <v>4950096.42</v>
      </c>
      <c r="I398" s="6">
        <v>1160142.157699116</v>
      </c>
      <c r="J398" s="6">
        <v>0</v>
      </c>
      <c r="K398" s="6">
        <v>0</v>
      </c>
      <c r="L398" s="6">
        <f t="shared" si="76"/>
        <v>0</v>
      </c>
      <c r="M398" s="7">
        <f t="shared" si="82"/>
        <v>1.0196107500000001E-2</v>
      </c>
      <c r="N398" s="7">
        <f t="shared" si="83"/>
        <v>1.2061892456040791E-2</v>
      </c>
      <c r="O398" s="7">
        <f t="shared" si="74"/>
        <v>0.18298992591445229</v>
      </c>
      <c r="P398" s="6">
        <f t="shared" si="84"/>
        <v>6110238.5776991155</v>
      </c>
      <c r="Q398" s="6">
        <f t="shared" si="86"/>
        <v>91232336.139999986</v>
      </c>
      <c r="R398" s="4" t="str">
        <f t="shared" ca="1" si="85"/>
        <v>OK</v>
      </c>
      <c r="S398" s="6">
        <v>6699500.3899999997</v>
      </c>
      <c r="T398" s="5">
        <v>45175</v>
      </c>
      <c r="U398" s="30" t="str">
        <f t="shared" si="87"/>
        <v>PAGADO</v>
      </c>
    </row>
    <row r="399" spans="1:21" x14ac:dyDescent="0.25">
      <c r="A399" s="4" t="str">
        <f t="shared" si="88"/>
        <v>20239</v>
      </c>
      <c r="B399" s="4" t="s">
        <v>24</v>
      </c>
      <c r="C399" s="4" t="s">
        <v>21</v>
      </c>
      <c r="D399" s="29" t="s">
        <v>38</v>
      </c>
      <c r="E399" s="28">
        <v>45181</v>
      </c>
      <c r="F399" s="4">
        <v>23</v>
      </c>
      <c r="G399" s="4">
        <v>13</v>
      </c>
      <c r="H399" s="6">
        <v>4950096.42</v>
      </c>
      <c r="I399" s="6">
        <v>1082184.30913322</v>
      </c>
      <c r="J399" s="6">
        <v>0</v>
      </c>
      <c r="K399" s="6">
        <v>0</v>
      </c>
      <c r="L399" s="6">
        <f t="shared" si="76"/>
        <v>0</v>
      </c>
      <c r="M399" s="7">
        <f t="shared" si="82"/>
        <v>1.0196107500000001E-2</v>
      </c>
      <c r="N399" s="7">
        <f t="shared" si="83"/>
        <v>1.1861850248716213E-2</v>
      </c>
      <c r="O399" s="7">
        <f t="shared" si="74"/>
        <v>0.16337045766889102</v>
      </c>
      <c r="P399" s="6">
        <f t="shared" si="84"/>
        <v>6032280.7291332204</v>
      </c>
      <c r="Q399" s="6">
        <f t="shared" si="86"/>
        <v>86282239.719999984</v>
      </c>
      <c r="R399" s="4" t="str">
        <f t="shared" ca="1" si="85"/>
        <v>OK</v>
      </c>
      <c r="S399" s="6">
        <v>7585349.3899999997</v>
      </c>
      <c r="T399" s="5">
        <v>45212</v>
      </c>
      <c r="U399" s="30" t="str">
        <f t="shared" si="87"/>
        <v>PAGADO</v>
      </c>
    </row>
    <row r="400" spans="1:21" x14ac:dyDescent="0.25">
      <c r="A400" s="4" t="str">
        <f t="shared" si="88"/>
        <v>202310</v>
      </c>
      <c r="B400" s="4" t="s">
        <v>24</v>
      </c>
      <c r="C400" s="4" t="s">
        <v>21</v>
      </c>
      <c r="D400" s="29" t="s">
        <v>38</v>
      </c>
      <c r="E400" s="28">
        <v>45211</v>
      </c>
      <c r="F400" s="4">
        <v>24</v>
      </c>
      <c r="G400" s="4">
        <v>12</v>
      </c>
      <c r="H400" s="6">
        <v>4950096.42</v>
      </c>
      <c r="I400" s="6">
        <v>1004269.6944203413</v>
      </c>
      <c r="J400" s="6">
        <v>0</v>
      </c>
      <c r="K400" s="6">
        <v>0</v>
      </c>
      <c r="L400" s="6">
        <f t="shared" si="76"/>
        <v>0</v>
      </c>
      <c r="M400" s="7">
        <f t="shared" si="82"/>
        <v>1.0196107500000001E-2</v>
      </c>
      <c r="N400" s="7">
        <f t="shared" si="83"/>
        <v>1.163935588226918E-2</v>
      </c>
      <c r="O400" s="7">
        <f t="shared" si="74"/>
        <v>0.14154895701807568</v>
      </c>
      <c r="P400" s="6">
        <f t="shared" si="84"/>
        <v>5954366.1144203413</v>
      </c>
      <c r="Q400" s="6">
        <f t="shared" si="86"/>
        <v>81332143.299999982</v>
      </c>
      <c r="R400" s="4" t="str">
        <f t="shared" ca="1" si="85"/>
        <v>OK</v>
      </c>
      <c r="S400" s="6">
        <f>7200000+400000</f>
        <v>7600000</v>
      </c>
      <c r="T400" s="5">
        <v>45244</v>
      </c>
      <c r="U400" s="30" t="str">
        <f t="shared" si="87"/>
        <v>PAGADO</v>
      </c>
    </row>
    <row r="401" spans="1:21" x14ac:dyDescent="0.25">
      <c r="A401" s="4" t="str">
        <f t="shared" si="88"/>
        <v>202311</v>
      </c>
      <c r="B401" s="4" t="s">
        <v>24</v>
      </c>
      <c r="C401" s="4" t="s">
        <v>21</v>
      </c>
      <c r="D401" s="29" t="s">
        <v>38</v>
      </c>
      <c r="E401" s="28">
        <v>45242</v>
      </c>
      <c r="F401" s="4">
        <v>25</v>
      </c>
      <c r="G401" s="4">
        <v>11</v>
      </c>
      <c r="H401" s="6">
        <v>4950096.42</v>
      </c>
      <c r="I401" s="6">
        <v>926296.11245226592</v>
      </c>
      <c r="J401" s="6">
        <v>0</v>
      </c>
      <c r="K401" s="6">
        <v>0</v>
      </c>
      <c r="L401" s="6">
        <f t="shared" si="76"/>
        <v>0</v>
      </c>
      <c r="M401" s="7">
        <f t="shared" si="82"/>
        <v>1.0196107500000001E-2</v>
      </c>
      <c r="N401" s="7">
        <f t="shared" si="83"/>
        <v>1.1389053268097832E-2</v>
      </c>
      <c r="O401" s="7">
        <f t="shared" si="74"/>
        <v>0.1170001167698389</v>
      </c>
      <c r="P401" s="6">
        <f t="shared" si="84"/>
        <v>5876392.5324522657</v>
      </c>
      <c r="Q401" s="6">
        <f t="shared" si="86"/>
        <v>76382046.87999998</v>
      </c>
      <c r="R401" s="4" t="str">
        <f t="shared" ca="1" si="85"/>
        <v>OK</v>
      </c>
      <c r="S401" s="6">
        <v>7560971.0199999996</v>
      </c>
      <c r="T401" s="5">
        <v>45272</v>
      </c>
      <c r="U401" s="30" t="str">
        <f t="shared" si="87"/>
        <v>PAGADO</v>
      </c>
    </row>
    <row r="402" spans="1:21" x14ac:dyDescent="0.25">
      <c r="A402" s="4" t="str">
        <f t="shared" si="88"/>
        <v>202312</v>
      </c>
      <c r="B402" s="4" t="s">
        <v>24</v>
      </c>
      <c r="C402" s="4" t="s">
        <v>21</v>
      </c>
      <c r="D402" s="29" t="s">
        <v>38</v>
      </c>
      <c r="E402" s="28">
        <v>45272</v>
      </c>
      <c r="F402" s="4">
        <v>26</v>
      </c>
      <c r="G402" s="4">
        <v>10</v>
      </c>
      <c r="H402" s="6">
        <v>6084728.21</v>
      </c>
      <c r="I402" s="6">
        <v>1323840.23</v>
      </c>
      <c r="J402" s="6">
        <v>0</v>
      </c>
      <c r="K402" s="6">
        <v>0</v>
      </c>
      <c r="L402" s="6">
        <f t="shared" si="76"/>
        <v>0</v>
      </c>
      <c r="M402" s="7">
        <f t="shared" si="82"/>
        <v>1.0196107500000001E-2</v>
      </c>
      <c r="N402" s="7">
        <f t="shared" si="83"/>
        <v>1.7331824480690067E-2</v>
      </c>
      <c r="O402" s="7">
        <f t="shared" si="74"/>
        <v>0.69984717017646836</v>
      </c>
      <c r="P402" s="6">
        <f>H402+I402+J402+K402+L402</f>
        <v>7408568.4399999995</v>
      </c>
      <c r="Q402" s="6">
        <f t="shared" si="86"/>
        <v>70297318.669999987</v>
      </c>
      <c r="R402" s="4" t="str">
        <f t="shared" ca="1" si="85"/>
        <v>OK</v>
      </c>
      <c r="S402" s="6">
        <v>7566406.5999999996</v>
      </c>
      <c r="T402" s="5">
        <v>45302</v>
      </c>
      <c r="U402" s="30" t="str">
        <f t="shared" si="87"/>
        <v>PAGADO</v>
      </c>
    </row>
    <row r="403" spans="1:21" x14ac:dyDescent="0.25">
      <c r="A403" s="4" t="str">
        <f t="shared" si="88"/>
        <v>20241</v>
      </c>
      <c r="B403" s="4" t="s">
        <v>24</v>
      </c>
      <c r="C403" s="4" t="s">
        <v>21</v>
      </c>
      <c r="D403" s="29" t="s">
        <v>38</v>
      </c>
      <c r="E403" s="28">
        <v>45303</v>
      </c>
      <c r="F403" s="4">
        <v>27</v>
      </c>
      <c r="G403" s="4">
        <v>9</v>
      </c>
      <c r="H403" s="6">
        <v>6323977.7800000003</v>
      </c>
      <c r="I403" s="6">
        <v>1205219.47</v>
      </c>
      <c r="J403" s="6">
        <v>0</v>
      </c>
      <c r="K403" s="6">
        <v>3901436</v>
      </c>
      <c r="L403" s="6">
        <f t="shared" si="76"/>
        <v>0</v>
      </c>
      <c r="M403" s="7">
        <f t="shared" si="82"/>
        <v>1.0196107500000001E-2</v>
      </c>
      <c r="N403" s="7">
        <f t="shared" si="83"/>
        <v>1.714460085821649E-2</v>
      </c>
      <c r="O403" s="7">
        <f t="shared" si="74"/>
        <v>0.68148490570705422</v>
      </c>
      <c r="P403" s="6">
        <f t="shared" si="84"/>
        <v>11430633.25</v>
      </c>
      <c r="Q403" s="6">
        <f t="shared" si="86"/>
        <v>63973340.889999986</v>
      </c>
      <c r="R403" s="4" t="str">
        <f t="shared" ca="1" si="85"/>
        <v>OK</v>
      </c>
      <c r="S403" s="6">
        <f>5850000+5701545</f>
        <v>11551545</v>
      </c>
      <c r="T403" s="5">
        <v>45336</v>
      </c>
      <c r="U403" s="30" t="str">
        <f t="shared" si="87"/>
        <v>PAGADO</v>
      </c>
    </row>
    <row r="404" spans="1:21" x14ac:dyDescent="0.25">
      <c r="A404" s="4" t="str">
        <f t="shared" si="88"/>
        <v>20242</v>
      </c>
      <c r="B404" s="4" t="s">
        <v>24</v>
      </c>
      <c r="C404" s="4" t="s">
        <v>21</v>
      </c>
      <c r="D404" s="29" t="s">
        <v>38</v>
      </c>
      <c r="E404" s="28">
        <v>45334</v>
      </c>
      <c r="F404" s="4">
        <v>28</v>
      </c>
      <c r="G404" s="4">
        <v>8</v>
      </c>
      <c r="H404" s="6">
        <v>6323977.7800000003</v>
      </c>
      <c r="I404" s="6">
        <v>1059277.3799999999</v>
      </c>
      <c r="J404" s="6">
        <v>0</v>
      </c>
      <c r="K404" s="6">
        <v>0</v>
      </c>
      <c r="L404" s="6">
        <f t="shared" si="76"/>
        <v>0</v>
      </c>
      <c r="M404" s="7">
        <f t="shared" si="82"/>
        <v>1.0196107500000001E-2</v>
      </c>
      <c r="N404" s="7">
        <f t="shared" si="83"/>
        <v>1.6558106318402096E-2</v>
      </c>
      <c r="O404" s="7">
        <f t="shared" ref="O404:O467" si="89">(N404/M404)-1</f>
        <v>0.6239634898319868</v>
      </c>
      <c r="P404" s="6">
        <f t="shared" si="84"/>
        <v>7383255.1600000001</v>
      </c>
      <c r="Q404" s="6">
        <f t="shared" si="86"/>
        <v>57649363.109999985</v>
      </c>
      <c r="R404" s="4" t="str">
        <f t="shared" ca="1" si="85"/>
        <v>OK</v>
      </c>
      <c r="S404" s="6">
        <v>7500000</v>
      </c>
      <c r="T404" s="5">
        <v>45364</v>
      </c>
      <c r="U404" s="30" t="str">
        <f t="shared" si="87"/>
        <v>PAGADO</v>
      </c>
    </row>
    <row r="405" spans="1:21" x14ac:dyDescent="0.25">
      <c r="A405" s="4" t="str">
        <f t="shared" si="88"/>
        <v>20243</v>
      </c>
      <c r="B405" s="4" t="s">
        <v>24</v>
      </c>
      <c r="C405" s="4" t="s">
        <v>21</v>
      </c>
      <c r="D405" s="29" t="s">
        <v>38</v>
      </c>
      <c r="E405" s="28">
        <v>45363</v>
      </c>
      <c r="F405" s="4">
        <v>29</v>
      </c>
      <c r="G405" s="4">
        <v>7</v>
      </c>
      <c r="H405" s="6">
        <v>4950096.42</v>
      </c>
      <c r="I405" s="6">
        <v>614452.06826537871</v>
      </c>
      <c r="J405" s="6">
        <v>0</v>
      </c>
      <c r="K405" s="6">
        <v>0</v>
      </c>
      <c r="L405" s="6">
        <f t="shared" ref="L405:L468" si="90">IF(S404="",0,IF(S404&lt;=P404,P404-S404,0))</f>
        <v>0</v>
      </c>
      <c r="M405" s="7">
        <f t="shared" si="82"/>
        <v>1.0196107500000001E-2</v>
      </c>
      <c r="N405" s="7">
        <f t="shared" si="83"/>
        <v>1.0658436366295165E-2</v>
      </c>
      <c r="O405" s="7">
        <f t="shared" si="89"/>
        <v>4.5343663382831467E-2</v>
      </c>
      <c r="P405" s="6">
        <f t="shared" si="84"/>
        <v>5564548.4882653784</v>
      </c>
      <c r="Q405" s="6">
        <f t="shared" si="86"/>
        <v>52699266.689999983</v>
      </c>
      <c r="R405" s="4" t="str">
        <f t="shared" ca="1" si="85"/>
        <v>OK</v>
      </c>
      <c r="S405" s="6">
        <v>7475083.8499999996</v>
      </c>
      <c r="T405" s="5">
        <v>45393</v>
      </c>
      <c r="U405" s="30" t="str">
        <f t="shared" si="87"/>
        <v>PAGADO</v>
      </c>
    </row>
    <row r="406" spans="1:21" x14ac:dyDescent="0.25">
      <c r="A406" s="4" t="str">
        <f t="shared" si="88"/>
        <v>20244</v>
      </c>
      <c r="B406" s="4" t="s">
        <v>24</v>
      </c>
      <c r="C406" s="4" t="s">
        <v>21</v>
      </c>
      <c r="D406" s="29" t="s">
        <v>38</v>
      </c>
      <c r="E406" s="28">
        <v>45394</v>
      </c>
      <c r="F406" s="4">
        <v>30</v>
      </c>
      <c r="G406" s="4">
        <v>6</v>
      </c>
      <c r="H406" s="6">
        <v>4950096.42</v>
      </c>
      <c r="I406" s="6">
        <v>536491.5443958611</v>
      </c>
      <c r="J406" s="6">
        <v>0</v>
      </c>
      <c r="K406" s="6">
        <v>0</v>
      </c>
      <c r="L406" s="6">
        <f t="shared" si="90"/>
        <v>0</v>
      </c>
      <c r="M406" s="7">
        <f t="shared" si="82"/>
        <v>1.0196107500000001E-2</v>
      </c>
      <c r="N406" s="7">
        <f t="shared" si="83"/>
        <v>1.0180246862859361E-2</v>
      </c>
      <c r="O406" s="7">
        <f t="shared" si="89"/>
        <v>-1.555558053957351E-3</v>
      </c>
      <c r="P406" s="6">
        <f t="shared" si="84"/>
        <v>5486587.9643958611</v>
      </c>
      <c r="Q406" s="6">
        <f t="shared" si="86"/>
        <v>47749170.269999981</v>
      </c>
      <c r="R406" s="4" t="str">
        <f t="shared" ca="1" si="85"/>
        <v>OK</v>
      </c>
      <c r="S406" s="6">
        <v>7501798.5599999996</v>
      </c>
      <c r="T406" s="5">
        <v>45422</v>
      </c>
      <c r="U406" s="30" t="str">
        <f t="shared" si="87"/>
        <v>PAGADO</v>
      </c>
    </row>
    <row r="407" spans="1:21" x14ac:dyDescent="0.25">
      <c r="A407" s="4" t="str">
        <f t="shared" si="88"/>
        <v>20245</v>
      </c>
      <c r="B407" s="4" t="s">
        <v>24</v>
      </c>
      <c r="C407" s="4" t="s">
        <v>21</v>
      </c>
      <c r="D407" s="29" t="s">
        <v>38</v>
      </c>
      <c r="E407" s="28">
        <v>45424</v>
      </c>
      <c r="F407" s="4">
        <v>31</v>
      </c>
      <c r="G407" s="4">
        <v>5</v>
      </c>
      <c r="H407" s="6">
        <v>4950096.42</v>
      </c>
      <c r="I407" s="6">
        <v>458532.40329876303</v>
      </c>
      <c r="J407" s="6">
        <v>0</v>
      </c>
      <c r="K407" s="6">
        <v>0</v>
      </c>
      <c r="L407" s="6">
        <f t="shared" si="90"/>
        <v>0</v>
      </c>
      <c r="M407" s="7">
        <f t="shared" si="82"/>
        <v>1.0196107500000001E-2</v>
      </c>
      <c r="N407" s="7">
        <f t="shared" si="83"/>
        <v>9.6029397098623803E-3</v>
      </c>
      <c r="O407" s="7">
        <f t="shared" si="89"/>
        <v>-5.8175905867765776E-2</v>
      </c>
      <c r="P407" s="6">
        <f t="shared" si="84"/>
        <v>5408628.8232987626</v>
      </c>
      <c r="Q407" s="6">
        <f t="shared" si="86"/>
        <v>42799073.849999979</v>
      </c>
      <c r="R407" s="4" t="str">
        <f t="shared" ca="1" si="85"/>
        <v>OK</v>
      </c>
      <c r="S407" s="6">
        <v>7501798.5599999996</v>
      </c>
      <c r="T407" s="5">
        <v>45454</v>
      </c>
      <c r="U407" s="30" t="str">
        <f t="shared" si="87"/>
        <v>PAGADO</v>
      </c>
    </row>
    <row r="408" spans="1:21" x14ac:dyDescent="0.25">
      <c r="A408" s="4" t="str">
        <f t="shared" si="88"/>
        <v>20246</v>
      </c>
      <c r="B408" s="4" t="s">
        <v>24</v>
      </c>
      <c r="C408" s="4" t="s">
        <v>21</v>
      </c>
      <c r="D408" s="29" t="s">
        <v>38</v>
      </c>
      <c r="E408" s="28">
        <v>45455</v>
      </c>
      <c r="F408" s="4">
        <v>32</v>
      </c>
      <c r="G408" s="4">
        <v>4</v>
      </c>
      <c r="H408" s="6">
        <v>4950096.42</v>
      </c>
      <c r="I408" s="6">
        <v>380572.74583026674</v>
      </c>
      <c r="J408" s="6">
        <v>0</v>
      </c>
      <c r="K408" s="6">
        <v>0</v>
      </c>
      <c r="L408" s="6">
        <f t="shared" si="90"/>
        <v>0</v>
      </c>
      <c r="M408" s="7">
        <f t="shared" si="82"/>
        <v>1.0196107500000001E-2</v>
      </c>
      <c r="N408" s="7">
        <f t="shared" si="83"/>
        <v>8.8920790006830237E-3</v>
      </c>
      <c r="O408" s="7">
        <f t="shared" si="89"/>
        <v>-0.12789473819464703</v>
      </c>
      <c r="P408" s="6">
        <f t="shared" si="84"/>
        <v>5330669.1658302667</v>
      </c>
      <c r="Q408" s="6">
        <f t="shared" si="86"/>
        <v>37848977.429999977</v>
      </c>
      <c r="R408" s="4" t="str">
        <f t="shared" ca="1" si="85"/>
        <v>OK</v>
      </c>
      <c r="S408" s="6">
        <v>7376338.2000000002</v>
      </c>
      <c r="T408" s="5">
        <v>45460</v>
      </c>
      <c r="U408" s="30" t="str">
        <f t="shared" si="87"/>
        <v>PAGADO</v>
      </c>
    </row>
    <row r="409" spans="1:21" x14ac:dyDescent="0.25">
      <c r="A409" s="4" t="str">
        <f t="shared" si="88"/>
        <v>20247</v>
      </c>
      <c r="B409" s="4" t="s">
        <v>24</v>
      </c>
      <c r="C409" s="4" t="s">
        <v>21</v>
      </c>
      <c r="D409" s="29" t="s">
        <v>38</v>
      </c>
      <c r="E409" s="28">
        <v>45485</v>
      </c>
      <c r="F409" s="4">
        <v>33</v>
      </c>
      <c r="G409" s="4">
        <v>3</v>
      </c>
      <c r="H409" s="6">
        <v>4950096.42</v>
      </c>
      <c r="I409" s="6">
        <v>302612.61442362389</v>
      </c>
      <c r="J409" s="6">
        <v>0</v>
      </c>
      <c r="K409" s="6">
        <v>0</v>
      </c>
      <c r="L409" s="6">
        <f t="shared" si="90"/>
        <v>0</v>
      </c>
      <c r="M409" s="7">
        <f t="shared" si="82"/>
        <v>1.0196107500000001E-2</v>
      </c>
      <c r="N409" s="7">
        <f t="shared" si="83"/>
        <v>7.9952652613480158E-3</v>
      </c>
      <c r="O409" s="7">
        <f t="shared" si="89"/>
        <v>-0.21585121956118891</v>
      </c>
      <c r="P409" s="6">
        <f t="shared" si="84"/>
        <v>5252709.0344236242</v>
      </c>
      <c r="Q409" s="6">
        <f t="shared" si="86"/>
        <v>32898881.009999976</v>
      </c>
      <c r="R409" s="4" t="str">
        <f t="shared" ca="1" si="85"/>
        <v>OK</v>
      </c>
      <c r="S409" s="6">
        <v>7430183</v>
      </c>
      <c r="T409" s="5">
        <v>45502</v>
      </c>
      <c r="U409" s="30" t="str">
        <f t="shared" si="87"/>
        <v>PAGADO</v>
      </c>
    </row>
    <row r="410" spans="1:21" x14ac:dyDescent="0.25">
      <c r="A410" s="4" t="str">
        <f t="shared" si="88"/>
        <v>20248</v>
      </c>
      <c r="B410" s="4" t="s">
        <v>24</v>
      </c>
      <c r="C410" s="4" t="s">
        <v>21</v>
      </c>
      <c r="D410" s="29" t="s">
        <v>38</v>
      </c>
      <c r="E410" s="28">
        <v>45516</v>
      </c>
      <c r="F410" s="4">
        <v>34</v>
      </c>
      <c r="G410" s="4">
        <v>2</v>
      </c>
      <c r="H410" s="6">
        <v>4950096.42</v>
      </c>
      <c r="I410" s="6">
        <v>224652.76398247769</v>
      </c>
      <c r="J410" s="6">
        <v>0</v>
      </c>
      <c r="K410" s="6">
        <v>0</v>
      </c>
      <c r="L410" s="6">
        <f t="shared" si="90"/>
        <v>0</v>
      </c>
      <c r="M410" s="7">
        <f t="shared" si="82"/>
        <v>1.0196107500000001E-2</v>
      </c>
      <c r="N410" s="7">
        <f t="shared" si="83"/>
        <v>6.8285837416230668E-3</v>
      </c>
      <c r="O410" s="7">
        <f t="shared" si="89"/>
        <v>-0.3302754270075059</v>
      </c>
      <c r="P410" s="6">
        <f t="shared" si="84"/>
        <v>5174749.1839824775</v>
      </c>
      <c r="Q410" s="6">
        <f t="shared" si="86"/>
        <v>27948784.589999974</v>
      </c>
      <c r="R410" s="4">
        <f t="shared" ca="1" si="85"/>
        <v>22</v>
      </c>
      <c r="S410" s="6"/>
      <c r="T410" s="5"/>
      <c r="U410" s="30" t="str">
        <f t="shared" si="87"/>
        <v>PENDIENTE</v>
      </c>
    </row>
    <row r="411" spans="1:21" x14ac:dyDescent="0.25">
      <c r="A411" s="4" t="str">
        <f t="shared" si="88"/>
        <v>20249</v>
      </c>
      <c r="B411" s="4" t="s">
        <v>24</v>
      </c>
      <c r="C411" s="4" t="s">
        <v>21</v>
      </c>
      <c r="D411" s="29" t="s">
        <v>38</v>
      </c>
      <c r="E411" s="28">
        <v>45547</v>
      </c>
      <c r="F411" s="4">
        <v>35</v>
      </c>
      <c r="G411" s="4">
        <v>1</v>
      </c>
      <c r="H411" s="6">
        <v>4950096.42</v>
      </c>
      <c r="I411" s="6">
        <v>146692.96335894632</v>
      </c>
      <c r="J411" s="6">
        <v>0</v>
      </c>
      <c r="K411" s="6">
        <v>0</v>
      </c>
      <c r="L411" s="6">
        <f t="shared" si="90"/>
        <v>0</v>
      </c>
      <c r="M411" s="7">
        <f t="shared" si="82"/>
        <v>1.0196107500000001E-2</v>
      </c>
      <c r="N411" s="7">
        <f t="shared" si="83"/>
        <v>5.2486347979308129E-3</v>
      </c>
      <c r="O411" s="7">
        <f t="shared" si="89"/>
        <v>-0.48523151624962635</v>
      </c>
      <c r="P411" s="6">
        <f t="shared" si="84"/>
        <v>5096789.3833589461</v>
      </c>
      <c r="Q411" s="6">
        <f t="shared" si="86"/>
        <v>22998688.169999972</v>
      </c>
      <c r="R411" s="4">
        <f t="shared" ca="1" si="85"/>
        <v>22</v>
      </c>
      <c r="S411" s="6"/>
      <c r="T411" s="5"/>
      <c r="U411" s="30" t="str">
        <f t="shared" si="87"/>
        <v>PENDIENTE</v>
      </c>
    </row>
    <row r="412" spans="1:21" x14ac:dyDescent="0.25">
      <c r="A412" s="4" t="str">
        <f t="shared" si="88"/>
        <v>202410</v>
      </c>
      <c r="B412" s="4" t="s">
        <v>24</v>
      </c>
      <c r="C412" s="4" t="s">
        <v>21</v>
      </c>
      <c r="D412" s="29" t="s">
        <v>38</v>
      </c>
      <c r="E412" s="28">
        <v>45577</v>
      </c>
      <c r="F412" s="4">
        <v>36</v>
      </c>
      <c r="G412" s="4">
        <v>0</v>
      </c>
      <c r="H412" s="6">
        <v>4950096.42</v>
      </c>
      <c r="I412" s="6">
        <v>68733.102138820439</v>
      </c>
      <c r="J412" s="6">
        <v>0</v>
      </c>
      <c r="K412" s="6">
        <v>0</v>
      </c>
      <c r="L412" s="6">
        <f t="shared" si="90"/>
        <v>0</v>
      </c>
      <c r="M412" s="7">
        <f t="shared" si="82"/>
        <v>1.0196107500000001E-2</v>
      </c>
      <c r="N412" s="7">
        <f t="shared" si="83"/>
        <v>2.9885662012878417E-3</v>
      </c>
      <c r="O412" s="7">
        <f t="shared" si="89"/>
        <v>-0.70689145820717947</v>
      </c>
      <c r="P412" s="6">
        <f t="shared" si="84"/>
        <v>5018829.52213882</v>
      </c>
      <c r="Q412" s="6">
        <f t="shared" si="86"/>
        <v>18048591.74999997</v>
      </c>
      <c r="R412" s="4">
        <f t="shared" ca="1" si="85"/>
        <v>-9</v>
      </c>
      <c r="S412" s="6"/>
      <c r="T412" s="5"/>
      <c r="U412" s="30" t="str">
        <f t="shared" si="87"/>
        <v>PENDIENTE</v>
      </c>
    </row>
    <row r="413" spans="1:21" x14ac:dyDescent="0.25">
      <c r="A413" s="4" t="str">
        <f t="shared" si="88"/>
        <v>202012</v>
      </c>
      <c r="B413" s="4" t="s">
        <v>39</v>
      </c>
      <c r="C413" s="4" t="s">
        <v>40</v>
      </c>
      <c r="D413" s="29" t="s">
        <v>41</v>
      </c>
      <c r="E413" s="28">
        <v>44180</v>
      </c>
      <c r="F413" s="4">
        <v>0</v>
      </c>
      <c r="G413" s="4">
        <v>120</v>
      </c>
      <c r="H413" s="6">
        <v>0</v>
      </c>
      <c r="I413" s="6">
        <v>0</v>
      </c>
      <c r="J413" s="6">
        <v>0</v>
      </c>
      <c r="K413" s="6">
        <v>0</v>
      </c>
      <c r="L413" s="6">
        <f t="shared" si="90"/>
        <v>0</v>
      </c>
      <c r="M413" s="7">
        <f>0.1268/12</f>
        <v>1.0566666666666667E-2</v>
      </c>
      <c r="N413" s="7">
        <f t="shared" si="83"/>
        <v>0</v>
      </c>
      <c r="O413" s="7">
        <f t="shared" si="89"/>
        <v>-1</v>
      </c>
      <c r="P413" s="6">
        <f t="shared" si="84"/>
        <v>0</v>
      </c>
      <c r="Q413" s="6">
        <v>67043821.880000003</v>
      </c>
      <c r="R413" s="4" t="s">
        <v>27</v>
      </c>
      <c r="S413" s="6">
        <v>2216970</v>
      </c>
      <c r="T413" s="5">
        <v>44526</v>
      </c>
      <c r="U413" s="30" t="str">
        <f t="shared" si="87"/>
        <v>PAGADO</v>
      </c>
    </row>
    <row r="414" spans="1:21" x14ac:dyDescent="0.25">
      <c r="A414" s="4" t="str">
        <f t="shared" si="88"/>
        <v>20221</v>
      </c>
      <c r="B414" s="4" t="s">
        <v>39</v>
      </c>
      <c r="C414" s="4" t="s">
        <v>40</v>
      </c>
      <c r="D414" s="29" t="s">
        <v>41</v>
      </c>
      <c r="E414" s="28">
        <v>44576</v>
      </c>
      <c r="F414" s="4">
        <v>13</v>
      </c>
      <c r="G414" s="4">
        <v>107</v>
      </c>
      <c r="H414" s="6">
        <v>599694.1</v>
      </c>
      <c r="I414" s="6">
        <v>498305.9</v>
      </c>
      <c r="J414" s="6">
        <v>0</v>
      </c>
      <c r="K414" s="6">
        <v>0</v>
      </c>
      <c r="L414" s="6">
        <f t="shared" si="90"/>
        <v>0</v>
      </c>
      <c r="M414" s="7">
        <f t="shared" ref="M414:M477" si="91">0.1268/12</f>
        <v>1.0566666666666667E-2</v>
      </c>
      <c r="N414" s="7">
        <f t="shared" si="83"/>
        <v>7.4325401808373161E-3</v>
      </c>
      <c r="O414" s="7">
        <f t="shared" si="89"/>
        <v>-0.29660503020467044</v>
      </c>
      <c r="P414" s="6">
        <f t="shared" si="84"/>
        <v>1098000</v>
      </c>
      <c r="Q414" s="6">
        <f>Q413-H414</f>
        <v>66444127.780000001</v>
      </c>
      <c r="R414" s="4" t="str">
        <f t="shared" ref="R414:R477" ca="1" si="92">IF(T413="",TODAY()-E413,IF(T414="",TODAY()-E414,"OK"))</f>
        <v>OK</v>
      </c>
      <c r="S414" s="6">
        <v>1098000</v>
      </c>
      <c r="T414" s="5">
        <v>44588</v>
      </c>
      <c r="U414" s="30" t="str">
        <f t="shared" si="87"/>
        <v>PAGADO</v>
      </c>
    </row>
    <row r="415" spans="1:21" x14ac:dyDescent="0.25">
      <c r="A415" s="4" t="str">
        <f t="shared" si="88"/>
        <v>20222</v>
      </c>
      <c r="B415" s="4" t="s">
        <v>39</v>
      </c>
      <c r="C415" s="4" t="s">
        <v>40</v>
      </c>
      <c r="D415" s="29" t="s">
        <v>41</v>
      </c>
      <c r="E415" s="28">
        <v>44607</v>
      </c>
      <c r="F415" s="4">
        <v>14</v>
      </c>
      <c r="G415" s="4">
        <v>106</v>
      </c>
      <c r="H415" s="6">
        <v>599694.1</v>
      </c>
      <c r="I415" s="6">
        <v>506305.9</v>
      </c>
      <c r="J415" s="6">
        <v>0</v>
      </c>
      <c r="K415" s="6">
        <v>0</v>
      </c>
      <c r="L415" s="6">
        <f t="shared" si="90"/>
        <v>0</v>
      </c>
      <c r="M415" s="7">
        <f t="shared" si="91"/>
        <v>1.0566666666666667E-2</v>
      </c>
      <c r="N415" s="7">
        <f t="shared" si="83"/>
        <v>7.62002477745521E-3</v>
      </c>
      <c r="O415" s="7">
        <f t="shared" si="89"/>
        <v>-0.27886200844272457</v>
      </c>
      <c r="P415" s="6">
        <f t="shared" si="84"/>
        <v>1106000</v>
      </c>
      <c r="Q415" s="6">
        <f>Q414-H415</f>
        <v>65844433.68</v>
      </c>
      <c r="R415" s="4" t="str">
        <f t="shared" ca="1" si="92"/>
        <v>OK</v>
      </c>
      <c r="S415" s="6">
        <v>1118000</v>
      </c>
      <c r="T415" s="5">
        <v>44618</v>
      </c>
      <c r="U415" s="30" t="str">
        <f t="shared" si="87"/>
        <v>PAGADO</v>
      </c>
    </row>
    <row r="416" spans="1:21" x14ac:dyDescent="0.25">
      <c r="A416" s="4" t="str">
        <f t="shared" si="88"/>
        <v>20223</v>
      </c>
      <c r="B416" s="4" t="s">
        <v>39</v>
      </c>
      <c r="C416" s="4" t="s">
        <v>40</v>
      </c>
      <c r="D416" s="29" t="s">
        <v>41</v>
      </c>
      <c r="E416" s="28">
        <v>44635</v>
      </c>
      <c r="F416" s="4">
        <v>15</v>
      </c>
      <c r="G416" s="4">
        <v>105</v>
      </c>
      <c r="H416" s="6">
        <v>599694.1</v>
      </c>
      <c r="I416" s="6">
        <v>518305.9</v>
      </c>
      <c r="J416" s="6">
        <v>0</v>
      </c>
      <c r="K416" s="6">
        <v>0</v>
      </c>
      <c r="L416" s="6">
        <f t="shared" si="90"/>
        <v>0</v>
      </c>
      <c r="M416" s="7">
        <f t="shared" si="91"/>
        <v>1.0566666666666667E-2</v>
      </c>
      <c r="N416" s="7">
        <f t="shared" si="83"/>
        <v>7.8716737472287433E-3</v>
      </c>
      <c r="O416" s="7">
        <f t="shared" si="89"/>
        <v>-0.25504664852724823</v>
      </c>
      <c r="P416" s="6">
        <f t="shared" si="84"/>
        <v>1118000</v>
      </c>
      <c r="Q416" s="6">
        <f t="shared" ref="Q416:Q479" si="93">Q415-H416</f>
        <v>65244739.579999998</v>
      </c>
      <c r="R416" s="4" t="str">
        <f t="shared" ca="1" si="92"/>
        <v>OK</v>
      </c>
      <c r="S416" s="6">
        <v>0</v>
      </c>
      <c r="T416" s="5">
        <v>44687</v>
      </c>
      <c r="U416" s="30" t="str">
        <f t="shared" si="87"/>
        <v>PAGADO</v>
      </c>
    </row>
    <row r="417" spans="1:21" x14ac:dyDescent="0.25">
      <c r="A417" s="4" t="str">
        <f t="shared" si="88"/>
        <v>20224</v>
      </c>
      <c r="B417" s="4" t="s">
        <v>39</v>
      </c>
      <c r="C417" s="4" t="s">
        <v>40</v>
      </c>
      <c r="D417" s="29" t="s">
        <v>41</v>
      </c>
      <c r="E417" s="28">
        <v>44666</v>
      </c>
      <c r="F417" s="4">
        <v>16</v>
      </c>
      <c r="G417" s="4">
        <v>104</v>
      </c>
      <c r="H417" s="6">
        <v>599694.1</v>
      </c>
      <c r="I417" s="6">
        <v>507305.9</v>
      </c>
      <c r="J417" s="6">
        <v>0</v>
      </c>
      <c r="K417" s="6">
        <v>0</v>
      </c>
      <c r="L417" s="6">
        <f t="shared" si="90"/>
        <v>1118000</v>
      </c>
      <c r="M417" s="7">
        <f t="shared" si="91"/>
        <v>1.0566666666666667E-2</v>
      </c>
      <c r="N417" s="7">
        <f t="shared" si="83"/>
        <v>7.7754299161232098E-3</v>
      </c>
      <c r="O417" s="7">
        <f t="shared" si="89"/>
        <v>-0.26415489752777199</v>
      </c>
      <c r="P417" s="6">
        <f t="shared" si="84"/>
        <v>2225000</v>
      </c>
      <c r="Q417" s="6">
        <f t="shared" si="93"/>
        <v>64645045.479999997</v>
      </c>
      <c r="R417" s="4" t="str">
        <f t="shared" ca="1" si="92"/>
        <v>OK</v>
      </c>
      <c r="S417" s="6">
        <v>2350000</v>
      </c>
      <c r="T417" s="5">
        <v>44687</v>
      </c>
      <c r="U417" s="30" t="str">
        <f t="shared" si="87"/>
        <v>PAGADO</v>
      </c>
    </row>
    <row r="418" spans="1:21" x14ac:dyDescent="0.25">
      <c r="A418" s="4" t="str">
        <f t="shared" si="88"/>
        <v>20225</v>
      </c>
      <c r="B418" s="4" t="s">
        <v>39</v>
      </c>
      <c r="C418" s="4" t="s">
        <v>40</v>
      </c>
      <c r="D418" s="29" t="s">
        <v>41</v>
      </c>
      <c r="E418" s="28">
        <v>44696</v>
      </c>
      <c r="F418" s="4">
        <v>17</v>
      </c>
      <c r="G418" s="4">
        <v>103</v>
      </c>
      <c r="H418" s="6">
        <v>599694.1</v>
      </c>
      <c r="I418" s="6">
        <v>584191.54</v>
      </c>
      <c r="J418" s="6">
        <v>0</v>
      </c>
      <c r="K418" s="6">
        <v>0</v>
      </c>
      <c r="L418" s="6">
        <f t="shared" si="90"/>
        <v>0</v>
      </c>
      <c r="M418" s="7">
        <f t="shared" si="91"/>
        <v>1.0566666666666667E-2</v>
      </c>
      <c r="N418" s="7">
        <f t="shared" si="83"/>
        <v>9.0369112692594254E-3</v>
      </c>
      <c r="O418" s="7">
        <f t="shared" si="89"/>
        <v>-0.1447718041710323</v>
      </c>
      <c r="P418" s="6">
        <f t="shared" si="84"/>
        <v>1183885.6400000001</v>
      </c>
      <c r="Q418" s="6">
        <f t="shared" si="93"/>
        <v>64045351.379999995</v>
      </c>
      <c r="R418" s="4" t="str">
        <f t="shared" ca="1" si="92"/>
        <v>OK</v>
      </c>
      <c r="S418" s="6">
        <v>1200000</v>
      </c>
      <c r="T418" s="5">
        <v>44706</v>
      </c>
      <c r="U418" s="30" t="str">
        <f t="shared" si="87"/>
        <v>PAGADO</v>
      </c>
    </row>
    <row r="419" spans="1:21" x14ac:dyDescent="0.25">
      <c r="A419" s="4" t="str">
        <f t="shared" si="88"/>
        <v>20226</v>
      </c>
      <c r="B419" s="4" t="s">
        <v>39</v>
      </c>
      <c r="C419" s="4" t="s">
        <v>40</v>
      </c>
      <c r="D419" s="29" t="s">
        <v>41</v>
      </c>
      <c r="E419" s="28">
        <v>44727</v>
      </c>
      <c r="F419" s="4">
        <v>18</v>
      </c>
      <c r="G419" s="4">
        <v>102</v>
      </c>
      <c r="H419" s="6">
        <v>599694.1</v>
      </c>
      <c r="I419" s="6">
        <v>580067</v>
      </c>
      <c r="J419" s="6">
        <v>0</v>
      </c>
      <c r="K419" s="6">
        <v>0</v>
      </c>
      <c r="L419" s="6">
        <f t="shared" si="90"/>
        <v>0</v>
      </c>
      <c r="M419" s="7">
        <f t="shared" si="91"/>
        <v>1.0566666666666667E-2</v>
      </c>
      <c r="N419" s="7">
        <f t="shared" si="83"/>
        <v>9.0571288548061991E-3</v>
      </c>
      <c r="O419" s="7">
        <f t="shared" si="89"/>
        <v>-0.14285846799941337</v>
      </c>
      <c r="P419" s="6">
        <f t="shared" si="84"/>
        <v>1179761.1000000001</v>
      </c>
      <c r="Q419" s="6">
        <f t="shared" si="93"/>
        <v>63445657.279999994</v>
      </c>
      <c r="R419" s="4" t="str">
        <f t="shared" ca="1" si="92"/>
        <v>OK</v>
      </c>
      <c r="S419" s="6">
        <v>1050000</v>
      </c>
      <c r="T419" s="5">
        <v>44750</v>
      </c>
      <c r="U419" s="30" t="str">
        <f t="shared" si="87"/>
        <v>PAGADO</v>
      </c>
    </row>
    <row r="420" spans="1:21" x14ac:dyDescent="0.25">
      <c r="A420" s="4" t="str">
        <f t="shared" si="88"/>
        <v>20227</v>
      </c>
      <c r="B420" s="4" t="s">
        <v>39</v>
      </c>
      <c r="C420" s="4" t="s">
        <v>40</v>
      </c>
      <c r="D420" s="29" t="s">
        <v>41</v>
      </c>
      <c r="E420" s="28">
        <v>44757</v>
      </c>
      <c r="F420" s="4">
        <v>19</v>
      </c>
      <c r="G420" s="4">
        <v>101</v>
      </c>
      <c r="H420" s="6">
        <v>599694.1</v>
      </c>
      <c r="I420" s="6">
        <v>576133.27</v>
      </c>
      <c r="J420" s="6">
        <v>0</v>
      </c>
      <c r="K420" s="6">
        <v>0</v>
      </c>
      <c r="L420" s="6">
        <f t="shared" si="90"/>
        <v>129761.10000000009</v>
      </c>
      <c r="M420" s="7">
        <f t="shared" si="91"/>
        <v>1.0566666666666667E-2</v>
      </c>
      <c r="N420" s="7">
        <f t="shared" si="83"/>
        <v>9.0807360928959087E-3</v>
      </c>
      <c r="O420" s="7">
        <f t="shared" si="89"/>
        <v>-0.1406243445208919</v>
      </c>
      <c r="P420" s="6">
        <f t="shared" si="84"/>
        <v>1305588.4700000002</v>
      </c>
      <c r="Q420" s="6">
        <f t="shared" si="93"/>
        <v>62845963.179999992</v>
      </c>
      <c r="R420" s="4" t="str">
        <f t="shared" ca="1" si="92"/>
        <v>OK</v>
      </c>
      <c r="S420" s="6">
        <v>1100000</v>
      </c>
      <c r="T420" s="5">
        <v>44771</v>
      </c>
      <c r="U420" s="30" t="str">
        <f t="shared" si="87"/>
        <v>PAGADO</v>
      </c>
    </row>
    <row r="421" spans="1:21" x14ac:dyDescent="0.25">
      <c r="A421" s="4" t="str">
        <f t="shared" si="88"/>
        <v>20228</v>
      </c>
      <c r="B421" s="4" t="s">
        <v>39</v>
      </c>
      <c r="C421" s="4" t="s">
        <v>40</v>
      </c>
      <c r="D421" s="29" t="s">
        <v>41</v>
      </c>
      <c r="E421" s="28">
        <v>44788</v>
      </c>
      <c r="F421" s="4">
        <v>20</v>
      </c>
      <c r="G421" s="4">
        <v>100</v>
      </c>
      <c r="H421" s="6">
        <v>599694.1</v>
      </c>
      <c r="I421" s="6">
        <v>572120.04</v>
      </c>
      <c r="J421" s="6">
        <v>0</v>
      </c>
      <c r="K421" s="6">
        <v>0</v>
      </c>
      <c r="L421" s="6">
        <f t="shared" si="90"/>
        <v>205588.4700000002</v>
      </c>
      <c r="M421" s="7">
        <f t="shared" si="91"/>
        <v>1.0566666666666667E-2</v>
      </c>
      <c r="N421" s="7">
        <f t="shared" si="83"/>
        <v>9.1035288672617672E-3</v>
      </c>
      <c r="O421" s="7">
        <f t="shared" si="89"/>
        <v>-0.13846729962822391</v>
      </c>
      <c r="P421" s="6">
        <f t="shared" si="84"/>
        <v>1377402.6100000003</v>
      </c>
      <c r="Q421" s="6">
        <f t="shared" si="93"/>
        <v>62246269.079999991</v>
      </c>
      <c r="R421" s="4" t="str">
        <f t="shared" ca="1" si="92"/>
        <v>OK</v>
      </c>
      <c r="S421" s="6">
        <v>1780000</v>
      </c>
      <c r="T421" s="5">
        <v>44791</v>
      </c>
      <c r="U421" s="30" t="str">
        <f t="shared" si="87"/>
        <v>PAGADO</v>
      </c>
    </row>
    <row r="422" spans="1:21" x14ac:dyDescent="0.25">
      <c r="A422" s="4" t="str">
        <f t="shared" si="88"/>
        <v>20229</v>
      </c>
      <c r="B422" s="4" t="s">
        <v>39</v>
      </c>
      <c r="C422" s="4" t="s">
        <v>40</v>
      </c>
      <c r="D422" s="29" t="s">
        <v>41</v>
      </c>
      <c r="E422" s="28">
        <v>44819</v>
      </c>
      <c r="F422" s="4">
        <v>21</v>
      </c>
      <c r="G422" s="4">
        <v>99</v>
      </c>
      <c r="H422" s="6">
        <v>599694.1</v>
      </c>
      <c r="I422" s="6">
        <v>567611.91</v>
      </c>
      <c r="J422" s="6">
        <v>0</v>
      </c>
      <c r="K422" s="6">
        <v>0</v>
      </c>
      <c r="L422" s="6">
        <f t="shared" si="90"/>
        <v>0</v>
      </c>
      <c r="M422" s="7">
        <f t="shared" si="91"/>
        <v>1.0566666666666667E-2</v>
      </c>
      <c r="N422" s="7">
        <f t="shared" si="83"/>
        <v>9.1188101453999644E-3</v>
      </c>
      <c r="O422" s="7">
        <f t="shared" si="89"/>
        <v>-0.13702112188643867</v>
      </c>
      <c r="P422" s="6">
        <f t="shared" si="84"/>
        <v>1167306.01</v>
      </c>
      <c r="Q422" s="6">
        <f t="shared" si="93"/>
        <v>61646574.979999989</v>
      </c>
      <c r="R422" s="4" t="str">
        <f t="shared" ca="1" si="92"/>
        <v>OK</v>
      </c>
      <c r="S422" s="6">
        <v>1050000</v>
      </c>
      <c r="T422" s="5">
        <v>44842</v>
      </c>
      <c r="U422" s="30" t="str">
        <f t="shared" si="87"/>
        <v>PAGADO</v>
      </c>
    </row>
    <row r="423" spans="1:21" x14ac:dyDescent="0.25">
      <c r="A423" s="4" t="str">
        <f t="shared" si="88"/>
        <v>202210</v>
      </c>
      <c r="B423" s="4" t="s">
        <v>39</v>
      </c>
      <c r="C423" s="4" t="s">
        <v>40</v>
      </c>
      <c r="D423" s="29" t="s">
        <v>41</v>
      </c>
      <c r="E423" s="28">
        <v>44849</v>
      </c>
      <c r="F423" s="4">
        <v>22</v>
      </c>
      <c r="G423" s="4">
        <v>98</v>
      </c>
      <c r="H423" s="6">
        <v>599694.1</v>
      </c>
      <c r="I423" s="6">
        <v>563549.86</v>
      </c>
      <c r="J423" s="6">
        <v>0</v>
      </c>
      <c r="K423" s="6">
        <v>0</v>
      </c>
      <c r="L423" s="6">
        <f t="shared" si="90"/>
        <v>117306.01000000001</v>
      </c>
      <c r="M423" s="7">
        <f t="shared" si="91"/>
        <v>1.0566666666666667E-2</v>
      </c>
      <c r="N423" s="7">
        <f t="shared" si="83"/>
        <v>9.141624821538465E-3</v>
      </c>
      <c r="O423" s="7">
        <f t="shared" si="89"/>
        <v>-0.13486200427080774</v>
      </c>
      <c r="P423" s="6">
        <f t="shared" si="84"/>
        <v>1280549.97</v>
      </c>
      <c r="Q423" s="6">
        <f t="shared" si="93"/>
        <v>61046880.879999988</v>
      </c>
      <c r="R423" s="4" t="str">
        <f t="shared" ca="1" si="92"/>
        <v>OK</v>
      </c>
      <c r="S423" s="6">
        <v>1350000</v>
      </c>
      <c r="T423" s="5">
        <v>44877</v>
      </c>
      <c r="U423" s="30" t="str">
        <f t="shared" si="87"/>
        <v>PAGADO</v>
      </c>
    </row>
    <row r="424" spans="1:21" x14ac:dyDescent="0.25">
      <c r="A424" s="4" t="str">
        <f t="shared" si="88"/>
        <v>202211</v>
      </c>
      <c r="B424" s="4" t="s">
        <v>39</v>
      </c>
      <c r="C424" s="4" t="s">
        <v>40</v>
      </c>
      <c r="D424" s="29" t="s">
        <v>41</v>
      </c>
      <c r="E424" s="28">
        <v>44880</v>
      </c>
      <c r="F424" s="4">
        <v>23</v>
      </c>
      <c r="G424" s="4">
        <v>97</v>
      </c>
      <c r="H424" s="6">
        <v>599694.1</v>
      </c>
      <c r="I424" s="6">
        <v>559211.06000000006</v>
      </c>
      <c r="J424" s="6">
        <v>0</v>
      </c>
      <c r="K424" s="6">
        <v>0</v>
      </c>
      <c r="L424" s="6">
        <f t="shared" si="90"/>
        <v>0</v>
      </c>
      <c r="M424" s="7">
        <f t="shared" si="91"/>
        <v>1.0566666666666667E-2</v>
      </c>
      <c r="N424" s="7">
        <f t="shared" si="83"/>
        <v>9.160354336517908E-3</v>
      </c>
      <c r="O424" s="7">
        <f t="shared" si="89"/>
        <v>-0.13308949496675948</v>
      </c>
      <c r="P424" s="6">
        <f t="shared" si="84"/>
        <v>1158905.1600000001</v>
      </c>
      <c r="Q424" s="6">
        <f t="shared" si="93"/>
        <v>60447186.779999986</v>
      </c>
      <c r="R424" s="4" t="str">
        <f t="shared" ca="1" si="92"/>
        <v>OK</v>
      </c>
      <c r="S424" s="6">
        <v>989221</v>
      </c>
      <c r="T424" s="5">
        <v>44893</v>
      </c>
      <c r="U424" s="30" t="str">
        <f t="shared" si="87"/>
        <v>PAGADO</v>
      </c>
    </row>
    <row r="425" spans="1:21" x14ac:dyDescent="0.25">
      <c r="A425" s="4" t="str">
        <f t="shared" si="88"/>
        <v>202212</v>
      </c>
      <c r="B425" s="4" t="s">
        <v>39</v>
      </c>
      <c r="C425" s="4" t="s">
        <v>40</v>
      </c>
      <c r="D425" s="29" t="s">
        <v>41</v>
      </c>
      <c r="E425" s="28">
        <v>44910</v>
      </c>
      <c r="F425" s="4">
        <v>24</v>
      </c>
      <c r="G425" s="4">
        <v>96</v>
      </c>
      <c r="H425" s="6">
        <v>599694.1</v>
      </c>
      <c r="I425" s="6">
        <v>554950.37</v>
      </c>
      <c r="J425" s="6">
        <v>0</v>
      </c>
      <c r="K425" s="6">
        <v>0</v>
      </c>
      <c r="L425" s="6">
        <f t="shared" si="90"/>
        <v>169684.16000000015</v>
      </c>
      <c r="M425" s="7">
        <f t="shared" si="91"/>
        <v>1.0566666666666667E-2</v>
      </c>
      <c r="N425" s="7">
        <f t="shared" si="83"/>
        <v>9.1807476834242854E-3</v>
      </c>
      <c r="O425" s="7">
        <f t="shared" si="89"/>
        <v>-0.13115952522798557</v>
      </c>
      <c r="P425" s="6">
        <f t="shared" si="84"/>
        <v>1324328.6300000001</v>
      </c>
      <c r="Q425" s="6">
        <f t="shared" si="93"/>
        <v>59847492.679999985</v>
      </c>
      <c r="R425" s="4" t="str">
        <f t="shared" ca="1" si="92"/>
        <v>OK</v>
      </c>
      <c r="S425" s="6">
        <v>1005000</v>
      </c>
      <c r="T425" s="5">
        <v>44916</v>
      </c>
      <c r="U425" s="30" t="str">
        <f t="shared" si="87"/>
        <v>PAGADO</v>
      </c>
    </row>
    <row r="426" spans="1:21" x14ac:dyDescent="0.25">
      <c r="A426" s="4" t="str">
        <f t="shared" si="88"/>
        <v>20231</v>
      </c>
      <c r="B426" s="4" t="s">
        <v>39</v>
      </c>
      <c r="C426" s="4" t="s">
        <v>40</v>
      </c>
      <c r="D426" s="29" t="s">
        <v>41</v>
      </c>
      <c r="E426" s="28">
        <v>44941</v>
      </c>
      <c r="F426" s="4">
        <v>25</v>
      </c>
      <c r="G426" s="4">
        <v>95</v>
      </c>
      <c r="H426" s="6">
        <v>599694.1</v>
      </c>
      <c r="I426" s="6">
        <v>550898.82999999996</v>
      </c>
      <c r="J426" s="6">
        <v>0</v>
      </c>
      <c r="K426" s="6">
        <v>0</v>
      </c>
      <c r="L426" s="6">
        <f t="shared" si="90"/>
        <v>319328.63000000012</v>
      </c>
      <c r="M426" s="7">
        <f t="shared" si="91"/>
        <v>1.0566666666666667E-2</v>
      </c>
      <c r="N426" s="7">
        <f t="shared" si="83"/>
        <v>9.2050444443113819E-3</v>
      </c>
      <c r="O426" s="7">
        <f t="shared" si="89"/>
        <v>-0.12886014722605221</v>
      </c>
      <c r="P426" s="6">
        <f t="shared" si="84"/>
        <v>1469921.56</v>
      </c>
      <c r="Q426" s="6">
        <f t="shared" si="93"/>
        <v>59247798.579999983</v>
      </c>
      <c r="R426" s="4" t="str">
        <f t="shared" ca="1" si="92"/>
        <v>OK</v>
      </c>
      <c r="S426" s="6">
        <v>1120000</v>
      </c>
      <c r="T426" s="5">
        <v>44964</v>
      </c>
      <c r="U426" s="30" t="str">
        <f t="shared" si="87"/>
        <v>PAGADO</v>
      </c>
    </row>
    <row r="427" spans="1:21" x14ac:dyDescent="0.25">
      <c r="A427" s="4" t="str">
        <f t="shared" si="88"/>
        <v>20232</v>
      </c>
      <c r="B427" s="4" t="s">
        <v>39</v>
      </c>
      <c r="C427" s="4" t="s">
        <v>40</v>
      </c>
      <c r="D427" s="29" t="s">
        <v>41</v>
      </c>
      <c r="E427" s="28">
        <v>44972</v>
      </c>
      <c r="F427" s="4">
        <v>26</v>
      </c>
      <c r="G427" s="4">
        <v>94</v>
      </c>
      <c r="H427" s="6">
        <v>599694.1</v>
      </c>
      <c r="I427" s="6">
        <v>546270.81000000006</v>
      </c>
      <c r="J427" s="6">
        <v>0</v>
      </c>
      <c r="K427" s="6">
        <v>0</v>
      </c>
      <c r="L427" s="6">
        <f t="shared" si="90"/>
        <v>349921.56000000006</v>
      </c>
      <c r="M427" s="7">
        <f t="shared" si="91"/>
        <v>1.0566666666666667E-2</v>
      </c>
      <c r="N427" s="7">
        <f t="shared" si="83"/>
        <v>9.220103077119261E-3</v>
      </c>
      <c r="O427" s="7">
        <f t="shared" si="89"/>
        <v>-0.12743504002025918</v>
      </c>
      <c r="P427" s="6">
        <f t="shared" si="84"/>
        <v>1495886.4700000002</v>
      </c>
      <c r="Q427" s="6">
        <f t="shared" si="93"/>
        <v>58648104.479999982</v>
      </c>
      <c r="R427" s="4" t="str">
        <f t="shared" ca="1" si="92"/>
        <v>OK</v>
      </c>
      <c r="S427" s="6">
        <v>1150000</v>
      </c>
      <c r="T427" s="5">
        <v>44995</v>
      </c>
      <c r="U427" s="30" t="str">
        <f t="shared" si="87"/>
        <v>PAGADO</v>
      </c>
    </row>
    <row r="428" spans="1:21" x14ac:dyDescent="0.25">
      <c r="A428" s="4" t="str">
        <f t="shared" si="88"/>
        <v>20233</v>
      </c>
      <c r="B428" s="4" t="s">
        <v>39</v>
      </c>
      <c r="C428" s="4" t="s">
        <v>40</v>
      </c>
      <c r="D428" s="29" t="s">
        <v>41</v>
      </c>
      <c r="E428" s="28">
        <v>45000</v>
      </c>
      <c r="F428" s="4">
        <v>27</v>
      </c>
      <c r="G428" s="4">
        <v>93</v>
      </c>
      <c r="H428" s="6">
        <v>599694.1</v>
      </c>
      <c r="I428" s="6">
        <v>541803.1</v>
      </c>
      <c r="J428" s="6">
        <v>0</v>
      </c>
      <c r="K428" s="6">
        <v>0</v>
      </c>
      <c r="L428" s="6">
        <f t="shared" si="90"/>
        <v>345886.4700000002</v>
      </c>
      <c r="M428" s="7">
        <f t="shared" si="91"/>
        <v>1.0566666666666667E-2</v>
      </c>
      <c r="N428" s="7">
        <f t="shared" si="83"/>
        <v>9.2382030894922473E-3</v>
      </c>
      <c r="O428" s="7">
        <f t="shared" si="89"/>
        <v>-0.12572210509537096</v>
      </c>
      <c r="P428" s="6">
        <f t="shared" si="84"/>
        <v>1487383.6700000002</v>
      </c>
      <c r="Q428" s="6">
        <f t="shared" si="93"/>
        <v>58048410.37999998</v>
      </c>
      <c r="R428" s="4" t="str">
        <f t="shared" ca="1" si="92"/>
        <v>OK</v>
      </c>
      <c r="S428" s="6">
        <v>1350000</v>
      </c>
      <c r="T428" s="5">
        <v>45029</v>
      </c>
      <c r="U428" s="30" t="str">
        <f t="shared" si="87"/>
        <v>PAGADO</v>
      </c>
    </row>
    <row r="429" spans="1:21" x14ac:dyDescent="0.25">
      <c r="A429" s="4" t="str">
        <f t="shared" si="88"/>
        <v>20234</v>
      </c>
      <c r="B429" s="4" t="s">
        <v>39</v>
      </c>
      <c r="C429" s="4" t="s">
        <v>40</v>
      </c>
      <c r="D429" s="29" t="s">
        <v>41</v>
      </c>
      <c r="E429" s="28">
        <v>45031</v>
      </c>
      <c r="F429" s="4">
        <v>28</v>
      </c>
      <c r="G429" s="4">
        <v>92</v>
      </c>
      <c r="H429" s="6">
        <v>599694.1</v>
      </c>
      <c r="I429" s="6">
        <v>537193.6</v>
      </c>
      <c r="J429" s="6">
        <v>0</v>
      </c>
      <c r="K429" s="6">
        <v>0</v>
      </c>
      <c r="L429" s="6">
        <f t="shared" si="90"/>
        <v>137383.67000000016</v>
      </c>
      <c r="M429" s="7">
        <f t="shared" si="91"/>
        <v>1.0566666666666667E-2</v>
      </c>
      <c r="N429" s="7">
        <f t="shared" si="83"/>
        <v>9.2542344653951947E-3</v>
      </c>
      <c r="O429" s="7">
        <f t="shared" si="89"/>
        <v>-0.1242049401834201</v>
      </c>
      <c r="P429" s="6">
        <f t="shared" si="84"/>
        <v>1274271.3700000001</v>
      </c>
      <c r="Q429" s="6">
        <f t="shared" si="93"/>
        <v>57448716.279999979</v>
      </c>
      <c r="R429" s="4" t="str">
        <f t="shared" ca="1" si="92"/>
        <v>OK</v>
      </c>
      <c r="S429" s="6">
        <v>0</v>
      </c>
      <c r="T429" s="5">
        <v>45063</v>
      </c>
      <c r="U429" s="30" t="str">
        <f t="shared" si="87"/>
        <v>PAGADO</v>
      </c>
    </row>
    <row r="430" spans="1:21" x14ac:dyDescent="0.25">
      <c r="A430" s="4" t="str">
        <f t="shared" si="88"/>
        <v>20235</v>
      </c>
      <c r="B430" s="4" t="s">
        <v>39</v>
      </c>
      <c r="C430" s="4" t="s">
        <v>40</v>
      </c>
      <c r="D430" s="29" t="s">
        <v>41</v>
      </c>
      <c r="E430" s="28">
        <v>45061</v>
      </c>
      <c r="F430" s="4">
        <v>29</v>
      </c>
      <c r="G430" s="4">
        <v>91</v>
      </c>
      <c r="H430" s="6">
        <v>599694.1</v>
      </c>
      <c r="I430" s="6">
        <v>449919.54254012625</v>
      </c>
      <c r="J430" s="6">
        <v>0</v>
      </c>
      <c r="K430" s="6">
        <v>0</v>
      </c>
      <c r="L430" s="6">
        <f t="shared" si="90"/>
        <v>1274271.3700000001</v>
      </c>
      <c r="M430" s="7">
        <f t="shared" si="91"/>
        <v>1.0566666666666667E-2</v>
      </c>
      <c r="N430" s="7">
        <f t="shared" si="83"/>
        <v>7.8316726930373528E-3</v>
      </c>
      <c r="O430" s="7">
        <f t="shared" si="89"/>
        <v>-0.25883223725198556</v>
      </c>
      <c r="P430" s="6">
        <f t="shared" si="84"/>
        <v>2323885.0125401262</v>
      </c>
      <c r="Q430" s="6">
        <f t="shared" si="93"/>
        <v>56849022.179999977</v>
      </c>
      <c r="R430" s="4" t="str">
        <f t="shared" ca="1" si="92"/>
        <v>OK</v>
      </c>
      <c r="S430" s="6">
        <v>2170000</v>
      </c>
      <c r="T430" s="5">
        <v>45063</v>
      </c>
      <c r="U430" s="30" t="str">
        <f t="shared" si="87"/>
        <v>PAGADO</v>
      </c>
    </row>
    <row r="431" spans="1:21" x14ac:dyDescent="0.25">
      <c r="A431" s="4" t="str">
        <f t="shared" si="88"/>
        <v>20236</v>
      </c>
      <c r="B431" s="4" t="s">
        <v>39</v>
      </c>
      <c r="C431" s="4" t="s">
        <v>40</v>
      </c>
      <c r="D431" s="29" t="s">
        <v>41</v>
      </c>
      <c r="E431" s="28">
        <v>45092</v>
      </c>
      <c r="F431" s="4">
        <v>30</v>
      </c>
      <c r="G431" s="4">
        <v>90</v>
      </c>
      <c r="H431" s="6">
        <v>599694.1</v>
      </c>
      <c r="I431" s="6">
        <f>1092447-H431</f>
        <v>492752.9</v>
      </c>
      <c r="J431" s="6">
        <v>0</v>
      </c>
      <c r="K431" s="6">
        <v>0</v>
      </c>
      <c r="L431" s="6">
        <f t="shared" si="90"/>
        <v>153885.01254012622</v>
      </c>
      <c r="M431" s="7">
        <f t="shared" si="91"/>
        <v>1.0566666666666667E-2</v>
      </c>
      <c r="N431" s="7">
        <f t="shared" si="83"/>
        <v>8.6677462708119393E-3</v>
      </c>
      <c r="O431" s="7">
        <f t="shared" si="89"/>
        <v>-0.17970855481275028</v>
      </c>
      <c r="P431" s="6">
        <f t="shared" si="84"/>
        <v>1246332.0125401262</v>
      </c>
      <c r="Q431" s="6">
        <f t="shared" si="93"/>
        <v>56249328.079999976</v>
      </c>
      <c r="R431" s="4" t="str">
        <f t="shared" ca="1" si="92"/>
        <v>OK</v>
      </c>
      <c r="S431" s="6">
        <v>1200000</v>
      </c>
      <c r="T431" s="5">
        <v>45120</v>
      </c>
      <c r="U431" s="30" t="str">
        <f t="shared" si="87"/>
        <v>PAGADO</v>
      </c>
    </row>
    <row r="432" spans="1:21" x14ac:dyDescent="0.25">
      <c r="A432" s="4" t="str">
        <f t="shared" si="88"/>
        <v>20237</v>
      </c>
      <c r="B432" s="4" t="s">
        <v>39</v>
      </c>
      <c r="C432" s="4" t="s">
        <v>40</v>
      </c>
      <c r="D432" s="29" t="s">
        <v>41</v>
      </c>
      <c r="E432" s="28">
        <v>45122</v>
      </c>
      <c r="F432" s="4">
        <v>31</v>
      </c>
      <c r="G432" s="4">
        <v>89</v>
      </c>
      <c r="H432" s="6">
        <v>599694.1</v>
      </c>
      <c r="I432" s="6">
        <v>431668.60915700631</v>
      </c>
      <c r="J432" s="6">
        <v>0</v>
      </c>
      <c r="K432" s="6">
        <v>0</v>
      </c>
      <c r="L432" s="6">
        <f t="shared" si="90"/>
        <v>46332.012540126219</v>
      </c>
      <c r="M432" s="7">
        <f t="shared" si="91"/>
        <v>1.0566666666666667E-2</v>
      </c>
      <c r="N432" s="7">
        <f t="shared" si="83"/>
        <v>7.6742002774339005E-3</v>
      </c>
      <c r="O432" s="7">
        <f t="shared" si="89"/>
        <v>-0.27373498951729647</v>
      </c>
      <c r="P432" s="6">
        <f t="shared" si="84"/>
        <v>1077694.7216971326</v>
      </c>
      <c r="Q432" s="6">
        <f t="shared" si="93"/>
        <v>55649633.979999974</v>
      </c>
      <c r="R432" s="4" t="str">
        <f t="shared" ca="1" si="92"/>
        <v>OK</v>
      </c>
      <c r="S432" s="6">
        <v>1200000</v>
      </c>
      <c r="T432" s="5">
        <v>45153</v>
      </c>
      <c r="U432" s="30" t="str">
        <f t="shared" si="87"/>
        <v>PAGADO</v>
      </c>
    </row>
    <row r="433" spans="1:21" x14ac:dyDescent="0.25">
      <c r="A433" s="4" t="str">
        <f t="shared" si="88"/>
        <v>20238</v>
      </c>
      <c r="B433" s="4" t="s">
        <v>39</v>
      </c>
      <c r="C433" s="4" t="s">
        <v>40</v>
      </c>
      <c r="D433" s="29" t="s">
        <v>41</v>
      </c>
      <c r="E433" s="28">
        <v>45153</v>
      </c>
      <c r="F433" s="4">
        <v>32</v>
      </c>
      <c r="G433" s="4">
        <v>88</v>
      </c>
      <c r="H433" s="6">
        <v>599694.1</v>
      </c>
      <c r="I433" s="6">
        <v>426459.62722053361</v>
      </c>
      <c r="J433" s="6">
        <v>0</v>
      </c>
      <c r="K433" s="6">
        <v>0</v>
      </c>
      <c r="L433" s="6">
        <f t="shared" si="90"/>
        <v>0</v>
      </c>
      <c r="M433" s="7">
        <f t="shared" si="91"/>
        <v>1.0566666666666667E-2</v>
      </c>
      <c r="N433" s="7">
        <f t="shared" si="83"/>
        <v>7.6632961750260518E-3</v>
      </c>
      <c r="O433" s="7">
        <f t="shared" si="89"/>
        <v>-0.2747669234991118</v>
      </c>
      <c r="P433" s="6">
        <f t="shared" si="84"/>
        <v>1026153.7272205336</v>
      </c>
      <c r="Q433" s="6">
        <f t="shared" si="93"/>
        <v>55049939.879999973</v>
      </c>
      <c r="R433" s="4" t="str">
        <f t="shared" ca="1" si="92"/>
        <v>OK</v>
      </c>
      <c r="S433" s="6">
        <v>1180000</v>
      </c>
      <c r="T433" s="5">
        <v>45184</v>
      </c>
      <c r="U433" s="30" t="str">
        <f t="shared" si="87"/>
        <v>PAGADO</v>
      </c>
    </row>
    <row r="434" spans="1:21" x14ac:dyDescent="0.25">
      <c r="A434" s="4" t="str">
        <f t="shared" si="88"/>
        <v>20239</v>
      </c>
      <c r="B434" s="4" t="s">
        <v>39</v>
      </c>
      <c r="C434" s="4" t="s">
        <v>40</v>
      </c>
      <c r="D434" s="29" t="s">
        <v>41</v>
      </c>
      <c r="E434" s="28">
        <v>45184</v>
      </c>
      <c r="F434" s="4">
        <v>33</v>
      </c>
      <c r="G434" s="4">
        <v>87</v>
      </c>
      <c r="H434" s="6">
        <v>599694.1</v>
      </c>
      <c r="I434" s="6">
        <v>425829.46038771881</v>
      </c>
      <c r="J434" s="6">
        <v>0</v>
      </c>
      <c r="K434" s="6">
        <v>0</v>
      </c>
      <c r="L434" s="6">
        <f t="shared" si="90"/>
        <v>0</v>
      </c>
      <c r="M434" s="7">
        <f t="shared" si="91"/>
        <v>1.0566666666666667E-2</v>
      </c>
      <c r="N434" s="7">
        <f t="shared" si="83"/>
        <v>7.7353301623209513E-3</v>
      </c>
      <c r="O434" s="7">
        <f t="shared" si="89"/>
        <v>-0.26794982690968916</v>
      </c>
      <c r="P434" s="6">
        <f t="shared" si="84"/>
        <v>1025523.5603877187</v>
      </c>
      <c r="Q434" s="6">
        <f t="shared" si="93"/>
        <v>54450245.779999971</v>
      </c>
      <c r="R434" s="4" t="str">
        <f t="shared" ca="1" si="92"/>
        <v>OK</v>
      </c>
      <c r="S434" s="6">
        <v>1124348</v>
      </c>
      <c r="T434" s="5">
        <v>45213</v>
      </c>
      <c r="U434" s="30" t="str">
        <f t="shared" si="87"/>
        <v>PAGADO</v>
      </c>
    </row>
    <row r="435" spans="1:21" x14ac:dyDescent="0.25">
      <c r="A435" s="4" t="str">
        <f t="shared" si="88"/>
        <v>202310</v>
      </c>
      <c r="B435" s="4" t="s">
        <v>39</v>
      </c>
      <c r="C435" s="4" t="s">
        <v>40</v>
      </c>
      <c r="D435" s="29" t="s">
        <v>41</v>
      </c>
      <c r="E435" s="28">
        <v>45214</v>
      </c>
      <c r="F435" s="4">
        <v>34</v>
      </c>
      <c r="G435" s="4">
        <v>86</v>
      </c>
      <c r="H435" s="6">
        <v>599694.1</v>
      </c>
      <c r="I435" s="6">
        <f>1096000-H435</f>
        <v>496305.9</v>
      </c>
      <c r="J435" s="6">
        <v>0</v>
      </c>
      <c r="K435" s="6">
        <v>0</v>
      </c>
      <c r="L435" s="6">
        <f t="shared" si="90"/>
        <v>0</v>
      </c>
      <c r="M435" s="7">
        <f t="shared" si="91"/>
        <v>1.0566666666666667E-2</v>
      </c>
      <c r="N435" s="7">
        <f t="shared" si="83"/>
        <v>9.1148514187661817E-3</v>
      </c>
      <c r="O435" s="7">
        <f t="shared" si="89"/>
        <v>-0.13739576478553484</v>
      </c>
      <c r="P435" s="6">
        <f t="shared" si="84"/>
        <v>1096000</v>
      </c>
      <c r="Q435" s="6">
        <f t="shared" si="93"/>
        <v>53850551.67999997</v>
      </c>
      <c r="R435" s="4" t="str">
        <f t="shared" ca="1" si="92"/>
        <v>OK</v>
      </c>
      <c r="S435" s="6">
        <v>1130000</v>
      </c>
      <c r="T435" s="5">
        <v>45244</v>
      </c>
      <c r="U435" s="30" t="str">
        <f t="shared" si="87"/>
        <v>PAGADO</v>
      </c>
    </row>
    <row r="436" spans="1:21" x14ac:dyDescent="0.25">
      <c r="A436" s="4" t="str">
        <f t="shared" si="88"/>
        <v>202311</v>
      </c>
      <c r="B436" s="4" t="s">
        <v>39</v>
      </c>
      <c r="C436" s="4" t="s">
        <v>40</v>
      </c>
      <c r="D436" s="29" t="s">
        <v>41</v>
      </c>
      <c r="E436" s="28">
        <v>45245</v>
      </c>
      <c r="F436" s="4">
        <v>35</v>
      </c>
      <c r="G436" s="4">
        <v>85</v>
      </c>
      <c r="H436" s="6">
        <v>599694.1</v>
      </c>
      <c r="I436" s="6">
        <v>414919.28102758381</v>
      </c>
      <c r="J436" s="6">
        <v>0</v>
      </c>
      <c r="K436" s="6">
        <v>0</v>
      </c>
      <c r="L436" s="6">
        <f t="shared" si="90"/>
        <v>0</v>
      </c>
      <c r="M436" s="7">
        <f t="shared" si="91"/>
        <v>1.0566666666666667E-2</v>
      </c>
      <c r="N436" s="7">
        <f t="shared" si="83"/>
        <v>7.7050144907184733E-3</v>
      </c>
      <c r="O436" s="7">
        <f t="shared" si="89"/>
        <v>-0.27081881791307827</v>
      </c>
      <c r="P436" s="6">
        <f t="shared" si="84"/>
        <v>1014613.3810275837</v>
      </c>
      <c r="Q436" s="6">
        <f t="shared" si="93"/>
        <v>53250857.579999968</v>
      </c>
      <c r="R436" s="4" t="str">
        <f t="shared" ca="1" si="92"/>
        <v>OK</v>
      </c>
      <c r="S436" s="6">
        <v>1050000</v>
      </c>
      <c r="T436" s="5">
        <v>45276</v>
      </c>
      <c r="U436" s="30" t="str">
        <f t="shared" si="87"/>
        <v>PAGADO</v>
      </c>
    </row>
    <row r="437" spans="1:21" x14ac:dyDescent="0.25">
      <c r="A437" s="4" t="str">
        <f t="shared" si="88"/>
        <v>202312</v>
      </c>
      <c r="B437" s="4" t="s">
        <v>39</v>
      </c>
      <c r="C437" s="4" t="s">
        <v>40</v>
      </c>
      <c r="D437" s="29" t="s">
        <v>41</v>
      </c>
      <c r="E437" s="28">
        <v>45275</v>
      </c>
      <c r="F437" s="4">
        <v>36</v>
      </c>
      <c r="G437" s="4">
        <v>84</v>
      </c>
      <c r="H437" s="6">
        <v>599694.1</v>
      </c>
      <c r="I437" s="6">
        <v>410720.01306157478</v>
      </c>
      <c r="J437" s="6">
        <v>0</v>
      </c>
      <c r="K437" s="6">
        <v>0</v>
      </c>
      <c r="L437" s="6">
        <f t="shared" si="90"/>
        <v>0</v>
      </c>
      <c r="M437" s="7">
        <f t="shared" si="91"/>
        <v>1.0566666666666667E-2</v>
      </c>
      <c r="N437" s="7">
        <f t="shared" si="83"/>
        <v>7.7129276734095933E-3</v>
      </c>
      <c r="O437" s="7">
        <f t="shared" si="89"/>
        <v>-0.27006993627038556</v>
      </c>
      <c r="P437" s="6">
        <f t="shared" si="84"/>
        <v>1010414.1130615748</v>
      </c>
      <c r="Q437" s="6">
        <f t="shared" si="93"/>
        <v>52651163.479999967</v>
      </c>
      <c r="R437" s="4" t="str">
        <f t="shared" ca="1" si="92"/>
        <v>OK</v>
      </c>
      <c r="S437" s="6">
        <v>1500000</v>
      </c>
      <c r="T437" s="5">
        <v>45308</v>
      </c>
      <c r="U437" s="30" t="str">
        <f t="shared" si="87"/>
        <v>PAGADO</v>
      </c>
    </row>
    <row r="438" spans="1:21" x14ac:dyDescent="0.25">
      <c r="A438" s="4" t="str">
        <f t="shared" si="88"/>
        <v>20241</v>
      </c>
      <c r="B438" s="4" t="s">
        <v>39</v>
      </c>
      <c r="C438" s="4" t="s">
        <v>40</v>
      </c>
      <c r="D438" s="29" t="s">
        <v>41</v>
      </c>
      <c r="E438" s="28">
        <v>45306</v>
      </c>
      <c r="F438" s="4">
        <v>37</v>
      </c>
      <c r="G438" s="4">
        <v>83</v>
      </c>
      <c r="H438" s="6">
        <v>599694.1</v>
      </c>
      <c r="I438" s="6">
        <v>406759.89565014135</v>
      </c>
      <c r="J438" s="6">
        <v>0</v>
      </c>
      <c r="K438" s="6">
        <v>0</v>
      </c>
      <c r="L438" s="6">
        <f t="shared" si="90"/>
        <v>0</v>
      </c>
      <c r="M438" s="7">
        <f t="shared" si="91"/>
        <v>1.0566666666666667E-2</v>
      </c>
      <c r="N438" s="7">
        <f t="shared" si="83"/>
        <v>7.7255632879727884E-3</v>
      </c>
      <c r="O438" s="7">
        <f t="shared" si="89"/>
        <v>-0.26887413678490968</v>
      </c>
      <c r="P438" s="6">
        <f t="shared" si="84"/>
        <v>1006453.9956501413</v>
      </c>
      <c r="Q438" s="6">
        <f t="shared" si="93"/>
        <v>52051469.379999965</v>
      </c>
      <c r="R438" s="4" t="str">
        <f t="shared" ca="1" si="92"/>
        <v>OK</v>
      </c>
      <c r="S438" s="6">
        <v>850000</v>
      </c>
      <c r="T438" s="5">
        <v>45336</v>
      </c>
      <c r="U438" s="30" t="str">
        <f t="shared" si="87"/>
        <v>PAGADO</v>
      </c>
    </row>
    <row r="439" spans="1:21" x14ac:dyDescent="0.25">
      <c r="A439" s="4" t="str">
        <f t="shared" si="88"/>
        <v>20242</v>
      </c>
      <c r="B439" s="4" t="s">
        <v>39</v>
      </c>
      <c r="C439" s="4" t="s">
        <v>40</v>
      </c>
      <c r="D439" s="29" t="s">
        <v>41</v>
      </c>
      <c r="E439" s="28">
        <v>45337</v>
      </c>
      <c r="F439" s="4">
        <v>38</v>
      </c>
      <c r="G439" s="4">
        <v>82</v>
      </c>
      <c r="H439" s="6">
        <v>599694.1</v>
      </c>
      <c r="I439" s="6">
        <v>402010.18951695744</v>
      </c>
      <c r="J439" s="6">
        <v>0</v>
      </c>
      <c r="K439" s="6">
        <v>0</v>
      </c>
      <c r="L439" s="6">
        <f t="shared" si="90"/>
        <v>156453.99565014127</v>
      </c>
      <c r="M439" s="7">
        <f t="shared" si="91"/>
        <v>1.0566666666666667E-2</v>
      </c>
      <c r="N439" s="7">
        <f t="shared" si="83"/>
        <v>7.7233206728919762E-3</v>
      </c>
      <c r="O439" s="7">
        <f t="shared" si="89"/>
        <v>-0.26908637165060167</v>
      </c>
      <c r="P439" s="6">
        <f t="shared" si="84"/>
        <v>1158158.2851670987</v>
      </c>
      <c r="Q439" s="6">
        <f t="shared" si="93"/>
        <v>51451775.279999964</v>
      </c>
      <c r="R439" s="4" t="str">
        <f t="shared" ca="1" si="92"/>
        <v>OK</v>
      </c>
      <c r="S439" s="6">
        <v>0</v>
      </c>
      <c r="T439" s="5">
        <v>45370</v>
      </c>
      <c r="U439" s="30" t="str">
        <f t="shared" si="87"/>
        <v>PAGADO</v>
      </c>
    </row>
    <row r="440" spans="1:21" x14ac:dyDescent="0.25">
      <c r="A440" s="4" t="str">
        <f t="shared" si="88"/>
        <v>20243</v>
      </c>
      <c r="B440" s="4" t="s">
        <v>39</v>
      </c>
      <c r="C440" s="4" t="s">
        <v>40</v>
      </c>
      <c r="D440" s="29" t="s">
        <v>41</v>
      </c>
      <c r="E440" s="28">
        <v>45366</v>
      </c>
      <c r="F440" s="4">
        <v>39</v>
      </c>
      <c r="G440" s="4">
        <v>81</v>
      </c>
      <c r="H440" s="6">
        <v>599694.1</v>
      </c>
      <c r="I440" s="6">
        <v>397543.54988148418</v>
      </c>
      <c r="J440" s="6">
        <v>0</v>
      </c>
      <c r="K440" s="6">
        <v>0</v>
      </c>
      <c r="L440" s="6">
        <f t="shared" si="90"/>
        <v>1158158.2851670987</v>
      </c>
      <c r="M440" s="7">
        <f t="shared" si="91"/>
        <v>1.0566666666666667E-2</v>
      </c>
      <c r="N440" s="7">
        <f t="shared" si="83"/>
        <v>7.7265273689402711E-3</v>
      </c>
      <c r="O440" s="7">
        <f t="shared" si="89"/>
        <v>-0.26878289883846018</v>
      </c>
      <c r="P440" s="6">
        <f t="shared" si="84"/>
        <v>2155395.935048583</v>
      </c>
      <c r="Q440" s="6">
        <f t="shared" si="93"/>
        <v>50852081.179999962</v>
      </c>
      <c r="R440" s="4" t="str">
        <f t="shared" ca="1" si="92"/>
        <v>OK</v>
      </c>
      <c r="S440" s="6">
        <v>2400000</v>
      </c>
      <c r="T440" s="5">
        <v>45370</v>
      </c>
      <c r="U440" s="30" t="str">
        <f t="shared" si="87"/>
        <v>PAGADO</v>
      </c>
    </row>
    <row r="441" spans="1:21" x14ac:dyDescent="0.25">
      <c r="A441" s="4" t="str">
        <f t="shared" si="88"/>
        <v>20244</v>
      </c>
      <c r="B441" s="4" t="s">
        <v>39</v>
      </c>
      <c r="C441" s="4" t="s">
        <v>40</v>
      </c>
      <c r="D441" s="29" t="s">
        <v>41</v>
      </c>
      <c r="E441" s="28">
        <v>45397</v>
      </c>
      <c r="F441" s="4">
        <v>40</v>
      </c>
      <c r="G441" s="4">
        <v>80</v>
      </c>
      <c r="H441" s="6">
        <v>599694.1</v>
      </c>
      <c r="I441" s="6">
        <v>393195.33268913819</v>
      </c>
      <c r="J441" s="6">
        <v>0</v>
      </c>
      <c r="K441" s="6">
        <v>0</v>
      </c>
      <c r="L441" s="6">
        <f t="shared" si="90"/>
        <v>0</v>
      </c>
      <c r="M441" s="7">
        <f t="shared" si="91"/>
        <v>1.0566666666666667E-2</v>
      </c>
      <c r="N441" s="7">
        <f t="shared" ref="N441:N504" si="94">I441/Q440</f>
        <v>7.7321384605155792E-3</v>
      </c>
      <c r="O441" s="7">
        <f t="shared" si="89"/>
        <v>-0.26825188070830486</v>
      </c>
      <c r="P441" s="6">
        <f t="shared" ref="P441:P504" si="95">H441+I441+J441+K441+L441</f>
        <v>992889.43268913822</v>
      </c>
      <c r="Q441" s="6">
        <f t="shared" si="93"/>
        <v>50252387.079999961</v>
      </c>
      <c r="R441" s="4" t="str">
        <f t="shared" ca="1" si="92"/>
        <v>OK</v>
      </c>
      <c r="S441" s="6">
        <v>1050000</v>
      </c>
      <c r="T441" s="5">
        <v>45399</v>
      </c>
      <c r="U441" s="30" t="str">
        <f t="shared" si="87"/>
        <v>PAGADO</v>
      </c>
    </row>
    <row r="442" spans="1:21" x14ac:dyDescent="0.25">
      <c r="A442" s="4" t="str">
        <f t="shared" si="88"/>
        <v>20245</v>
      </c>
      <c r="B442" s="4" t="s">
        <v>39</v>
      </c>
      <c r="C442" s="4" t="s">
        <v>40</v>
      </c>
      <c r="D442" s="29" t="s">
        <v>41</v>
      </c>
      <c r="E442" s="28">
        <v>45427</v>
      </c>
      <c r="F442" s="4">
        <v>41</v>
      </c>
      <c r="G442" s="4">
        <v>79</v>
      </c>
      <c r="H442" s="6">
        <v>599694.1</v>
      </c>
      <c r="I442" s="6">
        <v>388811.79107216606</v>
      </c>
      <c r="J442" s="6">
        <v>0</v>
      </c>
      <c r="K442" s="6">
        <v>0</v>
      </c>
      <c r="L442" s="6">
        <f t="shared" si="90"/>
        <v>0</v>
      </c>
      <c r="M442" s="7">
        <f t="shared" si="91"/>
        <v>1.0566666666666667E-2</v>
      </c>
      <c r="N442" s="7">
        <f t="shared" si="94"/>
        <v>7.737180533398183E-3</v>
      </c>
      <c r="O442" s="7">
        <f t="shared" si="89"/>
        <v>-0.26777471292761679</v>
      </c>
      <c r="P442" s="6">
        <f t="shared" si="95"/>
        <v>988505.89107216604</v>
      </c>
      <c r="Q442" s="6">
        <f t="shared" si="93"/>
        <v>49652692.979999959</v>
      </c>
      <c r="R442" s="4" t="str">
        <f t="shared" ca="1" si="92"/>
        <v>OK</v>
      </c>
      <c r="S442" s="6">
        <v>1200000</v>
      </c>
      <c r="T442" s="5">
        <v>45428</v>
      </c>
      <c r="U442" s="30" t="str">
        <f t="shared" si="87"/>
        <v>PAGADO</v>
      </c>
    </row>
    <row r="443" spans="1:21" x14ac:dyDescent="0.25">
      <c r="A443" s="4" t="str">
        <f t="shared" si="88"/>
        <v>20246</v>
      </c>
      <c r="B443" s="4" t="s">
        <v>39</v>
      </c>
      <c r="C443" s="4" t="s">
        <v>40</v>
      </c>
      <c r="D443" s="29" t="s">
        <v>41</v>
      </c>
      <c r="E443" s="28">
        <v>45458</v>
      </c>
      <c r="F443" s="4">
        <v>42</v>
      </c>
      <c r="G443" s="4">
        <v>78</v>
      </c>
      <c r="H443" s="6">
        <v>599694.1</v>
      </c>
      <c r="I443" s="6">
        <v>384328.10399076698</v>
      </c>
      <c r="J443" s="6">
        <v>0</v>
      </c>
      <c r="K443" s="6">
        <v>0</v>
      </c>
      <c r="L443" s="6">
        <f t="shared" si="90"/>
        <v>0</v>
      </c>
      <c r="M443" s="7">
        <f t="shared" si="91"/>
        <v>1.0566666666666667E-2</v>
      </c>
      <c r="N443" s="7">
        <f t="shared" si="94"/>
        <v>7.7403274812420314E-3</v>
      </c>
      <c r="O443" s="7">
        <f t="shared" si="89"/>
        <v>-0.2674768945196816</v>
      </c>
      <c r="P443" s="6">
        <f t="shared" si="95"/>
        <v>984022.20399076701</v>
      </c>
      <c r="Q443" s="6">
        <f t="shared" si="93"/>
        <v>49052998.879999958</v>
      </c>
      <c r="R443" s="4" t="str">
        <f t="shared" ca="1" si="92"/>
        <v>OK</v>
      </c>
      <c r="S443" s="6">
        <v>960000</v>
      </c>
      <c r="T443" s="5">
        <v>45461</v>
      </c>
      <c r="U443" s="30" t="str">
        <f t="shared" si="87"/>
        <v>PAGADO</v>
      </c>
    </row>
    <row r="444" spans="1:21" x14ac:dyDescent="0.25">
      <c r="A444" s="4" t="str">
        <f t="shared" si="88"/>
        <v>20247</v>
      </c>
      <c r="B444" s="4" t="s">
        <v>39</v>
      </c>
      <c r="C444" s="4" t="s">
        <v>40</v>
      </c>
      <c r="D444" s="29" t="s">
        <v>41</v>
      </c>
      <c r="E444" s="28">
        <v>45488</v>
      </c>
      <c r="F444" s="4">
        <v>43</v>
      </c>
      <c r="G444" s="4">
        <v>77</v>
      </c>
      <c r="H444" s="6">
        <v>599694.1</v>
      </c>
      <c r="I444" s="6">
        <v>379907.33517528506</v>
      </c>
      <c r="J444" s="6">
        <v>0</v>
      </c>
      <c r="K444" s="6">
        <v>0</v>
      </c>
      <c r="L444" s="6">
        <f t="shared" si="90"/>
        <v>24022.203990767011</v>
      </c>
      <c r="M444" s="7">
        <f t="shared" si="91"/>
        <v>1.0566666666666667E-2</v>
      </c>
      <c r="N444" s="7">
        <f t="shared" si="94"/>
        <v>7.7448340335861112E-3</v>
      </c>
      <c r="O444" s="7">
        <f t="shared" si="89"/>
        <v>-0.2670504069161409</v>
      </c>
      <c r="P444" s="6">
        <f>H444+I444+J444+K444+L444</f>
        <v>1003623.639166052</v>
      </c>
      <c r="Q444" s="6">
        <f t="shared" si="93"/>
        <v>48453304.779999956</v>
      </c>
      <c r="R444" s="4" t="str">
        <f t="shared" ca="1" si="92"/>
        <v>OK</v>
      </c>
      <c r="S444" s="6">
        <v>1110000</v>
      </c>
      <c r="T444" s="5">
        <v>45505</v>
      </c>
      <c r="U444" s="30" t="str">
        <f t="shared" si="87"/>
        <v>PAGADO</v>
      </c>
    </row>
    <row r="445" spans="1:21" x14ac:dyDescent="0.25">
      <c r="A445" s="4" t="str">
        <f t="shared" si="88"/>
        <v>20248</v>
      </c>
      <c r="B445" s="4" t="s">
        <v>39</v>
      </c>
      <c r="C445" s="4" t="s">
        <v>40</v>
      </c>
      <c r="D445" s="29" t="s">
        <v>41</v>
      </c>
      <c r="E445" s="28">
        <v>45519</v>
      </c>
      <c r="F445" s="4">
        <v>44</v>
      </c>
      <c r="G445" s="4">
        <v>76</v>
      </c>
      <c r="H445" s="6">
        <v>599694.1</v>
      </c>
      <c r="I445" s="6">
        <v>375497.39042360435</v>
      </c>
      <c r="J445" s="6">
        <v>0</v>
      </c>
      <c r="K445" s="6">
        <v>0</v>
      </c>
      <c r="L445" s="6">
        <f t="shared" si="90"/>
        <v>0</v>
      </c>
      <c r="M445" s="7">
        <f t="shared" si="91"/>
        <v>1.0566666666666667E-2</v>
      </c>
      <c r="N445" s="7">
        <f t="shared" si="94"/>
        <v>7.749675530462438E-3</v>
      </c>
      <c r="O445" s="7">
        <f t="shared" si="89"/>
        <v>-0.26659222109188285</v>
      </c>
      <c r="P445" s="6">
        <f t="shared" si="95"/>
        <v>975191.49042360438</v>
      </c>
      <c r="Q445" s="6">
        <f t="shared" si="93"/>
        <v>47853610.679999955</v>
      </c>
      <c r="R445" s="4" t="str">
        <f t="shared" ca="1" si="92"/>
        <v>OK</v>
      </c>
      <c r="S445" s="6">
        <v>1110000</v>
      </c>
      <c r="T445" s="5">
        <v>45532</v>
      </c>
      <c r="U445" s="30" t="str">
        <f t="shared" si="87"/>
        <v>PAGADO</v>
      </c>
    </row>
    <row r="446" spans="1:21" x14ac:dyDescent="0.25">
      <c r="A446" s="4" t="str">
        <f t="shared" si="88"/>
        <v>20249</v>
      </c>
      <c r="B446" s="4" t="s">
        <v>39</v>
      </c>
      <c r="C446" s="4" t="s">
        <v>40</v>
      </c>
      <c r="D446" s="29" t="s">
        <v>41</v>
      </c>
      <c r="E446" s="28">
        <v>45550</v>
      </c>
      <c r="F446" s="4">
        <v>45</v>
      </c>
      <c r="G446" s="4">
        <v>75</v>
      </c>
      <c r="H446" s="6">
        <v>599694.1</v>
      </c>
      <c r="I446" s="6">
        <v>371072.86211476254</v>
      </c>
      <c r="J446" s="6">
        <v>0</v>
      </c>
      <c r="K446" s="6">
        <v>0</v>
      </c>
      <c r="L446" s="6">
        <f t="shared" si="90"/>
        <v>0</v>
      </c>
      <c r="M446" s="7">
        <f t="shared" si="91"/>
        <v>1.0566666666666667E-2</v>
      </c>
      <c r="N446" s="7">
        <f t="shared" si="94"/>
        <v>7.7543336195914168E-3</v>
      </c>
      <c r="O446" s="7">
        <f t="shared" si="89"/>
        <v>-0.26615139246768926</v>
      </c>
      <c r="P446" s="6">
        <f t="shared" si="95"/>
        <v>970766.96211476251</v>
      </c>
      <c r="Q446" s="6">
        <f t="shared" si="93"/>
        <v>47253916.579999954</v>
      </c>
      <c r="R446" s="4">
        <f t="shared" ca="1" si="92"/>
        <v>-12</v>
      </c>
      <c r="S446" s="6"/>
      <c r="T446" s="5"/>
      <c r="U446" s="30" t="str">
        <f t="shared" si="87"/>
        <v>PENDIENTE</v>
      </c>
    </row>
    <row r="447" spans="1:21" x14ac:dyDescent="0.25">
      <c r="A447" s="4" t="str">
        <f t="shared" si="88"/>
        <v>202410</v>
      </c>
      <c r="B447" s="4" t="s">
        <v>39</v>
      </c>
      <c r="C447" s="4" t="s">
        <v>40</v>
      </c>
      <c r="D447" s="29" t="s">
        <v>41</v>
      </c>
      <c r="E447" s="28">
        <v>45580</v>
      </c>
      <c r="F447" s="4">
        <v>46</v>
      </c>
      <c r="G447" s="4">
        <v>74</v>
      </c>
      <c r="H447" s="6">
        <v>599694.1</v>
      </c>
      <c r="I447" s="6">
        <v>366638.66932830442</v>
      </c>
      <c r="J447" s="6">
        <v>0</v>
      </c>
      <c r="K447" s="6">
        <v>0</v>
      </c>
      <c r="L447" s="6">
        <f t="shared" si="90"/>
        <v>0</v>
      </c>
      <c r="M447" s="7">
        <f t="shared" si="91"/>
        <v>1.0566666666666667E-2</v>
      </c>
      <c r="N447" s="7">
        <f t="shared" si="94"/>
        <v>7.7589054170270171E-3</v>
      </c>
      <c r="O447" s="7">
        <f t="shared" si="89"/>
        <v>-0.26571873024980908</v>
      </c>
      <c r="P447" s="6">
        <f t="shared" si="95"/>
        <v>966332.76932830433</v>
      </c>
      <c r="Q447" s="6">
        <f t="shared" si="93"/>
        <v>46654222.479999952</v>
      </c>
      <c r="R447" s="4">
        <f t="shared" ca="1" si="92"/>
        <v>-12</v>
      </c>
      <c r="S447" s="6"/>
      <c r="T447" s="5"/>
      <c r="U447" s="30" t="str">
        <f t="shared" si="87"/>
        <v>PENDIENTE</v>
      </c>
    </row>
    <row r="448" spans="1:21" x14ac:dyDescent="0.25">
      <c r="A448" s="4" t="str">
        <f t="shared" si="88"/>
        <v>202411</v>
      </c>
      <c r="B448" s="4" t="s">
        <v>39</v>
      </c>
      <c r="C448" s="4" t="s">
        <v>40</v>
      </c>
      <c r="D448" s="29" t="s">
        <v>41</v>
      </c>
      <c r="E448" s="28">
        <v>45611</v>
      </c>
      <c r="F448" s="4">
        <v>47</v>
      </c>
      <c r="G448" s="4">
        <v>73</v>
      </c>
      <c r="H448" s="6">
        <v>599694.1</v>
      </c>
      <c r="I448" s="6">
        <v>362216.1502130311</v>
      </c>
      <c r="J448" s="6">
        <v>0</v>
      </c>
      <c r="K448" s="6">
        <v>0</v>
      </c>
      <c r="L448" s="6">
        <f t="shared" si="90"/>
        <v>0</v>
      </c>
      <c r="M448" s="7">
        <f t="shared" si="91"/>
        <v>1.0566666666666667E-2</v>
      </c>
      <c r="N448" s="7">
        <f t="shared" si="94"/>
        <v>7.763844963192954E-3</v>
      </c>
      <c r="O448" s="7">
        <f t="shared" si="89"/>
        <v>-0.26525126531296972</v>
      </c>
      <c r="P448" s="6">
        <f t="shared" si="95"/>
        <v>961910.25021303107</v>
      </c>
      <c r="Q448" s="6">
        <f t="shared" si="93"/>
        <v>46054528.379999951</v>
      </c>
      <c r="R448" s="4">
        <f t="shared" ca="1" si="92"/>
        <v>-42</v>
      </c>
      <c r="S448" s="6"/>
      <c r="T448" s="5"/>
      <c r="U448" s="30" t="str">
        <f t="shared" si="87"/>
        <v>PENDIENTE</v>
      </c>
    </row>
    <row r="449" spans="1:21" x14ac:dyDescent="0.25">
      <c r="A449" s="4" t="str">
        <f t="shared" si="88"/>
        <v>202412</v>
      </c>
      <c r="B449" s="4" t="s">
        <v>39</v>
      </c>
      <c r="C449" s="4" t="s">
        <v>40</v>
      </c>
      <c r="D449" s="29" t="s">
        <v>41</v>
      </c>
      <c r="E449" s="28">
        <v>45641</v>
      </c>
      <c r="F449" s="4">
        <v>48</v>
      </c>
      <c r="G449" s="4">
        <v>72</v>
      </c>
      <c r="H449" s="6">
        <v>599694.1</v>
      </c>
      <c r="I449" s="6">
        <v>357793.21526887908</v>
      </c>
      <c r="J449" s="6">
        <v>0</v>
      </c>
      <c r="K449" s="6">
        <v>0</v>
      </c>
      <c r="L449" s="6">
        <f t="shared" si="90"/>
        <v>0</v>
      </c>
      <c r="M449" s="7">
        <f t="shared" si="91"/>
        <v>1.0566666666666667E-2</v>
      </c>
      <c r="N449" s="7">
        <f t="shared" si="94"/>
        <v>7.7689041198445441E-3</v>
      </c>
      <c r="O449" s="7">
        <f t="shared" si="89"/>
        <v>-0.2647724807718097</v>
      </c>
      <c r="P449" s="6">
        <f t="shared" si="95"/>
        <v>957487.31526887906</v>
      </c>
      <c r="Q449" s="6">
        <f t="shared" si="93"/>
        <v>45454834.279999949</v>
      </c>
      <c r="R449" s="4">
        <f t="shared" ca="1" si="92"/>
        <v>-73</v>
      </c>
      <c r="S449" s="6"/>
      <c r="T449" s="5"/>
      <c r="U449" s="30" t="str">
        <f t="shared" si="87"/>
        <v>PENDIENTE</v>
      </c>
    </row>
    <row r="450" spans="1:21" x14ac:dyDescent="0.25">
      <c r="A450" s="4" t="str">
        <f t="shared" si="88"/>
        <v>20251</v>
      </c>
      <c r="B450" s="4" t="s">
        <v>39</v>
      </c>
      <c r="C450" s="4" t="s">
        <v>40</v>
      </c>
      <c r="D450" s="29" t="s">
        <v>41</v>
      </c>
      <c r="E450" s="28">
        <v>45672</v>
      </c>
      <c r="F450" s="4">
        <v>49</v>
      </c>
      <c r="G450" s="4">
        <v>71</v>
      </c>
      <c r="H450" s="6">
        <v>599694.1</v>
      </c>
      <c r="I450" s="6">
        <v>353367.22086949483</v>
      </c>
      <c r="J450" s="6">
        <v>0</v>
      </c>
      <c r="K450" s="6">
        <v>0</v>
      </c>
      <c r="L450" s="6">
        <f t="shared" si="90"/>
        <v>0</v>
      </c>
      <c r="M450" s="7">
        <f t="shared" si="91"/>
        <v>1.0566666666666667E-2</v>
      </c>
      <c r="N450" s="7">
        <f t="shared" si="94"/>
        <v>7.7740294617018504E-3</v>
      </c>
      <c r="O450" s="7">
        <f t="shared" si="89"/>
        <v>-0.26428743264651255</v>
      </c>
      <c r="P450" s="6">
        <f t="shared" si="95"/>
        <v>953061.32086949481</v>
      </c>
      <c r="Q450" s="6">
        <f t="shared" si="93"/>
        <v>44855140.179999948</v>
      </c>
      <c r="R450" s="4">
        <f t="shared" ca="1" si="92"/>
        <v>-103</v>
      </c>
      <c r="S450" s="6"/>
      <c r="T450" s="5"/>
      <c r="U450" s="30" t="str">
        <f t="shared" ref="U450:U513" si="96">IF(AND(S450="",T450=""),"PENDIENTE",IF(AND(S450&lt;&gt;"",T450&lt;&gt;""),"PAGADO","ABONADO"))</f>
        <v>PENDIENTE</v>
      </c>
    </row>
    <row r="451" spans="1:21" x14ac:dyDescent="0.25">
      <c r="A451" s="4" t="str">
        <f t="shared" ref="A451:A514" si="97">CONCATENATE(YEAR($E451),MONTH($E451))</f>
        <v>20252</v>
      </c>
      <c r="B451" s="4" t="s">
        <v>39</v>
      </c>
      <c r="C451" s="4" t="s">
        <v>40</v>
      </c>
      <c r="D451" s="29" t="s">
        <v>41</v>
      </c>
      <c r="E451" s="28">
        <v>45703</v>
      </c>
      <c r="F451" s="4">
        <v>50</v>
      </c>
      <c r="G451" s="4">
        <v>70</v>
      </c>
      <c r="H451" s="6">
        <v>599694.1</v>
      </c>
      <c r="I451" s="6">
        <v>348940.88298041385</v>
      </c>
      <c r="J451" s="6">
        <v>0</v>
      </c>
      <c r="K451" s="6">
        <v>0</v>
      </c>
      <c r="L451" s="6">
        <f t="shared" si="90"/>
        <v>0</v>
      </c>
      <c r="M451" s="7">
        <f t="shared" si="91"/>
        <v>1.0566666666666667E-2</v>
      </c>
      <c r="N451" s="7">
        <f t="shared" si="94"/>
        <v>7.7792841930744861E-3</v>
      </c>
      <c r="O451" s="7">
        <f t="shared" si="89"/>
        <v>-0.26379013945667329</v>
      </c>
      <c r="P451" s="6">
        <f t="shared" si="95"/>
        <v>948634.98298041383</v>
      </c>
      <c r="Q451" s="6">
        <f t="shared" si="93"/>
        <v>44255446.079999946</v>
      </c>
      <c r="R451" s="4">
        <f t="shared" ca="1" si="92"/>
        <v>-134</v>
      </c>
      <c r="S451" s="6"/>
      <c r="T451" s="5"/>
      <c r="U451" s="30" t="str">
        <f t="shared" si="96"/>
        <v>PENDIENTE</v>
      </c>
    </row>
    <row r="452" spans="1:21" x14ac:dyDescent="0.25">
      <c r="A452" s="4" t="str">
        <f t="shared" si="97"/>
        <v>20253</v>
      </c>
      <c r="B452" s="4" t="s">
        <v>39</v>
      </c>
      <c r="C452" s="4" t="s">
        <v>40</v>
      </c>
      <c r="D452" s="29" t="s">
        <v>41</v>
      </c>
      <c r="E452" s="28">
        <v>45731</v>
      </c>
      <c r="F452" s="4">
        <v>51</v>
      </c>
      <c r="G452" s="4">
        <v>69</v>
      </c>
      <c r="H452" s="6">
        <v>599694.1</v>
      </c>
      <c r="I452" s="6">
        <v>344516.39205801283</v>
      </c>
      <c r="J452" s="6">
        <v>0</v>
      </c>
      <c r="K452" s="6">
        <v>0</v>
      </c>
      <c r="L452" s="6">
        <f t="shared" si="90"/>
        <v>0</v>
      </c>
      <c r="M452" s="7">
        <f t="shared" si="91"/>
        <v>1.0566666666666667E-2</v>
      </c>
      <c r="N452" s="7">
        <f t="shared" si="94"/>
        <v>7.7847230696813088E-3</v>
      </c>
      <c r="O452" s="7">
        <f t="shared" si="89"/>
        <v>-0.26327541927306231</v>
      </c>
      <c r="P452" s="6">
        <f t="shared" si="95"/>
        <v>944210.49205801287</v>
      </c>
      <c r="Q452" s="6">
        <f t="shared" si="93"/>
        <v>43655751.979999945</v>
      </c>
      <c r="R452" s="4">
        <f t="shared" ca="1" si="92"/>
        <v>-165</v>
      </c>
      <c r="S452" s="6"/>
      <c r="T452" s="5"/>
      <c r="U452" s="30" t="str">
        <f t="shared" si="96"/>
        <v>PENDIENTE</v>
      </c>
    </row>
    <row r="453" spans="1:21" x14ac:dyDescent="0.25">
      <c r="A453" s="4" t="str">
        <f t="shared" si="97"/>
        <v>20254</v>
      </c>
      <c r="B453" s="4" t="s">
        <v>39</v>
      </c>
      <c r="C453" s="4" t="s">
        <v>40</v>
      </c>
      <c r="D453" s="29" t="s">
        <v>41</v>
      </c>
      <c r="E453" s="28">
        <v>45762</v>
      </c>
      <c r="F453" s="4">
        <v>52</v>
      </c>
      <c r="G453" s="4">
        <v>68</v>
      </c>
      <c r="H453" s="6">
        <v>599694.1</v>
      </c>
      <c r="I453" s="6">
        <v>340091.43721238733</v>
      </c>
      <c r="J453" s="6">
        <v>0</v>
      </c>
      <c r="K453" s="6">
        <v>0</v>
      </c>
      <c r="L453" s="6">
        <f t="shared" si="90"/>
        <v>0</v>
      </c>
      <c r="M453" s="7">
        <f t="shared" si="91"/>
        <v>1.0566666666666667E-2</v>
      </c>
      <c r="N453" s="7">
        <f t="shared" si="94"/>
        <v>7.7903007458946941E-3</v>
      </c>
      <c r="O453" s="7">
        <f t="shared" si="89"/>
        <v>-0.26274756347999739</v>
      </c>
      <c r="P453" s="6">
        <f t="shared" si="95"/>
        <v>939785.53721238731</v>
      </c>
      <c r="Q453" s="6">
        <f t="shared" si="93"/>
        <v>43056057.879999943</v>
      </c>
      <c r="R453" s="4">
        <f t="shared" ca="1" si="92"/>
        <v>-193</v>
      </c>
      <c r="S453" s="6"/>
      <c r="T453" s="5"/>
      <c r="U453" s="30" t="str">
        <f t="shared" si="96"/>
        <v>PENDIENTE</v>
      </c>
    </row>
    <row r="454" spans="1:21" x14ac:dyDescent="0.25">
      <c r="A454" s="4" t="str">
        <f t="shared" si="97"/>
        <v>20255</v>
      </c>
      <c r="B454" s="4" t="s">
        <v>39</v>
      </c>
      <c r="C454" s="4" t="s">
        <v>40</v>
      </c>
      <c r="D454" s="29" t="s">
        <v>41</v>
      </c>
      <c r="E454" s="28">
        <v>45792</v>
      </c>
      <c r="F454" s="4">
        <v>53</v>
      </c>
      <c r="G454" s="4">
        <v>67</v>
      </c>
      <c r="H454" s="6">
        <v>599694.1</v>
      </c>
      <c r="I454" s="6">
        <v>335666.00824057282</v>
      </c>
      <c r="J454" s="6">
        <v>0</v>
      </c>
      <c r="K454" s="6">
        <v>0</v>
      </c>
      <c r="L454" s="6">
        <f t="shared" si="90"/>
        <v>0</v>
      </c>
      <c r="M454" s="7">
        <f t="shared" si="91"/>
        <v>1.0566666666666667E-2</v>
      </c>
      <c r="N454" s="7">
        <f t="shared" si="94"/>
        <v>7.7960227844382779E-3</v>
      </c>
      <c r="O454" s="7">
        <f t="shared" si="89"/>
        <v>-0.26220604563675609</v>
      </c>
      <c r="P454" s="6">
        <f t="shared" si="95"/>
        <v>935360.10824057274</v>
      </c>
      <c r="Q454" s="6">
        <f t="shared" si="93"/>
        <v>42456363.779999942</v>
      </c>
      <c r="R454" s="4">
        <f t="shared" ca="1" si="92"/>
        <v>-224</v>
      </c>
      <c r="S454" s="6"/>
      <c r="T454" s="5"/>
      <c r="U454" s="30" t="str">
        <f t="shared" si="96"/>
        <v>PENDIENTE</v>
      </c>
    </row>
    <row r="455" spans="1:21" x14ac:dyDescent="0.25">
      <c r="A455" s="4" t="str">
        <f t="shared" si="97"/>
        <v>20256</v>
      </c>
      <c r="B455" s="4" t="s">
        <v>39</v>
      </c>
      <c r="C455" s="4" t="s">
        <v>40</v>
      </c>
      <c r="D455" s="29" t="s">
        <v>41</v>
      </c>
      <c r="E455" s="28">
        <v>45823</v>
      </c>
      <c r="F455" s="4">
        <v>54</v>
      </c>
      <c r="G455" s="4">
        <v>66</v>
      </c>
      <c r="H455" s="6">
        <v>599694.1</v>
      </c>
      <c r="I455" s="6">
        <v>331240.71216390352</v>
      </c>
      <c r="J455" s="6">
        <v>0</v>
      </c>
      <c r="K455" s="6">
        <v>0</v>
      </c>
      <c r="L455" s="6">
        <f t="shared" si="90"/>
        <v>0</v>
      </c>
      <c r="M455" s="7">
        <f t="shared" si="91"/>
        <v>1.0566666666666667E-2</v>
      </c>
      <c r="N455" s="7">
        <f t="shared" si="94"/>
        <v>7.8019096001797064E-3</v>
      </c>
      <c r="O455" s="7">
        <f t="shared" si="89"/>
        <v>-0.26164893373693632</v>
      </c>
      <c r="P455" s="6">
        <f t="shared" si="95"/>
        <v>930934.81216390349</v>
      </c>
      <c r="Q455" s="6">
        <f t="shared" si="93"/>
        <v>41856669.67999994</v>
      </c>
      <c r="R455" s="4">
        <f t="shared" ca="1" si="92"/>
        <v>-254</v>
      </c>
      <c r="S455" s="6"/>
      <c r="T455" s="5"/>
      <c r="U455" s="30" t="str">
        <f t="shared" si="96"/>
        <v>PENDIENTE</v>
      </c>
    </row>
    <row r="456" spans="1:21" x14ac:dyDescent="0.25">
      <c r="A456" s="4" t="str">
        <f t="shared" si="97"/>
        <v>20257</v>
      </c>
      <c r="B456" s="4" t="s">
        <v>39</v>
      </c>
      <c r="C456" s="4" t="s">
        <v>40</v>
      </c>
      <c r="D456" s="29" t="s">
        <v>41</v>
      </c>
      <c r="E456" s="28">
        <v>45853</v>
      </c>
      <c r="F456" s="4">
        <v>55</v>
      </c>
      <c r="G456" s="4">
        <v>65</v>
      </c>
      <c r="H456" s="6">
        <v>599694.1</v>
      </c>
      <c r="I456" s="6">
        <v>326815.66020491859</v>
      </c>
      <c r="J456" s="6">
        <v>0</v>
      </c>
      <c r="K456" s="6">
        <v>0</v>
      </c>
      <c r="L456" s="6">
        <f t="shared" si="90"/>
        <v>0</v>
      </c>
      <c r="M456" s="7">
        <f t="shared" si="91"/>
        <v>1.0566666666666667E-2</v>
      </c>
      <c r="N456" s="7">
        <f t="shared" si="94"/>
        <v>7.8079709327920676E-3</v>
      </c>
      <c r="O456" s="7">
        <f t="shared" si="89"/>
        <v>-0.2610753060449148</v>
      </c>
      <c r="P456" s="6">
        <f t="shared" si="95"/>
        <v>926509.76020491857</v>
      </c>
      <c r="Q456" s="6">
        <f t="shared" si="93"/>
        <v>41256975.579999939</v>
      </c>
      <c r="R456" s="4">
        <f t="shared" ca="1" si="92"/>
        <v>-285</v>
      </c>
      <c r="S456" s="6"/>
      <c r="T456" s="5"/>
      <c r="U456" s="30" t="str">
        <f t="shared" si="96"/>
        <v>PENDIENTE</v>
      </c>
    </row>
    <row r="457" spans="1:21" x14ac:dyDescent="0.25">
      <c r="A457" s="4" t="str">
        <f t="shared" si="97"/>
        <v>20258</v>
      </c>
      <c r="B457" s="4" t="s">
        <v>39</v>
      </c>
      <c r="C457" s="4" t="s">
        <v>40</v>
      </c>
      <c r="D457" s="29" t="s">
        <v>41</v>
      </c>
      <c r="E457" s="28">
        <v>45884</v>
      </c>
      <c r="F457" s="4">
        <v>56</v>
      </c>
      <c r="G457" s="4">
        <v>64</v>
      </c>
      <c r="H457" s="6">
        <v>599694.1</v>
      </c>
      <c r="I457" s="6">
        <v>322390.47675693029</v>
      </c>
      <c r="J457" s="6">
        <v>0</v>
      </c>
      <c r="K457" s="6">
        <v>0</v>
      </c>
      <c r="L457" s="6">
        <f t="shared" si="90"/>
        <v>0</v>
      </c>
      <c r="M457" s="7">
        <f t="shared" si="91"/>
        <v>1.0566666666666667E-2</v>
      </c>
      <c r="N457" s="7">
        <f t="shared" si="94"/>
        <v>7.8142052883104426E-3</v>
      </c>
      <c r="O457" s="7">
        <f t="shared" si="89"/>
        <v>-0.26048530394538394</v>
      </c>
      <c r="P457" s="6">
        <f t="shared" si="95"/>
        <v>922084.57675693021</v>
      </c>
      <c r="Q457" s="6">
        <f t="shared" si="93"/>
        <v>40657281.479999937</v>
      </c>
      <c r="R457" s="4">
        <f t="shared" ca="1" si="92"/>
        <v>-315</v>
      </c>
      <c r="S457" s="6"/>
      <c r="T457" s="5"/>
      <c r="U457" s="30" t="str">
        <f t="shared" si="96"/>
        <v>PENDIENTE</v>
      </c>
    </row>
    <row r="458" spans="1:21" x14ac:dyDescent="0.25">
      <c r="A458" s="4" t="str">
        <f t="shared" si="97"/>
        <v>20259</v>
      </c>
      <c r="B458" s="4" t="s">
        <v>39</v>
      </c>
      <c r="C458" s="4" t="s">
        <v>40</v>
      </c>
      <c r="D458" s="29" t="s">
        <v>41</v>
      </c>
      <c r="E458" s="28">
        <v>45915</v>
      </c>
      <c r="F458" s="4">
        <v>57</v>
      </c>
      <c r="G458" s="4">
        <v>63</v>
      </c>
      <c r="H458" s="6">
        <v>599694.1</v>
      </c>
      <c r="I458" s="6">
        <v>317965.23986389046</v>
      </c>
      <c r="J458" s="6">
        <v>0</v>
      </c>
      <c r="K458" s="6">
        <v>0</v>
      </c>
      <c r="L458" s="6">
        <f t="shared" si="90"/>
        <v>0</v>
      </c>
      <c r="M458" s="7">
        <f t="shared" si="91"/>
        <v>1.0566666666666667E-2</v>
      </c>
      <c r="N458" s="7">
        <f t="shared" si="94"/>
        <v>7.8206222425447561E-3</v>
      </c>
      <c r="O458" s="7">
        <f t="shared" si="89"/>
        <v>-0.25987802121027548</v>
      </c>
      <c r="P458" s="6">
        <f t="shared" si="95"/>
        <v>917659.33986389043</v>
      </c>
      <c r="Q458" s="6">
        <f t="shared" si="93"/>
        <v>40057587.379999936</v>
      </c>
      <c r="R458" s="4">
        <f t="shared" ca="1" si="92"/>
        <v>-346</v>
      </c>
      <c r="S458" s="6"/>
      <c r="T458" s="5"/>
      <c r="U458" s="30" t="str">
        <f t="shared" si="96"/>
        <v>PENDIENTE</v>
      </c>
    </row>
    <row r="459" spans="1:21" x14ac:dyDescent="0.25">
      <c r="A459" s="4" t="str">
        <f t="shared" si="97"/>
        <v>202510</v>
      </c>
      <c r="B459" s="4" t="s">
        <v>39</v>
      </c>
      <c r="C459" s="4" t="s">
        <v>40</v>
      </c>
      <c r="D459" s="29" t="s">
        <v>41</v>
      </c>
      <c r="E459" s="28">
        <v>45945</v>
      </c>
      <c r="F459" s="4">
        <v>58</v>
      </c>
      <c r="G459" s="4">
        <v>62</v>
      </c>
      <c r="H459" s="6">
        <v>599694.1</v>
      </c>
      <c r="I459" s="6">
        <v>313540.04791017325</v>
      </c>
      <c r="J459" s="6">
        <v>0</v>
      </c>
      <c r="K459" s="6">
        <v>0</v>
      </c>
      <c r="L459" s="6">
        <f t="shared" si="90"/>
        <v>0</v>
      </c>
      <c r="M459" s="7">
        <f t="shared" si="91"/>
        <v>1.0566666666666667E-2</v>
      </c>
      <c r="N459" s="7">
        <f t="shared" si="94"/>
        <v>7.8272324525145622E-3</v>
      </c>
      <c r="O459" s="7">
        <f t="shared" si="89"/>
        <v>-0.25925244928884272</v>
      </c>
      <c r="P459" s="6">
        <f t="shared" si="95"/>
        <v>913234.14791017328</v>
      </c>
      <c r="Q459" s="6">
        <f t="shared" si="93"/>
        <v>39457893.279999934</v>
      </c>
      <c r="R459" s="4">
        <f t="shared" ca="1" si="92"/>
        <v>-377</v>
      </c>
      <c r="S459" s="6"/>
      <c r="T459" s="5"/>
      <c r="U459" s="30" t="str">
        <f t="shared" si="96"/>
        <v>PENDIENTE</v>
      </c>
    </row>
    <row r="460" spans="1:21" x14ac:dyDescent="0.25">
      <c r="A460" s="4" t="str">
        <f t="shared" si="97"/>
        <v>202511</v>
      </c>
      <c r="B460" s="4" t="s">
        <v>39</v>
      </c>
      <c r="C460" s="4" t="s">
        <v>40</v>
      </c>
      <c r="D460" s="29" t="s">
        <v>41</v>
      </c>
      <c r="E460" s="28">
        <v>45976</v>
      </c>
      <c r="F460" s="4">
        <v>59</v>
      </c>
      <c r="G460" s="4">
        <v>61</v>
      </c>
      <c r="H460" s="6">
        <v>599694.1</v>
      </c>
      <c r="I460" s="6">
        <v>309114.88025216712</v>
      </c>
      <c r="J460" s="6">
        <v>0</v>
      </c>
      <c r="K460" s="6">
        <v>0</v>
      </c>
      <c r="L460" s="6">
        <f t="shared" si="90"/>
        <v>0</v>
      </c>
      <c r="M460" s="7">
        <f t="shared" si="91"/>
        <v>1.0566666666666667E-2</v>
      </c>
      <c r="N460" s="7">
        <f t="shared" si="94"/>
        <v>7.8340442065326504E-3</v>
      </c>
      <c r="O460" s="7">
        <f t="shared" si="89"/>
        <v>-0.25860780379817194</v>
      </c>
      <c r="P460" s="6">
        <f t="shared" si="95"/>
        <v>908808.98025216709</v>
      </c>
      <c r="Q460" s="6">
        <f t="shared" si="93"/>
        <v>38858199.179999933</v>
      </c>
      <c r="R460" s="4">
        <f t="shared" ca="1" si="92"/>
        <v>-407</v>
      </c>
      <c r="S460" s="6"/>
      <c r="T460" s="5"/>
      <c r="U460" s="30" t="str">
        <f t="shared" si="96"/>
        <v>PENDIENTE</v>
      </c>
    </row>
    <row r="461" spans="1:21" x14ac:dyDescent="0.25">
      <c r="A461" s="4" t="str">
        <f t="shared" si="97"/>
        <v>202512</v>
      </c>
      <c r="B461" s="4" t="s">
        <v>39</v>
      </c>
      <c r="C461" s="4" t="s">
        <v>40</v>
      </c>
      <c r="D461" s="29" t="s">
        <v>41</v>
      </c>
      <c r="E461" s="28">
        <v>46006</v>
      </c>
      <c r="F461" s="4">
        <v>60</v>
      </c>
      <c r="G461" s="4">
        <v>60</v>
      </c>
      <c r="H461" s="6">
        <v>599694.1</v>
      </c>
      <c r="I461" s="6">
        <v>304689.68558447663</v>
      </c>
      <c r="J461" s="6">
        <v>0</v>
      </c>
      <c r="K461" s="6">
        <v>0</v>
      </c>
      <c r="L461" s="6">
        <f t="shared" si="90"/>
        <v>0</v>
      </c>
      <c r="M461" s="7">
        <f t="shared" si="91"/>
        <v>1.0566666666666667E-2</v>
      </c>
      <c r="N461" s="7">
        <f t="shared" si="94"/>
        <v>7.8410655154935345E-3</v>
      </c>
      <c r="O461" s="7">
        <f t="shared" si="89"/>
        <v>-0.25794332660944475</v>
      </c>
      <c r="P461" s="6">
        <f t="shared" si="95"/>
        <v>904383.78558447654</v>
      </c>
      <c r="Q461" s="6">
        <f t="shared" si="93"/>
        <v>38258505.079999931</v>
      </c>
      <c r="R461" s="4">
        <f t="shared" ca="1" si="92"/>
        <v>-438</v>
      </c>
      <c r="S461" s="6"/>
      <c r="T461" s="5"/>
      <c r="U461" s="30" t="str">
        <f t="shared" si="96"/>
        <v>PENDIENTE</v>
      </c>
    </row>
    <row r="462" spans="1:21" x14ac:dyDescent="0.25">
      <c r="A462" s="4" t="str">
        <f t="shared" si="97"/>
        <v>20261</v>
      </c>
      <c r="B462" s="4" t="s">
        <v>39</v>
      </c>
      <c r="C462" s="4" t="s">
        <v>40</v>
      </c>
      <c r="D462" s="29" t="s">
        <v>41</v>
      </c>
      <c r="E462" s="28">
        <v>46037</v>
      </c>
      <c r="F462" s="4">
        <v>61</v>
      </c>
      <c r="G462" s="4">
        <v>59</v>
      </c>
      <c r="H462" s="6">
        <v>599694.1</v>
      </c>
      <c r="I462" s="6">
        <v>300264.48831316363</v>
      </c>
      <c r="J462" s="6">
        <v>0</v>
      </c>
      <c r="K462" s="6">
        <v>0</v>
      </c>
      <c r="L462" s="6">
        <f t="shared" si="90"/>
        <v>0</v>
      </c>
      <c r="M462" s="7">
        <f t="shared" si="91"/>
        <v>1.0566666666666667E-2</v>
      </c>
      <c r="N462" s="7">
        <f t="shared" si="94"/>
        <v>7.8483068715126114E-3</v>
      </c>
      <c r="O462" s="7">
        <f t="shared" si="89"/>
        <v>-0.25725802477798632</v>
      </c>
      <c r="P462" s="6">
        <f t="shared" si="95"/>
        <v>899958.58831316361</v>
      </c>
      <c r="Q462" s="6">
        <f t="shared" si="93"/>
        <v>37658810.97999993</v>
      </c>
      <c r="R462" s="4">
        <f t="shared" ca="1" si="92"/>
        <v>-468</v>
      </c>
      <c r="S462" s="6"/>
      <c r="T462" s="5"/>
      <c r="U462" s="30" t="str">
        <f t="shared" si="96"/>
        <v>PENDIENTE</v>
      </c>
    </row>
    <row r="463" spans="1:21" x14ac:dyDescent="0.25">
      <c r="A463" s="4" t="str">
        <f t="shared" si="97"/>
        <v>20262</v>
      </c>
      <c r="B463" s="4" t="s">
        <v>39</v>
      </c>
      <c r="C463" s="4" t="s">
        <v>40</v>
      </c>
      <c r="D463" s="29" t="s">
        <v>41</v>
      </c>
      <c r="E463" s="28">
        <v>46068</v>
      </c>
      <c r="F463" s="4">
        <v>62</v>
      </c>
      <c r="G463" s="4">
        <v>58</v>
      </c>
      <c r="H463" s="6">
        <v>599694.1</v>
      </c>
      <c r="I463" s="6">
        <v>295839.30027252634</v>
      </c>
      <c r="J463" s="6">
        <v>0</v>
      </c>
      <c r="K463" s="6">
        <v>0</v>
      </c>
      <c r="L463" s="6">
        <f t="shared" si="90"/>
        <v>0</v>
      </c>
      <c r="M463" s="7">
        <f t="shared" si="91"/>
        <v>1.0566666666666667E-2</v>
      </c>
      <c r="N463" s="7">
        <f t="shared" si="94"/>
        <v>7.8557791011947369E-3</v>
      </c>
      <c r="O463" s="7">
        <f t="shared" si="89"/>
        <v>-0.25655087370396812</v>
      </c>
      <c r="P463" s="6">
        <f t="shared" si="95"/>
        <v>895533.40027252631</v>
      </c>
      <c r="Q463" s="6">
        <f t="shared" si="93"/>
        <v>37059116.879999928</v>
      </c>
      <c r="R463" s="4">
        <f t="shared" ca="1" si="92"/>
        <v>-499</v>
      </c>
      <c r="S463" s="6"/>
      <c r="T463" s="5"/>
      <c r="U463" s="30" t="str">
        <f t="shared" si="96"/>
        <v>PENDIENTE</v>
      </c>
    </row>
    <row r="464" spans="1:21" x14ac:dyDescent="0.25">
      <c r="A464" s="4" t="str">
        <f t="shared" si="97"/>
        <v>20263</v>
      </c>
      <c r="B464" s="4" t="s">
        <v>39</v>
      </c>
      <c r="C464" s="4" t="s">
        <v>40</v>
      </c>
      <c r="D464" s="29" t="s">
        <v>41</v>
      </c>
      <c r="E464" s="28">
        <v>46096</v>
      </c>
      <c r="F464" s="4">
        <v>63</v>
      </c>
      <c r="G464" s="4">
        <v>57</v>
      </c>
      <c r="H464" s="6">
        <v>599694.1</v>
      </c>
      <c r="I464" s="6">
        <v>291414.11313680676</v>
      </c>
      <c r="J464" s="6">
        <v>0</v>
      </c>
      <c r="K464" s="6">
        <v>0</v>
      </c>
      <c r="L464" s="6">
        <f t="shared" si="90"/>
        <v>0</v>
      </c>
      <c r="M464" s="7">
        <f t="shared" si="91"/>
        <v>1.0566666666666667E-2</v>
      </c>
      <c r="N464" s="7">
        <f t="shared" si="94"/>
        <v>7.8634931879360895E-3</v>
      </c>
      <c r="O464" s="7">
        <f t="shared" si="89"/>
        <v>-0.25582083394926602</v>
      </c>
      <c r="P464" s="6">
        <f t="shared" si="95"/>
        <v>891108.21313680673</v>
      </c>
      <c r="Q464" s="6">
        <f t="shared" si="93"/>
        <v>36459422.779999927</v>
      </c>
      <c r="R464" s="4">
        <f t="shared" ca="1" si="92"/>
        <v>-530</v>
      </c>
      <c r="S464" s="6"/>
      <c r="T464" s="5"/>
      <c r="U464" s="30" t="str">
        <f t="shared" si="96"/>
        <v>PENDIENTE</v>
      </c>
    </row>
    <row r="465" spans="1:21" x14ac:dyDescent="0.25">
      <c r="A465" s="4" t="str">
        <f t="shared" si="97"/>
        <v>20264</v>
      </c>
      <c r="B465" s="4" t="s">
        <v>39</v>
      </c>
      <c r="C465" s="4" t="s">
        <v>40</v>
      </c>
      <c r="D465" s="29" t="s">
        <v>41</v>
      </c>
      <c r="E465" s="28">
        <v>46127</v>
      </c>
      <c r="F465" s="4">
        <v>64</v>
      </c>
      <c r="G465" s="4">
        <v>56</v>
      </c>
      <c r="H465" s="6">
        <v>599694.1</v>
      </c>
      <c r="I465" s="6">
        <v>286988.92147372518</v>
      </c>
      <c r="J465" s="6">
        <v>0</v>
      </c>
      <c r="K465" s="6">
        <v>0</v>
      </c>
      <c r="L465" s="6">
        <f t="shared" si="90"/>
        <v>0</v>
      </c>
      <c r="M465" s="7">
        <f t="shared" si="91"/>
        <v>1.0566666666666667E-2</v>
      </c>
      <c r="N465" s="7">
        <f t="shared" si="94"/>
        <v>7.8714609171255164E-3</v>
      </c>
      <c r="O465" s="7">
        <f t="shared" si="89"/>
        <v>-0.25506679017739597</v>
      </c>
      <c r="P465" s="6">
        <f t="shared" si="95"/>
        <v>886683.02147372509</v>
      </c>
      <c r="Q465" s="6">
        <f t="shared" si="93"/>
        <v>35859728.679999925</v>
      </c>
      <c r="R465" s="4">
        <f t="shared" ca="1" si="92"/>
        <v>-558</v>
      </c>
      <c r="S465" s="6"/>
      <c r="T465" s="5"/>
      <c r="U465" s="30" t="str">
        <f t="shared" si="96"/>
        <v>PENDIENTE</v>
      </c>
    </row>
    <row r="466" spans="1:21" x14ac:dyDescent="0.25">
      <c r="A466" s="4" t="str">
        <f t="shared" si="97"/>
        <v>20265</v>
      </c>
      <c r="B466" s="4" t="s">
        <v>39</v>
      </c>
      <c r="C466" s="4" t="s">
        <v>40</v>
      </c>
      <c r="D466" s="29" t="s">
        <v>41</v>
      </c>
      <c r="E466" s="28">
        <v>46157</v>
      </c>
      <c r="F466" s="4">
        <v>65</v>
      </c>
      <c r="G466" s="4">
        <v>55</v>
      </c>
      <c r="H466" s="6">
        <v>599694.1</v>
      </c>
      <c r="I466" s="6">
        <v>282563.73051061126</v>
      </c>
      <c r="J466" s="6">
        <v>0</v>
      </c>
      <c r="K466" s="6">
        <v>0</v>
      </c>
      <c r="L466" s="6">
        <f t="shared" si="90"/>
        <v>0</v>
      </c>
      <c r="M466" s="7">
        <f t="shared" si="91"/>
        <v>1.0566666666666667E-2</v>
      </c>
      <c r="N466" s="7">
        <f t="shared" si="94"/>
        <v>7.8796951597741947E-3</v>
      </c>
      <c r="O466" s="7">
        <f t="shared" si="89"/>
        <v>-0.25428752431159041</v>
      </c>
      <c r="P466" s="6">
        <f t="shared" si="95"/>
        <v>882257.83051061118</v>
      </c>
      <c r="Q466" s="6">
        <f t="shared" si="93"/>
        <v>35260034.579999924</v>
      </c>
      <c r="R466" s="4">
        <f t="shared" ca="1" si="92"/>
        <v>-589</v>
      </c>
      <c r="S466" s="6"/>
      <c r="T466" s="5"/>
      <c r="U466" s="30" t="str">
        <f t="shared" si="96"/>
        <v>PENDIENTE</v>
      </c>
    </row>
    <row r="467" spans="1:21" x14ac:dyDescent="0.25">
      <c r="A467" s="4" t="str">
        <f t="shared" si="97"/>
        <v>20266</v>
      </c>
      <c r="B467" s="4" t="s">
        <v>39</v>
      </c>
      <c r="C467" s="4" t="s">
        <v>40</v>
      </c>
      <c r="D467" s="29" t="s">
        <v>41</v>
      </c>
      <c r="E467" s="28">
        <v>46188</v>
      </c>
      <c r="F467" s="4">
        <v>66</v>
      </c>
      <c r="G467" s="4">
        <v>54</v>
      </c>
      <c r="H467" s="6">
        <v>599694.1</v>
      </c>
      <c r="I467" s="6">
        <v>278138.54101024044</v>
      </c>
      <c r="J467" s="6">
        <v>0</v>
      </c>
      <c r="K467" s="6">
        <v>0</v>
      </c>
      <c r="L467" s="6">
        <f t="shared" si="90"/>
        <v>0</v>
      </c>
      <c r="M467" s="7">
        <f t="shared" si="91"/>
        <v>1.0566666666666667E-2</v>
      </c>
      <c r="N467" s="7">
        <f t="shared" si="94"/>
        <v>7.8882095359034399E-3</v>
      </c>
      <c r="O467" s="7">
        <f t="shared" si="89"/>
        <v>-0.25348174739084162</v>
      </c>
      <c r="P467" s="6">
        <f t="shared" si="95"/>
        <v>877832.64101024042</v>
      </c>
      <c r="Q467" s="6">
        <f t="shared" si="93"/>
        <v>34660340.479999922</v>
      </c>
      <c r="R467" s="4">
        <f t="shared" ca="1" si="92"/>
        <v>-619</v>
      </c>
      <c r="S467" s="6"/>
      <c r="T467" s="5"/>
      <c r="U467" s="30" t="str">
        <f t="shared" si="96"/>
        <v>PENDIENTE</v>
      </c>
    </row>
    <row r="468" spans="1:21" x14ac:dyDescent="0.25">
      <c r="A468" s="4" t="str">
        <f t="shared" si="97"/>
        <v>20267</v>
      </c>
      <c r="B468" s="4" t="s">
        <v>39</v>
      </c>
      <c r="C468" s="4" t="s">
        <v>40</v>
      </c>
      <c r="D468" s="29" t="s">
        <v>41</v>
      </c>
      <c r="E468" s="28">
        <v>46218</v>
      </c>
      <c r="F468" s="4">
        <v>67</v>
      </c>
      <c r="G468" s="4">
        <v>53</v>
      </c>
      <c r="H468" s="6">
        <v>599694.1</v>
      </c>
      <c r="I468" s="6">
        <v>273713.35117074195</v>
      </c>
      <c r="J468" s="6">
        <v>0</v>
      </c>
      <c r="K468" s="6">
        <v>0</v>
      </c>
      <c r="L468" s="6">
        <f t="shared" si="90"/>
        <v>0</v>
      </c>
      <c r="M468" s="7">
        <f t="shared" si="91"/>
        <v>1.0566666666666667E-2</v>
      </c>
      <c r="N468" s="7">
        <f t="shared" si="94"/>
        <v>7.8970185341567245E-3</v>
      </c>
      <c r="O468" s="7">
        <f t="shared" ref="O468:O521" si="98">(N468/M468)-1</f>
        <v>-0.25264808825015228</v>
      </c>
      <c r="P468" s="6">
        <f t="shared" si="95"/>
        <v>873407.45117074193</v>
      </c>
      <c r="Q468" s="6">
        <f t="shared" si="93"/>
        <v>34060646.379999921</v>
      </c>
      <c r="R468" s="4">
        <f t="shared" ca="1" si="92"/>
        <v>-650</v>
      </c>
      <c r="S468" s="6"/>
      <c r="T468" s="5"/>
      <c r="U468" s="30" t="str">
        <f t="shared" si="96"/>
        <v>PENDIENTE</v>
      </c>
    </row>
    <row r="469" spans="1:21" x14ac:dyDescent="0.25">
      <c r="A469" s="4" t="str">
        <f t="shared" si="97"/>
        <v>20268</v>
      </c>
      <c r="B469" s="4" t="s">
        <v>39</v>
      </c>
      <c r="C469" s="4" t="s">
        <v>40</v>
      </c>
      <c r="D469" s="29" t="s">
        <v>41</v>
      </c>
      <c r="E469" s="28">
        <v>46249</v>
      </c>
      <c r="F469" s="4">
        <v>68</v>
      </c>
      <c r="G469" s="4">
        <v>52</v>
      </c>
      <c r="H469" s="6">
        <v>599694.1</v>
      </c>
      <c r="I469" s="6">
        <v>269288.16070589382</v>
      </c>
      <c r="J469" s="6">
        <v>0</v>
      </c>
      <c r="K469" s="6">
        <v>0</v>
      </c>
      <c r="L469" s="6">
        <f t="shared" ref="L469:L532" si="99">IF(S468="",0,IF(S468&lt;=P468,P468-S468,0))</f>
        <v>0</v>
      </c>
      <c r="M469" s="7">
        <f t="shared" si="91"/>
        <v>1.0566666666666667E-2</v>
      </c>
      <c r="N469" s="7">
        <f t="shared" si="94"/>
        <v>7.9061377080623229E-3</v>
      </c>
      <c r="O469" s="7">
        <f t="shared" si="98"/>
        <v>-0.25178507494678337</v>
      </c>
      <c r="P469" s="6">
        <f t="shared" si="95"/>
        <v>868982.26070589386</v>
      </c>
      <c r="Q469" s="6">
        <f t="shared" si="93"/>
        <v>33460952.279999919</v>
      </c>
      <c r="R469" s="4">
        <f t="shared" ca="1" si="92"/>
        <v>-680</v>
      </c>
      <c r="S469" s="6"/>
      <c r="T469" s="5"/>
      <c r="U469" s="30" t="str">
        <f t="shared" si="96"/>
        <v>PENDIENTE</v>
      </c>
    </row>
    <row r="470" spans="1:21" x14ac:dyDescent="0.25">
      <c r="A470" s="4" t="str">
        <f t="shared" si="97"/>
        <v>20269</v>
      </c>
      <c r="B470" s="4" t="s">
        <v>39</v>
      </c>
      <c r="C470" s="4" t="s">
        <v>40</v>
      </c>
      <c r="D470" s="29" t="s">
        <v>41</v>
      </c>
      <c r="E470" s="28">
        <v>46280</v>
      </c>
      <c r="F470" s="4">
        <v>69</v>
      </c>
      <c r="G470" s="4">
        <v>51</v>
      </c>
      <c r="H470" s="6">
        <v>599694.1</v>
      </c>
      <c r="I470" s="6">
        <v>264862.97051833163</v>
      </c>
      <c r="J470" s="6">
        <v>0</v>
      </c>
      <c r="K470" s="6">
        <v>0</v>
      </c>
      <c r="L470" s="6">
        <f t="shared" si="99"/>
        <v>0</v>
      </c>
      <c r="M470" s="7">
        <f t="shared" si="91"/>
        <v>1.0566666666666667E-2</v>
      </c>
      <c r="N470" s="7">
        <f t="shared" si="94"/>
        <v>7.9155837616923987E-3</v>
      </c>
      <c r="O470" s="7">
        <f t="shared" si="98"/>
        <v>-0.25089112665371627</v>
      </c>
      <c r="P470" s="6">
        <f t="shared" si="95"/>
        <v>864557.0705183316</v>
      </c>
      <c r="Q470" s="6">
        <f t="shared" si="93"/>
        <v>32861258.179999918</v>
      </c>
      <c r="R470" s="4">
        <f t="shared" ca="1" si="92"/>
        <v>-711</v>
      </c>
      <c r="S470" s="6"/>
      <c r="T470" s="5"/>
      <c r="U470" s="30" t="str">
        <f t="shared" si="96"/>
        <v>PENDIENTE</v>
      </c>
    </row>
    <row r="471" spans="1:21" x14ac:dyDescent="0.25">
      <c r="A471" s="4" t="str">
        <f t="shared" si="97"/>
        <v>202610</v>
      </c>
      <c r="B471" s="4" t="s">
        <v>39</v>
      </c>
      <c r="C471" s="4" t="s">
        <v>40</v>
      </c>
      <c r="D471" s="29" t="s">
        <v>41</v>
      </c>
      <c r="E471" s="28">
        <v>46310</v>
      </c>
      <c r="F471" s="4">
        <v>70</v>
      </c>
      <c r="G471" s="4">
        <v>50</v>
      </c>
      <c r="H471" s="6">
        <v>599694.1</v>
      </c>
      <c r="I471" s="6">
        <v>260437.78050961267</v>
      </c>
      <c r="J471" s="6">
        <v>0</v>
      </c>
      <c r="K471" s="6">
        <v>0</v>
      </c>
      <c r="L471" s="6">
        <f t="shared" si="99"/>
        <v>0</v>
      </c>
      <c r="M471" s="7">
        <f t="shared" si="91"/>
        <v>1.0566666666666667E-2</v>
      </c>
      <c r="N471" s="7">
        <f t="shared" si="94"/>
        <v>7.9253745880040836E-3</v>
      </c>
      <c r="O471" s="7">
        <f t="shared" si="98"/>
        <v>-0.24996455003115925</v>
      </c>
      <c r="P471" s="6">
        <f t="shared" si="95"/>
        <v>860131.88050961262</v>
      </c>
      <c r="Q471" s="6">
        <f t="shared" si="93"/>
        <v>32261564.079999916</v>
      </c>
      <c r="R471" s="4">
        <f t="shared" ca="1" si="92"/>
        <v>-742</v>
      </c>
      <c r="S471" s="6"/>
      <c r="T471" s="5"/>
      <c r="U471" s="30" t="str">
        <f t="shared" si="96"/>
        <v>PENDIENTE</v>
      </c>
    </row>
    <row r="472" spans="1:21" x14ac:dyDescent="0.25">
      <c r="A472" s="4" t="str">
        <f t="shared" si="97"/>
        <v>202611</v>
      </c>
      <c r="B472" s="4" t="s">
        <v>39</v>
      </c>
      <c r="C472" s="4" t="s">
        <v>40</v>
      </c>
      <c r="D472" s="29" t="s">
        <v>41</v>
      </c>
      <c r="E472" s="28">
        <v>46341</v>
      </c>
      <c r="F472" s="4">
        <v>71</v>
      </c>
      <c r="G472" s="4">
        <v>49</v>
      </c>
      <c r="H472" s="6">
        <v>599694.1</v>
      </c>
      <c r="I472" s="6">
        <v>256012.59038357766</v>
      </c>
      <c r="J472" s="6">
        <v>0</v>
      </c>
      <c r="K472" s="6">
        <v>0</v>
      </c>
      <c r="L472" s="6">
        <f t="shared" si="99"/>
        <v>0</v>
      </c>
      <c r="M472" s="7">
        <f t="shared" si="91"/>
        <v>1.0566666666666667E-2</v>
      </c>
      <c r="N472" s="7">
        <f t="shared" si="94"/>
        <v>7.9355294042389255E-3</v>
      </c>
      <c r="O472" s="7">
        <f t="shared" si="98"/>
        <v>-0.24900352641272006</v>
      </c>
      <c r="P472" s="6">
        <f t="shared" si="95"/>
        <v>855706.6903835776</v>
      </c>
      <c r="Q472" s="6">
        <f t="shared" si="93"/>
        <v>31661869.979999915</v>
      </c>
      <c r="R472" s="4">
        <f t="shared" ca="1" si="92"/>
        <v>-772</v>
      </c>
      <c r="S472" s="6"/>
      <c r="T472" s="5"/>
      <c r="U472" s="30" t="str">
        <f t="shared" si="96"/>
        <v>PENDIENTE</v>
      </c>
    </row>
    <row r="473" spans="1:21" x14ac:dyDescent="0.25">
      <c r="A473" s="4" t="str">
        <f t="shared" si="97"/>
        <v>202612</v>
      </c>
      <c r="B473" s="4" t="s">
        <v>39</v>
      </c>
      <c r="C473" s="4" t="s">
        <v>40</v>
      </c>
      <c r="D473" s="29" t="s">
        <v>41</v>
      </c>
      <c r="E473" s="28">
        <v>46371</v>
      </c>
      <c r="F473" s="4">
        <v>72</v>
      </c>
      <c r="G473" s="4">
        <v>48</v>
      </c>
      <c r="H473" s="6">
        <v>599694.1</v>
      </c>
      <c r="I473" s="6">
        <v>251587.40019167078</v>
      </c>
      <c r="J473" s="6">
        <v>0</v>
      </c>
      <c r="K473" s="6">
        <v>0</v>
      </c>
      <c r="L473" s="6">
        <f t="shared" si="99"/>
        <v>0</v>
      </c>
      <c r="M473" s="7">
        <f t="shared" si="91"/>
        <v>1.0566666666666667E-2</v>
      </c>
      <c r="N473" s="7">
        <f t="shared" si="94"/>
        <v>7.9460688945596977E-3</v>
      </c>
      <c r="O473" s="7">
        <f t="shared" si="98"/>
        <v>-0.24800609830665321</v>
      </c>
      <c r="P473" s="6">
        <f t="shared" si="95"/>
        <v>851281.50019167073</v>
      </c>
      <c r="Q473" s="6">
        <f t="shared" si="93"/>
        <v>31062175.879999913</v>
      </c>
      <c r="R473" s="4">
        <f t="shared" ca="1" si="92"/>
        <v>-803</v>
      </c>
      <c r="S473" s="6"/>
      <c r="T473" s="5"/>
      <c r="U473" s="30" t="str">
        <f t="shared" si="96"/>
        <v>PENDIENTE</v>
      </c>
    </row>
    <row r="474" spans="1:21" x14ac:dyDescent="0.25">
      <c r="A474" s="4" t="str">
        <f t="shared" si="97"/>
        <v>20271</v>
      </c>
      <c r="B474" s="4" t="s">
        <v>39</v>
      </c>
      <c r="C474" s="4" t="s">
        <v>40</v>
      </c>
      <c r="D474" s="29" t="s">
        <v>41</v>
      </c>
      <c r="E474" s="28">
        <v>46402</v>
      </c>
      <c r="F474" s="4">
        <v>73</v>
      </c>
      <c r="G474" s="4">
        <v>47</v>
      </c>
      <c r="H474" s="6">
        <v>599694.1</v>
      </c>
      <c r="I474" s="6">
        <v>247162.21006255317</v>
      </c>
      <c r="J474" s="6">
        <v>0</v>
      </c>
      <c r="K474" s="6">
        <v>0</v>
      </c>
      <c r="L474" s="6">
        <f t="shared" si="99"/>
        <v>0</v>
      </c>
      <c r="M474" s="7">
        <f t="shared" si="91"/>
        <v>1.0566666666666667E-2</v>
      </c>
      <c r="N474" s="7">
        <f t="shared" si="94"/>
        <v>7.9570153429494341E-3</v>
      </c>
      <c r="O474" s="7">
        <f t="shared" si="98"/>
        <v>-0.24697015681866552</v>
      </c>
      <c r="P474" s="6">
        <f t="shared" si="95"/>
        <v>846856.31006255315</v>
      </c>
      <c r="Q474" s="6">
        <f t="shared" si="93"/>
        <v>30462481.779999912</v>
      </c>
      <c r="R474" s="4">
        <f t="shared" ca="1" si="92"/>
        <v>-833</v>
      </c>
      <c r="S474" s="6"/>
      <c r="T474" s="5"/>
      <c r="U474" s="30" t="str">
        <f t="shared" si="96"/>
        <v>PENDIENTE</v>
      </c>
    </row>
    <row r="475" spans="1:21" x14ac:dyDescent="0.25">
      <c r="A475" s="4" t="str">
        <f t="shared" si="97"/>
        <v>20272</v>
      </c>
      <c r="B475" s="4" t="s">
        <v>39</v>
      </c>
      <c r="C475" s="4" t="s">
        <v>40</v>
      </c>
      <c r="D475" s="29" t="s">
        <v>41</v>
      </c>
      <c r="E475" s="28">
        <v>46433</v>
      </c>
      <c r="F475" s="4">
        <v>74</v>
      </c>
      <c r="G475" s="4">
        <v>46</v>
      </c>
      <c r="H475" s="6">
        <v>599694.1</v>
      </c>
      <c r="I475" s="6">
        <v>242737.01994680736</v>
      </c>
      <c r="J475" s="6">
        <v>0</v>
      </c>
      <c r="K475" s="6">
        <v>0</v>
      </c>
      <c r="L475" s="6">
        <f t="shared" si="99"/>
        <v>0</v>
      </c>
      <c r="M475" s="7">
        <f t="shared" si="91"/>
        <v>1.0566666666666667E-2</v>
      </c>
      <c r="N475" s="7">
        <f t="shared" si="94"/>
        <v>7.968392782303638E-3</v>
      </c>
      <c r="O475" s="7">
        <f t="shared" si="98"/>
        <v>-0.24589342754224253</v>
      </c>
      <c r="P475" s="6">
        <f t="shared" si="95"/>
        <v>842431.11994680739</v>
      </c>
      <c r="Q475" s="6">
        <f t="shared" si="93"/>
        <v>29862787.67999991</v>
      </c>
      <c r="R475" s="4">
        <f t="shared" ca="1" si="92"/>
        <v>-864</v>
      </c>
      <c r="S475" s="6"/>
      <c r="T475" s="5"/>
      <c r="U475" s="30" t="str">
        <f t="shared" si="96"/>
        <v>PENDIENTE</v>
      </c>
    </row>
    <row r="476" spans="1:21" x14ac:dyDescent="0.25">
      <c r="A476" s="4" t="str">
        <f t="shared" si="97"/>
        <v>20273</v>
      </c>
      <c r="B476" s="4" t="s">
        <v>39</v>
      </c>
      <c r="C476" s="4" t="s">
        <v>40</v>
      </c>
      <c r="D476" s="29" t="s">
        <v>41</v>
      </c>
      <c r="E476" s="28">
        <v>46461</v>
      </c>
      <c r="F476" s="4">
        <v>75</v>
      </c>
      <c r="G476" s="4">
        <v>45</v>
      </c>
      <c r="H476" s="6">
        <v>599694.1</v>
      </c>
      <c r="I476" s="6">
        <v>238311.82980651679</v>
      </c>
      <c r="J476" s="6">
        <v>0</v>
      </c>
      <c r="K476" s="6">
        <v>0</v>
      </c>
      <c r="L476" s="6">
        <f t="shared" si="99"/>
        <v>0</v>
      </c>
      <c r="M476" s="7">
        <f t="shared" si="91"/>
        <v>1.0566666666666667E-2</v>
      </c>
      <c r="N476" s="7">
        <f t="shared" si="94"/>
        <v>7.9802271763838722E-3</v>
      </c>
      <c r="O476" s="7">
        <f t="shared" si="98"/>
        <v>-0.24477345333906575</v>
      </c>
      <c r="P476" s="6">
        <f t="shared" si="95"/>
        <v>838005.92980651674</v>
      </c>
      <c r="Q476" s="6">
        <f t="shared" si="93"/>
        <v>29263093.579999909</v>
      </c>
      <c r="R476" s="4">
        <f t="shared" ca="1" si="92"/>
        <v>-895</v>
      </c>
      <c r="S476" s="6"/>
      <c r="T476" s="5"/>
      <c r="U476" s="30" t="str">
        <f t="shared" si="96"/>
        <v>PENDIENTE</v>
      </c>
    </row>
    <row r="477" spans="1:21" x14ac:dyDescent="0.25">
      <c r="A477" s="4" t="str">
        <f t="shared" si="97"/>
        <v>20274</v>
      </c>
      <c r="B477" s="4" t="s">
        <v>39</v>
      </c>
      <c r="C477" s="4" t="s">
        <v>40</v>
      </c>
      <c r="D477" s="29" t="s">
        <v>41</v>
      </c>
      <c r="E477" s="28">
        <v>46492</v>
      </c>
      <c r="F477" s="4">
        <v>76</v>
      </c>
      <c r="G477" s="4">
        <v>44</v>
      </c>
      <c r="H477" s="6">
        <v>599694.1</v>
      </c>
      <c r="I477" s="6">
        <v>233886.63966298455</v>
      </c>
      <c r="J477" s="6">
        <v>0</v>
      </c>
      <c r="K477" s="6">
        <v>0</v>
      </c>
      <c r="L477" s="6">
        <f t="shared" si="99"/>
        <v>0</v>
      </c>
      <c r="M477" s="7">
        <f t="shared" si="91"/>
        <v>1.0566666666666667E-2</v>
      </c>
      <c r="N477" s="7">
        <f t="shared" si="94"/>
        <v>7.9925466192964714E-3</v>
      </c>
      <c r="O477" s="7">
        <f t="shared" si="98"/>
        <v>-0.24360757546090173</v>
      </c>
      <c r="P477" s="6">
        <f t="shared" si="95"/>
        <v>833580.7396629845</v>
      </c>
      <c r="Q477" s="6">
        <f t="shared" si="93"/>
        <v>28663399.479999907</v>
      </c>
      <c r="R477" s="4">
        <f t="shared" ca="1" si="92"/>
        <v>-923</v>
      </c>
      <c r="S477" s="6"/>
      <c r="T477" s="5"/>
      <c r="U477" s="30" t="str">
        <f t="shared" si="96"/>
        <v>PENDIENTE</v>
      </c>
    </row>
    <row r="478" spans="1:21" x14ac:dyDescent="0.25">
      <c r="A478" s="4" t="str">
        <f t="shared" si="97"/>
        <v>20275</v>
      </c>
      <c r="B478" s="4" t="s">
        <v>39</v>
      </c>
      <c r="C478" s="4" t="s">
        <v>40</v>
      </c>
      <c r="D478" s="29" t="s">
        <v>41</v>
      </c>
      <c r="E478" s="28">
        <v>46522</v>
      </c>
      <c r="F478" s="4">
        <v>77</v>
      </c>
      <c r="G478" s="4">
        <v>43</v>
      </c>
      <c r="H478" s="6">
        <v>599694.1</v>
      </c>
      <c r="I478" s="6">
        <v>229461.44953050819</v>
      </c>
      <c r="J478" s="6">
        <v>0</v>
      </c>
      <c r="K478" s="6">
        <v>0</v>
      </c>
      <c r="L478" s="6">
        <f t="shared" si="99"/>
        <v>0</v>
      </c>
      <c r="M478" s="7">
        <f t="shared" ref="M478:M521" si="100">0.1268/12</f>
        <v>1.0566666666666667E-2</v>
      </c>
      <c r="N478" s="7">
        <f t="shared" si="94"/>
        <v>8.0053815560368752E-3</v>
      </c>
      <c r="O478" s="7">
        <f t="shared" si="98"/>
        <v>-0.24239291267789831</v>
      </c>
      <c r="P478" s="6">
        <f t="shared" si="95"/>
        <v>829155.54953050823</v>
      </c>
      <c r="Q478" s="6">
        <f t="shared" si="93"/>
        <v>28063705.379999906</v>
      </c>
      <c r="R478" s="4">
        <f t="shared" ref="R478:R521" ca="1" si="101">IF(T477="",TODAY()-E477,IF(T478="",TODAY()-E478,"OK"))</f>
        <v>-954</v>
      </c>
      <c r="S478" s="6"/>
      <c r="T478" s="5"/>
      <c r="U478" s="30" t="str">
        <f t="shared" si="96"/>
        <v>PENDIENTE</v>
      </c>
    </row>
    <row r="479" spans="1:21" x14ac:dyDescent="0.25">
      <c r="A479" s="4" t="str">
        <f t="shared" si="97"/>
        <v>20276</v>
      </c>
      <c r="B479" s="4" t="s">
        <v>39</v>
      </c>
      <c r="C479" s="4" t="s">
        <v>40</v>
      </c>
      <c r="D479" s="29" t="s">
        <v>41</v>
      </c>
      <c r="E479" s="28">
        <v>46553</v>
      </c>
      <c r="F479" s="4">
        <v>78</v>
      </c>
      <c r="G479" s="4">
        <v>42</v>
      </c>
      <c r="H479" s="6">
        <v>599694.1</v>
      </c>
      <c r="I479" s="6">
        <v>225036.25939725636</v>
      </c>
      <c r="J479" s="6">
        <v>0</v>
      </c>
      <c r="K479" s="6">
        <v>0</v>
      </c>
      <c r="L479" s="6">
        <f t="shared" si="99"/>
        <v>0</v>
      </c>
      <c r="M479" s="7">
        <f t="shared" si="100"/>
        <v>1.0566666666666667E-2</v>
      </c>
      <c r="N479" s="7">
        <f t="shared" si="94"/>
        <v>8.0187650329892786E-3</v>
      </c>
      <c r="O479" s="7">
        <f t="shared" si="98"/>
        <v>-0.24112633757199253</v>
      </c>
      <c r="P479" s="6">
        <f t="shared" si="95"/>
        <v>824730.35939725628</v>
      </c>
      <c r="Q479" s="6">
        <f t="shared" si="93"/>
        <v>27464011.279999904</v>
      </c>
      <c r="R479" s="4">
        <f t="shared" ca="1" si="101"/>
        <v>-984</v>
      </c>
      <c r="S479" s="6"/>
      <c r="T479" s="5"/>
      <c r="U479" s="30" t="str">
        <f t="shared" si="96"/>
        <v>PENDIENTE</v>
      </c>
    </row>
    <row r="480" spans="1:21" x14ac:dyDescent="0.25">
      <c r="A480" s="4" t="str">
        <f t="shared" si="97"/>
        <v>20277</v>
      </c>
      <c r="B480" s="4" t="s">
        <v>39</v>
      </c>
      <c r="C480" s="4" t="s">
        <v>40</v>
      </c>
      <c r="D480" s="29" t="s">
        <v>41</v>
      </c>
      <c r="E480" s="28">
        <v>46583</v>
      </c>
      <c r="F480" s="4">
        <v>79</v>
      </c>
      <c r="G480" s="4">
        <v>41</v>
      </c>
      <c r="H480" s="6">
        <v>599694.1</v>
      </c>
      <c r="I480" s="6">
        <v>220611.06926001821</v>
      </c>
      <c r="J480" s="6">
        <v>0</v>
      </c>
      <c r="K480" s="6">
        <v>0</v>
      </c>
      <c r="L480" s="6">
        <f t="shared" si="99"/>
        <v>0</v>
      </c>
      <c r="M480" s="7">
        <f t="shared" si="100"/>
        <v>1.0566666666666667E-2</v>
      </c>
      <c r="N480" s="7">
        <f t="shared" si="94"/>
        <v>8.0327329832067772E-3</v>
      </c>
      <c r="O480" s="7">
        <f t="shared" si="98"/>
        <v>-0.23980444953879088</v>
      </c>
      <c r="P480" s="6">
        <f t="shared" si="95"/>
        <v>820305.16926001816</v>
      </c>
      <c r="Q480" s="6">
        <f t="shared" ref="Q480:Q521" si="102">Q479-H480</f>
        <v>26864317.179999903</v>
      </c>
      <c r="R480" s="4">
        <f t="shared" ca="1" si="101"/>
        <v>-1015</v>
      </c>
      <c r="S480" s="6"/>
      <c r="T480" s="5"/>
      <c r="U480" s="30" t="str">
        <f t="shared" si="96"/>
        <v>PENDIENTE</v>
      </c>
    </row>
    <row r="481" spans="1:21" x14ac:dyDescent="0.25">
      <c r="A481" s="4" t="str">
        <f t="shared" si="97"/>
        <v>20278</v>
      </c>
      <c r="B481" s="4" t="s">
        <v>39</v>
      </c>
      <c r="C481" s="4" t="s">
        <v>40</v>
      </c>
      <c r="D481" s="29" t="s">
        <v>41</v>
      </c>
      <c r="E481" s="28">
        <v>46614</v>
      </c>
      <c r="F481" s="4">
        <v>80</v>
      </c>
      <c r="G481" s="4">
        <v>40</v>
      </c>
      <c r="H481" s="6">
        <v>599694.1</v>
      </c>
      <c r="I481" s="6">
        <v>216185.87912347788</v>
      </c>
      <c r="J481" s="6">
        <v>0</v>
      </c>
      <c r="K481" s="6">
        <v>0</v>
      </c>
      <c r="L481" s="6">
        <f t="shared" si="99"/>
        <v>0</v>
      </c>
      <c r="M481" s="7">
        <f t="shared" si="100"/>
        <v>1.0566666666666667E-2</v>
      </c>
      <c r="N481" s="7">
        <f t="shared" si="94"/>
        <v>8.0473245485809392E-3</v>
      </c>
      <c r="O481" s="7">
        <f t="shared" si="98"/>
        <v>-0.2384235442983339</v>
      </c>
      <c r="P481" s="6">
        <f t="shared" si="95"/>
        <v>815879.97912347782</v>
      </c>
      <c r="Q481" s="6">
        <f t="shared" si="102"/>
        <v>26264623.079999901</v>
      </c>
      <c r="R481" s="4">
        <f t="shared" ca="1" si="101"/>
        <v>-1045</v>
      </c>
      <c r="S481" s="6"/>
      <c r="T481" s="5"/>
      <c r="U481" s="30" t="str">
        <f t="shared" si="96"/>
        <v>PENDIENTE</v>
      </c>
    </row>
    <row r="482" spans="1:21" x14ac:dyDescent="0.25">
      <c r="A482" s="4" t="str">
        <f t="shared" si="97"/>
        <v>20279</v>
      </c>
      <c r="B482" s="4" t="s">
        <v>39</v>
      </c>
      <c r="C482" s="4" t="s">
        <v>40</v>
      </c>
      <c r="D482" s="29" t="s">
        <v>41</v>
      </c>
      <c r="E482" s="28">
        <v>46645</v>
      </c>
      <c r="F482" s="4">
        <v>81</v>
      </c>
      <c r="G482" s="4">
        <v>39</v>
      </c>
      <c r="H482" s="6">
        <v>599694.1</v>
      </c>
      <c r="I482" s="6">
        <v>211760.68898852335</v>
      </c>
      <c r="J482" s="6">
        <v>0</v>
      </c>
      <c r="K482" s="6">
        <v>0</v>
      </c>
      <c r="L482" s="6">
        <f t="shared" si="99"/>
        <v>0</v>
      </c>
      <c r="M482" s="7">
        <f t="shared" si="100"/>
        <v>1.0566666666666667E-2</v>
      </c>
      <c r="N482" s="7">
        <f t="shared" si="94"/>
        <v>8.0625824457300436E-3</v>
      </c>
      <c r="O482" s="7">
        <f t="shared" si="98"/>
        <v>-0.23697957926845015</v>
      </c>
      <c r="P482" s="6">
        <f t="shared" si="95"/>
        <v>811454.7889885233</v>
      </c>
      <c r="Q482" s="6">
        <f t="shared" si="102"/>
        <v>25664928.9799999</v>
      </c>
      <c r="R482" s="4">
        <f t="shared" ca="1" si="101"/>
        <v>-1076</v>
      </c>
      <c r="S482" s="6"/>
      <c r="T482" s="5"/>
      <c r="U482" s="30" t="str">
        <f t="shared" si="96"/>
        <v>PENDIENTE</v>
      </c>
    </row>
    <row r="483" spans="1:21" x14ac:dyDescent="0.25">
      <c r="A483" s="4" t="str">
        <f t="shared" si="97"/>
        <v>202710</v>
      </c>
      <c r="B483" s="4" t="s">
        <v>39</v>
      </c>
      <c r="C483" s="4" t="s">
        <v>40</v>
      </c>
      <c r="D483" s="29" t="s">
        <v>41</v>
      </c>
      <c r="E483" s="28">
        <v>46675</v>
      </c>
      <c r="F483" s="4">
        <v>82</v>
      </c>
      <c r="G483" s="4">
        <v>38</v>
      </c>
      <c r="H483" s="6">
        <v>599694.1</v>
      </c>
      <c r="I483" s="6">
        <v>207335.49885300599</v>
      </c>
      <c r="J483" s="6">
        <v>0</v>
      </c>
      <c r="K483" s="6">
        <v>0</v>
      </c>
      <c r="L483" s="6">
        <f t="shared" si="99"/>
        <v>0</v>
      </c>
      <c r="M483" s="7">
        <f t="shared" si="100"/>
        <v>1.0566666666666667E-2</v>
      </c>
      <c r="N483" s="7">
        <f t="shared" si="94"/>
        <v>8.0785533836691265E-3</v>
      </c>
      <c r="O483" s="7">
        <f t="shared" si="98"/>
        <v>-0.23546813403762212</v>
      </c>
      <c r="P483" s="6">
        <f t="shared" si="95"/>
        <v>807029.59885300603</v>
      </c>
      <c r="Q483" s="6">
        <f t="shared" si="102"/>
        <v>25065234.879999898</v>
      </c>
      <c r="R483" s="4">
        <f t="shared" ca="1" si="101"/>
        <v>-1107</v>
      </c>
      <c r="S483" s="6"/>
      <c r="T483" s="5"/>
      <c r="U483" s="30" t="str">
        <f t="shared" si="96"/>
        <v>PENDIENTE</v>
      </c>
    </row>
    <row r="484" spans="1:21" x14ac:dyDescent="0.25">
      <c r="A484" s="4" t="str">
        <f t="shared" si="97"/>
        <v>202711</v>
      </c>
      <c r="B484" s="4" t="s">
        <v>39</v>
      </c>
      <c r="C484" s="4" t="s">
        <v>40</v>
      </c>
      <c r="D484" s="29" t="s">
        <v>41</v>
      </c>
      <c r="E484" s="28">
        <v>46706</v>
      </c>
      <c r="F484" s="4">
        <v>83</v>
      </c>
      <c r="G484" s="4">
        <v>37</v>
      </c>
      <c r="H484" s="6">
        <v>599694.1</v>
      </c>
      <c r="I484" s="6">
        <v>202910.30871697713</v>
      </c>
      <c r="J484" s="6">
        <v>0</v>
      </c>
      <c r="K484" s="6">
        <v>0</v>
      </c>
      <c r="L484" s="6">
        <f t="shared" si="99"/>
        <v>0</v>
      </c>
      <c r="M484" s="7">
        <f t="shared" si="100"/>
        <v>1.0566666666666667E-2</v>
      </c>
      <c r="N484" s="7">
        <f t="shared" si="94"/>
        <v>8.0952885416160098E-3</v>
      </c>
      <c r="O484" s="7">
        <f t="shared" si="98"/>
        <v>-0.23388436514674993</v>
      </c>
      <c r="P484" s="6">
        <f t="shared" si="95"/>
        <v>802604.40871697711</v>
      </c>
      <c r="Q484" s="6">
        <f t="shared" si="102"/>
        <v>24465540.779999897</v>
      </c>
      <c r="R484" s="4">
        <f t="shared" ca="1" si="101"/>
        <v>-1137</v>
      </c>
      <c r="S484" s="6"/>
      <c r="T484" s="5"/>
      <c r="U484" s="30" t="str">
        <f t="shared" si="96"/>
        <v>PENDIENTE</v>
      </c>
    </row>
    <row r="485" spans="1:21" x14ac:dyDescent="0.25">
      <c r="A485" s="4" t="str">
        <f t="shared" si="97"/>
        <v>202712</v>
      </c>
      <c r="B485" s="4" t="s">
        <v>39</v>
      </c>
      <c r="C485" s="4" t="s">
        <v>40</v>
      </c>
      <c r="D485" s="29" t="s">
        <v>41</v>
      </c>
      <c r="E485" s="28">
        <v>46736</v>
      </c>
      <c r="F485" s="4">
        <v>84</v>
      </c>
      <c r="G485" s="4">
        <v>36</v>
      </c>
      <c r="H485" s="6">
        <v>599694.1</v>
      </c>
      <c r="I485" s="6">
        <v>198485.11858122156</v>
      </c>
      <c r="J485" s="6">
        <v>0</v>
      </c>
      <c r="K485" s="6">
        <v>0</v>
      </c>
      <c r="L485" s="6">
        <f t="shared" si="99"/>
        <v>0</v>
      </c>
      <c r="M485" s="7">
        <f t="shared" si="100"/>
        <v>1.0566666666666667E-2</v>
      </c>
      <c r="N485" s="7">
        <f t="shared" si="94"/>
        <v>8.1128441167946427E-3</v>
      </c>
      <c r="O485" s="7">
        <f t="shared" si="98"/>
        <v>-0.23222295424656381</v>
      </c>
      <c r="P485" s="6">
        <f t="shared" si="95"/>
        <v>798179.21858122153</v>
      </c>
      <c r="Q485" s="6">
        <f t="shared" si="102"/>
        <v>23865846.679999895</v>
      </c>
      <c r="R485" s="4">
        <f t="shared" ca="1" si="101"/>
        <v>-1168</v>
      </c>
      <c r="S485" s="6"/>
      <c r="T485" s="5"/>
      <c r="U485" s="30" t="str">
        <f t="shared" si="96"/>
        <v>PENDIENTE</v>
      </c>
    </row>
    <row r="486" spans="1:21" x14ac:dyDescent="0.25">
      <c r="A486" s="4" t="str">
        <f t="shared" si="97"/>
        <v>20281</v>
      </c>
      <c r="B486" s="4" t="s">
        <v>39</v>
      </c>
      <c r="C486" s="4" t="s">
        <v>40</v>
      </c>
      <c r="D486" s="29" t="s">
        <v>41</v>
      </c>
      <c r="E486" s="28">
        <v>46767</v>
      </c>
      <c r="F486" s="4">
        <v>85</v>
      </c>
      <c r="G486" s="4">
        <v>35</v>
      </c>
      <c r="H486" s="6">
        <v>599694.1</v>
      </c>
      <c r="I486" s="6">
        <v>194059.92844564238</v>
      </c>
      <c r="J486" s="6">
        <v>0</v>
      </c>
      <c r="K486" s="6">
        <v>0</v>
      </c>
      <c r="L486" s="6">
        <f t="shared" si="99"/>
        <v>0</v>
      </c>
      <c r="M486" s="7">
        <f t="shared" si="100"/>
        <v>1.0566666666666667E-2</v>
      </c>
      <c r="N486" s="7">
        <f t="shared" si="94"/>
        <v>8.1312819548224474E-3</v>
      </c>
      <c r="O486" s="7">
        <f t="shared" si="98"/>
        <v>-0.23047804843951603</v>
      </c>
      <c r="P486" s="6">
        <f t="shared" si="95"/>
        <v>793754.02844564233</v>
      </c>
      <c r="Q486" s="6">
        <f t="shared" si="102"/>
        <v>23266152.579999894</v>
      </c>
      <c r="R486" s="4">
        <f t="shared" ca="1" si="101"/>
        <v>-1198</v>
      </c>
      <c r="S486" s="6"/>
      <c r="T486" s="5"/>
      <c r="U486" s="30" t="str">
        <f t="shared" si="96"/>
        <v>PENDIENTE</v>
      </c>
    </row>
    <row r="487" spans="1:21" x14ac:dyDescent="0.25">
      <c r="A487" s="4" t="str">
        <f t="shared" si="97"/>
        <v>20282</v>
      </c>
      <c r="B487" s="4" t="s">
        <v>39</v>
      </c>
      <c r="C487" s="4" t="s">
        <v>40</v>
      </c>
      <c r="D487" s="29" t="s">
        <v>41</v>
      </c>
      <c r="E487" s="28">
        <v>46798</v>
      </c>
      <c r="F487" s="4">
        <v>86</v>
      </c>
      <c r="G487" s="4">
        <v>34</v>
      </c>
      <c r="H487" s="6">
        <v>599694.1</v>
      </c>
      <c r="I487" s="6">
        <v>189634.73830992269</v>
      </c>
      <c r="J487" s="6">
        <v>0</v>
      </c>
      <c r="K487" s="6">
        <v>0</v>
      </c>
      <c r="L487" s="6">
        <f t="shared" si="99"/>
        <v>0</v>
      </c>
      <c r="M487" s="7">
        <f t="shared" si="100"/>
        <v>1.0566666666666667E-2</v>
      </c>
      <c r="N487" s="7">
        <f t="shared" si="94"/>
        <v>8.1506702776864351E-3</v>
      </c>
      <c r="O487" s="7">
        <f t="shared" si="98"/>
        <v>-0.22864319138614175</v>
      </c>
      <c r="P487" s="6">
        <f t="shared" si="95"/>
        <v>789328.83830992272</v>
      </c>
      <c r="Q487" s="6">
        <f t="shared" si="102"/>
        <v>22666458.479999892</v>
      </c>
      <c r="R487" s="4">
        <f t="shared" ca="1" si="101"/>
        <v>-1229</v>
      </c>
      <c r="S487" s="6"/>
      <c r="T487" s="5"/>
      <c r="U487" s="30" t="str">
        <f t="shared" si="96"/>
        <v>PENDIENTE</v>
      </c>
    </row>
    <row r="488" spans="1:21" x14ac:dyDescent="0.25">
      <c r="A488" s="4" t="str">
        <f t="shared" si="97"/>
        <v>20283</v>
      </c>
      <c r="B488" s="4" t="s">
        <v>39</v>
      </c>
      <c r="C488" s="4" t="s">
        <v>40</v>
      </c>
      <c r="D488" s="29" t="s">
        <v>41</v>
      </c>
      <c r="E488" s="28">
        <v>46827</v>
      </c>
      <c r="F488" s="4">
        <v>87</v>
      </c>
      <c r="G488" s="4">
        <v>33</v>
      </c>
      <c r="H488" s="6">
        <v>599694.1</v>
      </c>
      <c r="I488" s="6">
        <v>185209.54817415783</v>
      </c>
      <c r="J488" s="6">
        <v>0</v>
      </c>
      <c r="K488" s="6">
        <v>0</v>
      </c>
      <c r="L488" s="6">
        <f t="shared" si="99"/>
        <v>0</v>
      </c>
      <c r="M488" s="7">
        <f t="shared" si="100"/>
        <v>1.0566666666666667E-2</v>
      </c>
      <c r="N488" s="7">
        <f t="shared" si="94"/>
        <v>8.1710845272798312E-3</v>
      </c>
      <c r="O488" s="7">
        <f t="shared" si="98"/>
        <v>-0.22671124347509486</v>
      </c>
      <c r="P488" s="6">
        <f t="shared" si="95"/>
        <v>784903.64817415783</v>
      </c>
      <c r="Q488" s="6">
        <f t="shared" si="102"/>
        <v>22066764.379999891</v>
      </c>
      <c r="R488" s="4">
        <f t="shared" ca="1" si="101"/>
        <v>-1260</v>
      </c>
      <c r="S488" s="6"/>
      <c r="T488" s="5"/>
      <c r="U488" s="30" t="str">
        <f t="shared" si="96"/>
        <v>PENDIENTE</v>
      </c>
    </row>
    <row r="489" spans="1:21" x14ac:dyDescent="0.25">
      <c r="A489" s="4" t="str">
        <f t="shared" si="97"/>
        <v>20284</v>
      </c>
      <c r="B489" s="4" t="s">
        <v>39</v>
      </c>
      <c r="C489" s="4" t="s">
        <v>40</v>
      </c>
      <c r="D489" s="29" t="s">
        <v>41</v>
      </c>
      <c r="E489" s="28">
        <v>46858</v>
      </c>
      <c r="F489" s="4">
        <v>88</v>
      </c>
      <c r="G489" s="4">
        <v>32</v>
      </c>
      <c r="H489" s="6">
        <v>599694.1</v>
      </c>
      <c r="I489" s="6">
        <v>180784.35803845202</v>
      </c>
      <c r="J489" s="6">
        <v>0</v>
      </c>
      <c r="K489" s="6">
        <v>0</v>
      </c>
      <c r="L489" s="6">
        <f t="shared" si="99"/>
        <v>0</v>
      </c>
      <c r="M489" s="7">
        <f t="shared" si="100"/>
        <v>1.0566666666666667E-2</v>
      </c>
      <c r="N489" s="7">
        <f t="shared" si="94"/>
        <v>8.1926083464372822E-3</v>
      </c>
      <c r="O489" s="7">
        <f t="shared" si="98"/>
        <v>-0.22467428898069886</v>
      </c>
      <c r="P489" s="6">
        <f t="shared" si="95"/>
        <v>780478.45803845196</v>
      </c>
      <c r="Q489" s="6">
        <f t="shared" si="102"/>
        <v>21467070.279999889</v>
      </c>
      <c r="R489" s="4">
        <f t="shared" ca="1" si="101"/>
        <v>-1289</v>
      </c>
      <c r="S489" s="6"/>
      <c r="T489" s="5"/>
      <c r="U489" s="30" t="str">
        <f t="shared" si="96"/>
        <v>PENDIENTE</v>
      </c>
    </row>
    <row r="490" spans="1:21" x14ac:dyDescent="0.25">
      <c r="A490" s="4" t="str">
        <f t="shared" si="97"/>
        <v>20285</v>
      </c>
      <c r="B490" s="4" t="s">
        <v>39</v>
      </c>
      <c r="C490" s="4" t="s">
        <v>40</v>
      </c>
      <c r="D490" s="29" t="s">
        <v>41</v>
      </c>
      <c r="E490" s="28">
        <v>46888</v>
      </c>
      <c r="F490" s="4">
        <v>89</v>
      </c>
      <c r="G490" s="4">
        <v>31</v>
      </c>
      <c r="H490" s="6">
        <v>599694.1</v>
      </c>
      <c r="I490" s="6">
        <v>176359.16790275724</v>
      </c>
      <c r="J490" s="6">
        <v>0</v>
      </c>
      <c r="K490" s="6">
        <v>0</v>
      </c>
      <c r="L490" s="6">
        <f t="shared" si="99"/>
        <v>0</v>
      </c>
      <c r="M490" s="7">
        <f t="shared" si="100"/>
        <v>1.0566666666666667E-2</v>
      </c>
      <c r="N490" s="7">
        <f t="shared" si="94"/>
        <v>8.2153347244157873E-3</v>
      </c>
      <c r="O490" s="7">
        <f t="shared" si="98"/>
        <v>-0.22252352765781191</v>
      </c>
      <c r="P490" s="6">
        <f t="shared" si="95"/>
        <v>776053.26790275727</v>
      </c>
      <c r="Q490" s="6">
        <f t="shared" si="102"/>
        <v>20867376.179999888</v>
      </c>
      <c r="R490" s="4">
        <f t="shared" ca="1" si="101"/>
        <v>-1320</v>
      </c>
      <c r="S490" s="6"/>
      <c r="T490" s="5"/>
      <c r="U490" s="30" t="str">
        <f t="shared" si="96"/>
        <v>PENDIENTE</v>
      </c>
    </row>
    <row r="491" spans="1:21" x14ac:dyDescent="0.25">
      <c r="A491" s="4" t="str">
        <f t="shared" si="97"/>
        <v>20286</v>
      </c>
      <c r="B491" s="4" t="s">
        <v>39</v>
      </c>
      <c r="C491" s="4" t="s">
        <v>40</v>
      </c>
      <c r="D491" s="29" t="s">
        <v>41</v>
      </c>
      <c r="E491" s="28">
        <v>46919</v>
      </c>
      <c r="F491" s="4">
        <v>90</v>
      </c>
      <c r="G491" s="4">
        <v>30</v>
      </c>
      <c r="H491" s="6">
        <v>599694.1</v>
      </c>
      <c r="I491" s="6">
        <v>171933.97776703676</v>
      </c>
      <c r="J491" s="6">
        <v>0</v>
      </c>
      <c r="K491" s="6">
        <v>0</v>
      </c>
      <c r="L491" s="6">
        <f t="shared" si="99"/>
        <v>0</v>
      </c>
      <c r="M491" s="7">
        <f t="shared" si="100"/>
        <v>1.0566666666666667E-2</v>
      </c>
      <c r="N491" s="7">
        <f t="shared" si="94"/>
        <v>8.239367339906635E-3</v>
      </c>
      <c r="O491" s="7">
        <f t="shared" si="98"/>
        <v>-0.22024914764290526</v>
      </c>
      <c r="P491" s="6">
        <f t="shared" si="95"/>
        <v>771628.07776703674</v>
      </c>
      <c r="Q491" s="6">
        <f t="shared" si="102"/>
        <v>20267682.079999886</v>
      </c>
      <c r="R491" s="4">
        <f t="shared" ca="1" si="101"/>
        <v>-1350</v>
      </c>
      <c r="S491" s="6"/>
      <c r="T491" s="5"/>
      <c r="U491" s="30" t="str">
        <f t="shared" si="96"/>
        <v>PENDIENTE</v>
      </c>
    </row>
    <row r="492" spans="1:21" x14ac:dyDescent="0.25">
      <c r="A492" s="4" t="str">
        <f t="shared" si="97"/>
        <v>20287</v>
      </c>
      <c r="B492" s="4" t="s">
        <v>39</v>
      </c>
      <c r="C492" s="4" t="s">
        <v>40</v>
      </c>
      <c r="D492" s="29" t="s">
        <v>41</v>
      </c>
      <c r="E492" s="28">
        <v>46949</v>
      </c>
      <c r="F492" s="4">
        <v>91</v>
      </c>
      <c r="G492" s="4">
        <v>29</v>
      </c>
      <c r="H492" s="6">
        <v>599694.1</v>
      </c>
      <c r="I492" s="6">
        <v>167508.78763131611</v>
      </c>
      <c r="J492" s="6">
        <v>0</v>
      </c>
      <c r="K492" s="6">
        <v>0</v>
      </c>
      <c r="L492" s="6">
        <f t="shared" si="99"/>
        <v>0</v>
      </c>
      <c r="M492" s="7">
        <f t="shared" si="100"/>
        <v>1.0566666666666667E-2</v>
      </c>
      <c r="N492" s="7">
        <f t="shared" si="94"/>
        <v>8.2648221424695377E-3</v>
      </c>
      <c r="O492" s="7">
        <f t="shared" si="98"/>
        <v>-0.21784017579152637</v>
      </c>
      <c r="P492" s="6">
        <f t="shared" si="95"/>
        <v>767202.88763131609</v>
      </c>
      <c r="Q492" s="6">
        <f t="shared" si="102"/>
        <v>19667987.979999885</v>
      </c>
      <c r="R492" s="4">
        <f t="shared" ca="1" si="101"/>
        <v>-1381</v>
      </c>
      <c r="S492" s="6"/>
      <c r="T492" s="5"/>
      <c r="U492" s="30" t="str">
        <f t="shared" si="96"/>
        <v>PENDIENTE</v>
      </c>
    </row>
    <row r="493" spans="1:21" x14ac:dyDescent="0.25">
      <c r="A493" s="4" t="str">
        <f t="shared" si="97"/>
        <v>20288</v>
      </c>
      <c r="B493" s="4" t="s">
        <v>39</v>
      </c>
      <c r="C493" s="4" t="s">
        <v>40</v>
      </c>
      <c r="D493" s="29" t="s">
        <v>41</v>
      </c>
      <c r="E493" s="28">
        <v>46980</v>
      </c>
      <c r="F493" s="4">
        <v>92</v>
      </c>
      <c r="G493" s="4">
        <v>28</v>
      </c>
      <c r="H493" s="6">
        <v>599694.1</v>
      </c>
      <c r="I493" s="6">
        <v>163083.59749560527</v>
      </c>
      <c r="J493" s="6">
        <v>0</v>
      </c>
      <c r="K493" s="6">
        <v>0</v>
      </c>
      <c r="L493" s="6">
        <f t="shared" si="99"/>
        <v>0</v>
      </c>
      <c r="M493" s="7">
        <f t="shared" si="100"/>
        <v>1.0566666666666667E-2</v>
      </c>
      <c r="N493" s="7">
        <f t="shared" si="94"/>
        <v>8.2918292232760562E-3</v>
      </c>
      <c r="O493" s="7">
        <f t="shared" si="98"/>
        <v>-0.21528430063633541</v>
      </c>
      <c r="P493" s="6">
        <f t="shared" si="95"/>
        <v>762777.69749560521</v>
      </c>
      <c r="Q493" s="6">
        <f t="shared" si="102"/>
        <v>19068293.879999883</v>
      </c>
      <c r="R493" s="4">
        <f t="shared" ca="1" si="101"/>
        <v>-1411</v>
      </c>
      <c r="S493" s="6"/>
      <c r="T493" s="5"/>
      <c r="U493" s="30" t="str">
        <f t="shared" si="96"/>
        <v>PENDIENTE</v>
      </c>
    </row>
    <row r="494" spans="1:21" x14ac:dyDescent="0.25">
      <c r="A494" s="4" t="str">
        <f t="shared" si="97"/>
        <v>20289</v>
      </c>
      <c r="B494" s="4" t="s">
        <v>39</v>
      </c>
      <c r="C494" s="4" t="s">
        <v>40</v>
      </c>
      <c r="D494" s="29" t="s">
        <v>41</v>
      </c>
      <c r="E494" s="28">
        <v>47011</v>
      </c>
      <c r="F494" s="4">
        <v>93</v>
      </c>
      <c r="G494" s="4">
        <v>27</v>
      </c>
      <c r="H494" s="6">
        <v>599694.1</v>
      </c>
      <c r="I494" s="6">
        <v>158658.40735989326</v>
      </c>
      <c r="J494" s="6">
        <v>0</v>
      </c>
      <c r="K494" s="6">
        <v>0</v>
      </c>
      <c r="L494" s="6">
        <f t="shared" si="99"/>
        <v>0</v>
      </c>
      <c r="M494" s="7">
        <f t="shared" si="100"/>
        <v>1.0566666666666667E-2</v>
      </c>
      <c r="N494" s="7">
        <f t="shared" si="94"/>
        <v>8.320535038863909E-3</v>
      </c>
      <c r="O494" s="7">
        <f t="shared" si="98"/>
        <v>-0.21256766193716947</v>
      </c>
      <c r="P494" s="6">
        <f t="shared" si="95"/>
        <v>758352.50735989329</v>
      </c>
      <c r="Q494" s="6">
        <f t="shared" si="102"/>
        <v>18468599.779999882</v>
      </c>
      <c r="R494" s="4">
        <f t="shared" ca="1" si="101"/>
        <v>-1442</v>
      </c>
      <c r="S494" s="6"/>
      <c r="T494" s="5"/>
      <c r="U494" s="30" t="str">
        <f t="shared" si="96"/>
        <v>PENDIENTE</v>
      </c>
    </row>
    <row r="495" spans="1:21" x14ac:dyDescent="0.25">
      <c r="A495" s="4" t="str">
        <f t="shared" si="97"/>
        <v>202810</v>
      </c>
      <c r="B495" s="4" t="s">
        <v>39</v>
      </c>
      <c r="C495" s="4" t="s">
        <v>40</v>
      </c>
      <c r="D495" s="29" t="s">
        <v>41</v>
      </c>
      <c r="E495" s="28">
        <v>47041</v>
      </c>
      <c r="F495" s="4">
        <v>94</v>
      </c>
      <c r="G495" s="4">
        <v>26</v>
      </c>
      <c r="H495" s="6">
        <v>599694.1</v>
      </c>
      <c r="I495" s="6">
        <v>154233.2172241775</v>
      </c>
      <c r="J495" s="6">
        <v>0</v>
      </c>
      <c r="K495" s="6">
        <v>0</v>
      </c>
      <c r="L495" s="6">
        <f t="shared" si="99"/>
        <v>0</v>
      </c>
      <c r="M495" s="7">
        <f t="shared" si="100"/>
        <v>1.0566666666666667E-2</v>
      </c>
      <c r="N495" s="7">
        <f t="shared" si="94"/>
        <v>8.3511050681384404E-3</v>
      </c>
      <c r="O495" s="7">
        <f t="shared" si="98"/>
        <v>-0.20967459922980058</v>
      </c>
      <c r="P495" s="6">
        <f t="shared" si="95"/>
        <v>753927.31722417753</v>
      </c>
      <c r="Q495" s="6">
        <f t="shared" si="102"/>
        <v>17868905.67999988</v>
      </c>
      <c r="R495" s="4">
        <f t="shared" ca="1" si="101"/>
        <v>-1473</v>
      </c>
      <c r="S495" s="6"/>
      <c r="T495" s="5"/>
      <c r="U495" s="30" t="str">
        <f t="shared" si="96"/>
        <v>PENDIENTE</v>
      </c>
    </row>
    <row r="496" spans="1:21" x14ac:dyDescent="0.25">
      <c r="A496" s="4" t="str">
        <f t="shared" si="97"/>
        <v>202811</v>
      </c>
      <c r="B496" s="4" t="s">
        <v>39</v>
      </c>
      <c r="C496" s="4" t="s">
        <v>40</v>
      </c>
      <c r="D496" s="29" t="s">
        <v>41</v>
      </c>
      <c r="E496" s="28">
        <v>47072</v>
      </c>
      <c r="F496" s="4">
        <v>95</v>
      </c>
      <c r="G496" s="4">
        <v>25</v>
      </c>
      <c r="H496" s="6">
        <v>599694.1</v>
      </c>
      <c r="I496" s="6">
        <v>149808.02708846275</v>
      </c>
      <c r="J496" s="6">
        <v>0</v>
      </c>
      <c r="K496" s="6">
        <v>0</v>
      </c>
      <c r="L496" s="6">
        <f t="shared" si="99"/>
        <v>0</v>
      </c>
      <c r="M496" s="7">
        <f t="shared" si="100"/>
        <v>1.0566666666666667E-2</v>
      </c>
      <c r="N496" s="7">
        <f t="shared" si="94"/>
        <v>8.3837270043983884E-3</v>
      </c>
      <c r="O496" s="7">
        <f t="shared" si="98"/>
        <v>-0.20658734974147741</v>
      </c>
      <c r="P496" s="6">
        <f t="shared" si="95"/>
        <v>749502.1270884627</v>
      </c>
      <c r="Q496" s="6">
        <f t="shared" si="102"/>
        <v>17269211.579999879</v>
      </c>
      <c r="R496" s="4">
        <f t="shared" ca="1" si="101"/>
        <v>-1503</v>
      </c>
      <c r="S496" s="6"/>
      <c r="T496" s="5"/>
      <c r="U496" s="30" t="str">
        <f t="shared" si="96"/>
        <v>PENDIENTE</v>
      </c>
    </row>
    <row r="497" spans="1:21" x14ac:dyDescent="0.25">
      <c r="A497" s="4" t="str">
        <f t="shared" si="97"/>
        <v>202812</v>
      </c>
      <c r="B497" s="4" t="s">
        <v>39</v>
      </c>
      <c r="C497" s="4" t="s">
        <v>40</v>
      </c>
      <c r="D497" s="29" t="s">
        <v>41</v>
      </c>
      <c r="E497" s="28">
        <v>47102</v>
      </c>
      <c r="F497" s="4">
        <v>96</v>
      </c>
      <c r="G497" s="4">
        <v>24</v>
      </c>
      <c r="H497" s="6">
        <v>599694.1</v>
      </c>
      <c r="I497" s="6">
        <v>145382.83695274932</v>
      </c>
      <c r="J497" s="6">
        <v>0</v>
      </c>
      <c r="K497" s="6">
        <v>0</v>
      </c>
      <c r="L497" s="6">
        <f t="shared" si="99"/>
        <v>0</v>
      </c>
      <c r="M497" s="7">
        <f t="shared" si="100"/>
        <v>1.0566666666666667E-2</v>
      </c>
      <c r="N497" s="7">
        <f t="shared" si="94"/>
        <v>8.4186146124425633E-3</v>
      </c>
      <c r="O497" s="7">
        <f t="shared" si="98"/>
        <v>-0.20328568336505715</v>
      </c>
      <c r="P497" s="6">
        <f t="shared" si="95"/>
        <v>745076.93695274927</v>
      </c>
      <c r="Q497" s="6">
        <f t="shared" si="102"/>
        <v>16669517.479999879</v>
      </c>
      <c r="R497" s="4">
        <f t="shared" ca="1" si="101"/>
        <v>-1534</v>
      </c>
      <c r="S497" s="6"/>
      <c r="T497" s="5"/>
      <c r="U497" s="30" t="str">
        <f t="shared" si="96"/>
        <v>PENDIENTE</v>
      </c>
    </row>
    <row r="498" spans="1:21" x14ac:dyDescent="0.25">
      <c r="A498" s="4" t="str">
        <f t="shared" si="97"/>
        <v>20291</v>
      </c>
      <c r="B498" s="4" t="s">
        <v>39</v>
      </c>
      <c r="C498" s="4" t="s">
        <v>40</v>
      </c>
      <c r="D498" s="29" t="s">
        <v>41</v>
      </c>
      <c r="E498" s="28">
        <v>47133</v>
      </c>
      <c r="F498" s="4">
        <v>97</v>
      </c>
      <c r="G498" s="4">
        <v>23</v>
      </c>
      <c r="H498" s="6">
        <v>599694.1</v>
      </c>
      <c r="I498" s="6">
        <v>140957.64681703533</v>
      </c>
      <c r="J498" s="6">
        <v>0</v>
      </c>
      <c r="K498" s="6">
        <v>0</v>
      </c>
      <c r="L498" s="6">
        <f t="shared" si="99"/>
        <v>0</v>
      </c>
      <c r="M498" s="7">
        <f t="shared" si="100"/>
        <v>1.0566666666666667E-2</v>
      </c>
      <c r="N498" s="7">
        <f t="shared" si="94"/>
        <v>8.456012418245255E-3</v>
      </c>
      <c r="O498" s="7">
        <f t="shared" si="98"/>
        <v>-0.19974645884114306</v>
      </c>
      <c r="P498" s="6">
        <f t="shared" si="95"/>
        <v>740651.74681703537</v>
      </c>
      <c r="Q498" s="6">
        <f t="shared" si="102"/>
        <v>16069823.37999988</v>
      </c>
      <c r="R498" s="4">
        <f t="shared" ca="1" si="101"/>
        <v>-1564</v>
      </c>
      <c r="S498" s="6"/>
      <c r="T498" s="5"/>
      <c r="U498" s="30" t="str">
        <f t="shared" si="96"/>
        <v>PENDIENTE</v>
      </c>
    </row>
    <row r="499" spans="1:21" x14ac:dyDescent="0.25">
      <c r="A499" s="4" t="str">
        <f t="shared" si="97"/>
        <v>20292</v>
      </c>
      <c r="B499" s="4" t="s">
        <v>39</v>
      </c>
      <c r="C499" s="4" t="s">
        <v>40</v>
      </c>
      <c r="D499" s="29" t="s">
        <v>41</v>
      </c>
      <c r="E499" s="28">
        <v>47164</v>
      </c>
      <c r="F499" s="4">
        <v>98</v>
      </c>
      <c r="G499" s="4">
        <v>22</v>
      </c>
      <c r="H499" s="6">
        <v>599694.1</v>
      </c>
      <c r="I499" s="6">
        <v>136532.45668132088</v>
      </c>
      <c r="J499" s="6">
        <v>0</v>
      </c>
      <c r="K499" s="6">
        <v>0</v>
      </c>
      <c r="L499" s="6">
        <f t="shared" si="99"/>
        <v>0</v>
      </c>
      <c r="M499" s="7">
        <f t="shared" si="100"/>
        <v>1.0566666666666667E-2</v>
      </c>
      <c r="N499" s="7">
        <f t="shared" si="94"/>
        <v>8.4962014486883487E-3</v>
      </c>
      <c r="O499" s="7">
        <f t="shared" si="98"/>
        <v>-0.19594308056577148</v>
      </c>
      <c r="P499" s="6">
        <f t="shared" si="95"/>
        <v>736226.55668132089</v>
      </c>
      <c r="Q499" s="6">
        <f t="shared" si="102"/>
        <v>15470129.27999988</v>
      </c>
      <c r="R499" s="4">
        <f t="shared" ca="1" si="101"/>
        <v>-1595</v>
      </c>
      <c r="S499" s="6"/>
      <c r="T499" s="5"/>
      <c r="U499" s="30" t="str">
        <f t="shared" si="96"/>
        <v>PENDIENTE</v>
      </c>
    </row>
    <row r="500" spans="1:21" x14ac:dyDescent="0.25">
      <c r="A500" s="4" t="str">
        <f t="shared" si="97"/>
        <v>20293</v>
      </c>
      <c r="B500" s="4" t="s">
        <v>39</v>
      </c>
      <c r="C500" s="4" t="s">
        <v>40</v>
      </c>
      <c r="D500" s="29" t="s">
        <v>41</v>
      </c>
      <c r="E500" s="28">
        <v>47192</v>
      </c>
      <c r="F500" s="4">
        <v>99</v>
      </c>
      <c r="G500" s="4">
        <v>21</v>
      </c>
      <c r="H500" s="6">
        <v>599694.1</v>
      </c>
      <c r="I500" s="6">
        <v>132107.26654560672</v>
      </c>
      <c r="J500" s="6">
        <v>0</v>
      </c>
      <c r="K500" s="6">
        <v>0</v>
      </c>
      <c r="L500" s="6">
        <f t="shared" si="99"/>
        <v>0</v>
      </c>
      <c r="M500" s="7">
        <f t="shared" si="100"/>
        <v>1.0566666666666667E-2</v>
      </c>
      <c r="N500" s="7">
        <f t="shared" si="94"/>
        <v>8.5395063062852269E-3</v>
      </c>
      <c r="O500" s="7">
        <f t="shared" si="98"/>
        <v>-0.19184482905818045</v>
      </c>
      <c r="P500" s="6">
        <f t="shared" si="95"/>
        <v>731801.36654560664</v>
      </c>
      <c r="Q500" s="6">
        <f t="shared" si="102"/>
        <v>14870435.17999988</v>
      </c>
      <c r="R500" s="4">
        <f t="shared" ca="1" si="101"/>
        <v>-1626</v>
      </c>
      <c r="S500" s="6"/>
      <c r="T500" s="5"/>
      <c r="U500" s="30" t="str">
        <f t="shared" si="96"/>
        <v>PENDIENTE</v>
      </c>
    </row>
    <row r="501" spans="1:21" x14ac:dyDescent="0.25">
      <c r="A501" s="4" t="str">
        <f t="shared" si="97"/>
        <v>20294</v>
      </c>
      <c r="B501" s="4" t="s">
        <v>39</v>
      </c>
      <c r="C501" s="4" t="s">
        <v>40</v>
      </c>
      <c r="D501" s="29" t="s">
        <v>41</v>
      </c>
      <c r="E501" s="28">
        <v>47223</v>
      </c>
      <c r="F501" s="4">
        <v>100</v>
      </c>
      <c r="G501" s="4">
        <v>20</v>
      </c>
      <c r="H501" s="6">
        <v>599694.1</v>
      </c>
      <c r="I501" s="6">
        <v>127682.07640989272</v>
      </c>
      <c r="J501" s="6">
        <v>0</v>
      </c>
      <c r="K501" s="6">
        <v>0</v>
      </c>
      <c r="L501" s="6">
        <f t="shared" si="99"/>
        <v>0</v>
      </c>
      <c r="M501" s="7">
        <f t="shared" si="100"/>
        <v>1.0566666666666667E-2</v>
      </c>
      <c r="N501" s="7">
        <f t="shared" si="94"/>
        <v>8.5863039557591316E-3</v>
      </c>
      <c r="O501" s="7">
        <f t="shared" si="98"/>
        <v>-0.18741602942342606</v>
      </c>
      <c r="P501" s="6">
        <f t="shared" si="95"/>
        <v>727376.17640989274</v>
      </c>
      <c r="Q501" s="6">
        <f t="shared" si="102"/>
        <v>14270741.079999881</v>
      </c>
      <c r="R501" s="4">
        <f t="shared" ca="1" si="101"/>
        <v>-1654</v>
      </c>
      <c r="S501" s="6"/>
      <c r="T501" s="5"/>
      <c r="U501" s="30" t="str">
        <f t="shared" si="96"/>
        <v>PENDIENTE</v>
      </c>
    </row>
    <row r="502" spans="1:21" x14ac:dyDescent="0.25">
      <c r="A502" s="4" t="str">
        <f t="shared" si="97"/>
        <v>20295</v>
      </c>
      <c r="B502" s="4" t="s">
        <v>39</v>
      </c>
      <c r="C502" s="4" t="s">
        <v>40</v>
      </c>
      <c r="D502" s="29" t="s">
        <v>41</v>
      </c>
      <c r="E502" s="28">
        <v>47253</v>
      </c>
      <c r="F502" s="4">
        <v>101</v>
      </c>
      <c r="G502" s="4">
        <v>19</v>
      </c>
      <c r="H502" s="6">
        <v>599694.1</v>
      </c>
      <c r="I502" s="6">
        <v>123256.88627417859</v>
      </c>
      <c r="J502" s="6">
        <v>0</v>
      </c>
      <c r="K502" s="6">
        <v>0</v>
      </c>
      <c r="L502" s="6">
        <f t="shared" si="99"/>
        <v>0</v>
      </c>
      <c r="M502" s="7">
        <f t="shared" si="100"/>
        <v>1.0566666666666667E-2</v>
      </c>
      <c r="N502" s="7">
        <f t="shared" si="94"/>
        <v>8.6370347260325744E-3</v>
      </c>
      <c r="O502" s="7">
        <f t="shared" si="98"/>
        <v>-0.18261501015464598</v>
      </c>
      <c r="P502" s="6">
        <f t="shared" si="95"/>
        <v>722950.98627417861</v>
      </c>
      <c r="Q502" s="6">
        <f t="shared" si="102"/>
        <v>13671046.979999881</v>
      </c>
      <c r="R502" s="4">
        <f t="shared" ca="1" si="101"/>
        <v>-1685</v>
      </c>
      <c r="S502" s="6"/>
      <c r="T502" s="5"/>
      <c r="U502" s="30" t="str">
        <f t="shared" si="96"/>
        <v>PENDIENTE</v>
      </c>
    </row>
    <row r="503" spans="1:21" x14ac:dyDescent="0.25">
      <c r="A503" s="4" t="str">
        <f t="shared" si="97"/>
        <v>20296</v>
      </c>
      <c r="B503" s="4" t="s">
        <v>39</v>
      </c>
      <c r="C503" s="4" t="s">
        <v>40</v>
      </c>
      <c r="D503" s="29" t="s">
        <v>41</v>
      </c>
      <c r="E503" s="28">
        <v>47284</v>
      </c>
      <c r="F503" s="4">
        <v>102</v>
      </c>
      <c r="G503" s="4">
        <v>18</v>
      </c>
      <c r="H503" s="6">
        <v>599694.1</v>
      </c>
      <c r="I503" s="6">
        <v>118831.69613846439</v>
      </c>
      <c r="J503" s="6">
        <v>0</v>
      </c>
      <c r="K503" s="6">
        <v>0</v>
      </c>
      <c r="L503" s="6">
        <f t="shared" si="99"/>
        <v>0</v>
      </c>
      <c r="M503" s="7">
        <f t="shared" si="100"/>
        <v>1.0566666666666667E-2</v>
      </c>
      <c r="N503" s="7">
        <f t="shared" si="94"/>
        <v>8.6922162078961283E-3</v>
      </c>
      <c r="O503" s="7">
        <f t="shared" si="98"/>
        <v>-0.17739278789626545</v>
      </c>
      <c r="P503" s="6">
        <f t="shared" si="95"/>
        <v>718525.79613846436</v>
      </c>
      <c r="Q503" s="6">
        <f t="shared" si="102"/>
        <v>13071352.879999882</v>
      </c>
      <c r="R503" s="4">
        <f t="shared" ca="1" si="101"/>
        <v>-1715</v>
      </c>
      <c r="S503" s="6"/>
      <c r="T503" s="5"/>
      <c r="U503" s="30" t="str">
        <f t="shared" si="96"/>
        <v>PENDIENTE</v>
      </c>
    </row>
    <row r="504" spans="1:21" x14ac:dyDescent="0.25">
      <c r="A504" s="4" t="str">
        <f t="shared" si="97"/>
        <v>20297</v>
      </c>
      <c r="B504" s="4" t="s">
        <v>39</v>
      </c>
      <c r="C504" s="4" t="s">
        <v>40</v>
      </c>
      <c r="D504" s="29" t="s">
        <v>41</v>
      </c>
      <c r="E504" s="28">
        <v>47314</v>
      </c>
      <c r="F504" s="4">
        <v>103</v>
      </c>
      <c r="G504" s="4">
        <v>17</v>
      </c>
      <c r="H504" s="6">
        <v>599694.1</v>
      </c>
      <c r="I504" s="6">
        <v>114406.50600275028</v>
      </c>
      <c r="J504" s="6">
        <v>0</v>
      </c>
      <c r="K504" s="6">
        <v>0</v>
      </c>
      <c r="L504" s="6">
        <f t="shared" si="99"/>
        <v>0</v>
      </c>
      <c r="M504" s="7">
        <f t="shared" si="100"/>
        <v>1.0566666666666667E-2</v>
      </c>
      <c r="N504" s="7">
        <f t="shared" si="94"/>
        <v>8.7524609773025515E-3</v>
      </c>
      <c r="O504" s="7">
        <f t="shared" si="98"/>
        <v>-0.17169139016064183</v>
      </c>
      <c r="P504" s="6">
        <f t="shared" si="95"/>
        <v>714100.60600275022</v>
      </c>
      <c r="Q504" s="6">
        <f t="shared" si="102"/>
        <v>12471658.779999882</v>
      </c>
      <c r="R504" s="4">
        <f t="shared" ca="1" si="101"/>
        <v>-1746</v>
      </c>
      <c r="S504" s="6"/>
      <c r="T504" s="5"/>
      <c r="U504" s="30" t="str">
        <f t="shared" si="96"/>
        <v>PENDIENTE</v>
      </c>
    </row>
    <row r="505" spans="1:21" x14ac:dyDescent="0.25">
      <c r="A505" s="4" t="str">
        <f t="shared" si="97"/>
        <v>20298</v>
      </c>
      <c r="B505" s="4" t="s">
        <v>39</v>
      </c>
      <c r="C505" s="4" t="s">
        <v>40</v>
      </c>
      <c r="D505" s="29" t="s">
        <v>41</v>
      </c>
      <c r="E505" s="28">
        <v>47345</v>
      </c>
      <c r="F505" s="4">
        <v>104</v>
      </c>
      <c r="G505" s="4">
        <v>16</v>
      </c>
      <c r="H505" s="6">
        <v>599694.1</v>
      </c>
      <c r="I505" s="6">
        <v>109981.31586703617</v>
      </c>
      <c r="J505" s="6">
        <v>0</v>
      </c>
      <c r="K505" s="6">
        <v>0</v>
      </c>
      <c r="L505" s="6">
        <f t="shared" si="99"/>
        <v>0</v>
      </c>
      <c r="M505" s="7">
        <f t="shared" si="100"/>
        <v>1.0566666666666667E-2</v>
      </c>
      <c r="N505" s="7">
        <f t="shared" ref="N505:N521" si="103">I505/Q504</f>
        <v>8.8184994319606622E-3</v>
      </c>
      <c r="O505" s="7">
        <f t="shared" si="98"/>
        <v>-0.16544169413621501</v>
      </c>
      <c r="P505" s="6">
        <f t="shared" ref="P505:P521" si="104">H505+I505+J505+K505+L505</f>
        <v>709675.41586703621</v>
      </c>
      <c r="Q505" s="6">
        <f t="shared" si="102"/>
        <v>11871964.679999882</v>
      </c>
      <c r="R505" s="4">
        <f t="shared" ca="1" si="101"/>
        <v>-1776</v>
      </c>
      <c r="S505" s="6"/>
      <c r="T505" s="5"/>
      <c r="U505" s="30" t="str">
        <f t="shared" si="96"/>
        <v>PENDIENTE</v>
      </c>
    </row>
    <row r="506" spans="1:21" x14ac:dyDescent="0.25">
      <c r="A506" s="4" t="str">
        <f t="shared" si="97"/>
        <v>20299</v>
      </c>
      <c r="B506" s="4" t="s">
        <v>39</v>
      </c>
      <c r="C506" s="4" t="s">
        <v>40</v>
      </c>
      <c r="D506" s="29" t="s">
        <v>41</v>
      </c>
      <c r="E506" s="28">
        <v>47376</v>
      </c>
      <c r="F506" s="4">
        <v>105</v>
      </c>
      <c r="G506" s="4">
        <v>15</v>
      </c>
      <c r="H506" s="6">
        <v>599694.1</v>
      </c>
      <c r="I506" s="6">
        <v>105556.12573132203</v>
      </c>
      <c r="J506" s="6">
        <v>0</v>
      </c>
      <c r="K506" s="6">
        <v>0</v>
      </c>
      <c r="L506" s="6">
        <f t="shared" si="99"/>
        <v>0</v>
      </c>
      <c r="M506" s="7">
        <f t="shared" si="100"/>
        <v>1.0566666666666667E-2</v>
      </c>
      <c r="N506" s="7">
        <f t="shared" si="103"/>
        <v>8.8912095492624955E-3</v>
      </c>
      <c r="O506" s="7">
        <f t="shared" si="98"/>
        <v>-0.15856061047989001</v>
      </c>
      <c r="P506" s="6">
        <f t="shared" si="104"/>
        <v>705250.22573132196</v>
      </c>
      <c r="Q506" s="6">
        <f t="shared" si="102"/>
        <v>11272270.579999883</v>
      </c>
      <c r="R506" s="4">
        <f t="shared" ca="1" si="101"/>
        <v>-1807</v>
      </c>
      <c r="S506" s="6"/>
      <c r="T506" s="5"/>
      <c r="U506" s="30" t="str">
        <f t="shared" si="96"/>
        <v>PENDIENTE</v>
      </c>
    </row>
    <row r="507" spans="1:21" x14ac:dyDescent="0.25">
      <c r="A507" s="4" t="str">
        <f t="shared" si="97"/>
        <v>202910</v>
      </c>
      <c r="B507" s="4" t="s">
        <v>39</v>
      </c>
      <c r="C507" s="4" t="s">
        <v>40</v>
      </c>
      <c r="D507" s="29" t="s">
        <v>41</v>
      </c>
      <c r="E507" s="28">
        <v>47406</v>
      </c>
      <c r="F507" s="4">
        <v>106</v>
      </c>
      <c r="G507" s="4">
        <v>14</v>
      </c>
      <c r="H507" s="6">
        <v>599694.1</v>
      </c>
      <c r="I507" s="6">
        <v>101130.93559560791</v>
      </c>
      <c r="J507" s="6">
        <v>0</v>
      </c>
      <c r="K507" s="6">
        <v>0</v>
      </c>
      <c r="L507" s="6">
        <f t="shared" si="99"/>
        <v>0</v>
      </c>
      <c r="M507" s="7">
        <f t="shared" si="100"/>
        <v>1.0566666666666667E-2</v>
      </c>
      <c r="N507" s="7">
        <f t="shared" si="103"/>
        <v>8.9716561430881626E-3</v>
      </c>
      <c r="O507" s="7">
        <f t="shared" si="98"/>
        <v>-0.1509473681620036</v>
      </c>
      <c r="P507" s="6">
        <f t="shared" si="104"/>
        <v>700825.03559560794</v>
      </c>
      <c r="Q507" s="6">
        <f t="shared" si="102"/>
        <v>10672576.479999883</v>
      </c>
      <c r="R507" s="4">
        <f t="shared" ca="1" si="101"/>
        <v>-1838</v>
      </c>
      <c r="S507" s="6"/>
      <c r="T507" s="5"/>
      <c r="U507" s="30" t="str">
        <f t="shared" si="96"/>
        <v>PENDIENTE</v>
      </c>
    </row>
    <row r="508" spans="1:21" x14ac:dyDescent="0.25">
      <c r="A508" s="4" t="str">
        <f t="shared" si="97"/>
        <v>202911</v>
      </c>
      <c r="B508" s="4" t="s">
        <v>39</v>
      </c>
      <c r="C508" s="4" t="s">
        <v>40</v>
      </c>
      <c r="D508" s="29" t="s">
        <v>41</v>
      </c>
      <c r="E508" s="28">
        <v>47437</v>
      </c>
      <c r="F508" s="4">
        <v>107</v>
      </c>
      <c r="G508" s="4">
        <v>13</v>
      </c>
      <c r="H508" s="6">
        <v>599694.1</v>
      </c>
      <c r="I508" s="6">
        <v>96705.745459893777</v>
      </c>
      <c r="J508" s="6">
        <v>0</v>
      </c>
      <c r="K508" s="6">
        <v>0</v>
      </c>
      <c r="L508" s="6">
        <f t="shared" si="99"/>
        <v>0</v>
      </c>
      <c r="M508" s="7">
        <f t="shared" si="100"/>
        <v>1.0566666666666667E-2</v>
      </c>
      <c r="N508" s="7">
        <f t="shared" si="103"/>
        <v>9.0611433556946359E-3</v>
      </c>
      <c r="O508" s="7">
        <f t="shared" si="98"/>
        <v>-0.14247854677968752</v>
      </c>
      <c r="P508" s="6">
        <f t="shared" si="104"/>
        <v>696399.84545989381</v>
      </c>
      <c r="Q508" s="6">
        <f t="shared" si="102"/>
        <v>10072882.379999883</v>
      </c>
      <c r="R508" s="4">
        <f t="shared" ca="1" si="101"/>
        <v>-1868</v>
      </c>
      <c r="S508" s="6"/>
      <c r="T508" s="5"/>
      <c r="U508" s="30" t="str">
        <f t="shared" si="96"/>
        <v>PENDIENTE</v>
      </c>
    </row>
    <row r="509" spans="1:21" x14ac:dyDescent="0.25">
      <c r="A509" s="4" t="str">
        <f t="shared" si="97"/>
        <v>202912</v>
      </c>
      <c r="B509" s="4" t="s">
        <v>39</v>
      </c>
      <c r="C509" s="4" t="s">
        <v>40</v>
      </c>
      <c r="D509" s="29" t="s">
        <v>41</v>
      </c>
      <c r="E509" s="28">
        <v>47467</v>
      </c>
      <c r="F509" s="4">
        <v>108</v>
      </c>
      <c r="G509" s="4">
        <v>12</v>
      </c>
      <c r="H509" s="6">
        <v>599694.1</v>
      </c>
      <c r="I509" s="6">
        <v>92280.555324179659</v>
      </c>
      <c r="J509" s="6">
        <v>0</v>
      </c>
      <c r="K509" s="6">
        <v>0</v>
      </c>
      <c r="L509" s="6">
        <f t="shared" si="99"/>
        <v>0</v>
      </c>
      <c r="M509" s="7">
        <f t="shared" si="100"/>
        <v>1.0566666666666667E-2</v>
      </c>
      <c r="N509" s="7">
        <f t="shared" si="103"/>
        <v>9.1612859003899864E-3</v>
      </c>
      <c r="O509" s="7">
        <f t="shared" si="98"/>
        <v>-0.13300133434795081</v>
      </c>
      <c r="P509" s="6">
        <f t="shared" si="104"/>
        <v>691974.65532417968</v>
      </c>
      <c r="Q509" s="6">
        <f t="shared" si="102"/>
        <v>9473188.2799998838</v>
      </c>
      <c r="R509" s="4">
        <f t="shared" ca="1" si="101"/>
        <v>-1899</v>
      </c>
      <c r="S509" s="6"/>
      <c r="T509" s="5"/>
      <c r="U509" s="30" t="str">
        <f t="shared" si="96"/>
        <v>PENDIENTE</v>
      </c>
    </row>
    <row r="510" spans="1:21" x14ac:dyDescent="0.25">
      <c r="A510" s="4" t="str">
        <f t="shared" si="97"/>
        <v>20301</v>
      </c>
      <c r="B510" s="4" t="s">
        <v>39</v>
      </c>
      <c r="C510" s="4" t="s">
        <v>40</v>
      </c>
      <c r="D510" s="29" t="s">
        <v>41</v>
      </c>
      <c r="E510" s="28">
        <v>47498</v>
      </c>
      <c r="F510" s="4">
        <v>109</v>
      </c>
      <c r="G510" s="4">
        <v>11</v>
      </c>
      <c r="H510" s="6">
        <v>599694.1</v>
      </c>
      <c r="I510" s="6">
        <v>87855.365188465526</v>
      </c>
      <c r="J510" s="6">
        <v>0</v>
      </c>
      <c r="K510" s="6">
        <v>0</v>
      </c>
      <c r="L510" s="6">
        <f t="shared" si="99"/>
        <v>0</v>
      </c>
      <c r="M510" s="7">
        <f t="shared" si="100"/>
        <v>1.0566666666666667E-2</v>
      </c>
      <c r="N510" s="7">
        <f t="shared" si="103"/>
        <v>9.2741073640380135E-3</v>
      </c>
      <c r="O510" s="7">
        <f t="shared" si="98"/>
        <v>-0.12232422422353184</v>
      </c>
      <c r="P510" s="6">
        <f t="shared" si="104"/>
        <v>687549.46518846555</v>
      </c>
      <c r="Q510" s="6">
        <f t="shared" si="102"/>
        <v>8873494.1799998842</v>
      </c>
      <c r="R510" s="4">
        <f t="shared" ca="1" si="101"/>
        <v>-1929</v>
      </c>
      <c r="S510" s="6"/>
      <c r="T510" s="5"/>
      <c r="U510" s="30" t="str">
        <f t="shared" si="96"/>
        <v>PENDIENTE</v>
      </c>
    </row>
    <row r="511" spans="1:21" x14ac:dyDescent="0.25">
      <c r="A511" s="4" t="str">
        <f t="shared" si="97"/>
        <v>20302</v>
      </c>
      <c r="B511" s="4" t="s">
        <v>39</v>
      </c>
      <c r="C511" s="4" t="s">
        <v>40</v>
      </c>
      <c r="D511" s="29" t="s">
        <v>41</v>
      </c>
      <c r="E511" s="28">
        <v>47529</v>
      </c>
      <c r="F511" s="4">
        <v>110</v>
      </c>
      <c r="G511" s="4">
        <v>10</v>
      </c>
      <c r="H511" s="6">
        <v>599694.1</v>
      </c>
      <c r="I511" s="6">
        <v>83430.175052751394</v>
      </c>
      <c r="J511" s="6">
        <v>0</v>
      </c>
      <c r="K511" s="6">
        <v>0</v>
      </c>
      <c r="L511" s="6">
        <f t="shared" si="99"/>
        <v>0</v>
      </c>
      <c r="M511" s="7">
        <f t="shared" si="100"/>
        <v>1.0566666666666667E-2</v>
      </c>
      <c r="N511" s="7">
        <f t="shared" si="103"/>
        <v>9.4021783708154172E-3</v>
      </c>
      <c r="O511" s="7">
        <f t="shared" si="98"/>
        <v>-0.11020393967046527</v>
      </c>
      <c r="P511" s="6">
        <f t="shared" si="104"/>
        <v>683124.27505275141</v>
      </c>
      <c r="Q511" s="6">
        <f t="shared" si="102"/>
        <v>8273800.0799998846</v>
      </c>
      <c r="R511" s="4">
        <f t="shared" ca="1" si="101"/>
        <v>-1960</v>
      </c>
      <c r="S511" s="6"/>
      <c r="T511" s="5"/>
      <c r="U511" s="30" t="str">
        <f t="shared" si="96"/>
        <v>PENDIENTE</v>
      </c>
    </row>
    <row r="512" spans="1:21" x14ac:dyDescent="0.25">
      <c r="A512" s="4" t="str">
        <f t="shared" si="97"/>
        <v>20303</v>
      </c>
      <c r="B512" s="4" t="s">
        <v>39</v>
      </c>
      <c r="C512" s="4" t="s">
        <v>40</v>
      </c>
      <c r="D512" s="29" t="s">
        <v>41</v>
      </c>
      <c r="E512" s="28">
        <v>47557</v>
      </c>
      <c r="F512" s="4">
        <v>111</v>
      </c>
      <c r="G512" s="4">
        <v>9</v>
      </c>
      <c r="H512" s="6">
        <v>599694.1</v>
      </c>
      <c r="I512" s="6">
        <v>79004.984917037276</v>
      </c>
      <c r="J512" s="6">
        <v>0</v>
      </c>
      <c r="K512" s="6">
        <v>0</v>
      </c>
      <c r="L512" s="6">
        <f t="shared" si="99"/>
        <v>0</v>
      </c>
      <c r="M512" s="7">
        <f t="shared" si="100"/>
        <v>1.0566666666666667E-2</v>
      </c>
      <c r="N512" s="7">
        <f t="shared" si="103"/>
        <v>9.5488148315324515E-3</v>
      </c>
      <c r="O512" s="7">
        <f t="shared" si="98"/>
        <v>-9.6326672094720678E-2</v>
      </c>
      <c r="P512" s="6">
        <f t="shared" si="104"/>
        <v>678699.08491703728</v>
      </c>
      <c r="Q512" s="6">
        <f t="shared" si="102"/>
        <v>7674105.979999885</v>
      </c>
      <c r="R512" s="4">
        <f t="shared" ca="1" si="101"/>
        <v>-1991</v>
      </c>
      <c r="S512" s="6"/>
      <c r="T512" s="5"/>
      <c r="U512" s="30" t="str">
        <f t="shared" si="96"/>
        <v>PENDIENTE</v>
      </c>
    </row>
    <row r="513" spans="1:21" x14ac:dyDescent="0.25">
      <c r="A513" s="4" t="str">
        <f t="shared" si="97"/>
        <v>20304</v>
      </c>
      <c r="B513" s="4" t="s">
        <v>39</v>
      </c>
      <c r="C513" s="4" t="s">
        <v>40</v>
      </c>
      <c r="D513" s="29" t="s">
        <v>41</v>
      </c>
      <c r="E513" s="28">
        <v>47588</v>
      </c>
      <c r="F513" s="4">
        <v>112</v>
      </c>
      <c r="G513" s="4">
        <v>8</v>
      </c>
      <c r="H513" s="6">
        <v>599694.1</v>
      </c>
      <c r="I513" s="6">
        <v>74579.794781323144</v>
      </c>
      <c r="J513" s="6">
        <v>0</v>
      </c>
      <c r="K513" s="6">
        <v>0</v>
      </c>
      <c r="L513" s="6">
        <f t="shared" si="99"/>
        <v>0</v>
      </c>
      <c r="M513" s="7">
        <f t="shared" si="100"/>
        <v>1.0566666666666667E-2</v>
      </c>
      <c r="N513" s="7">
        <f t="shared" si="103"/>
        <v>9.7183691462812277E-3</v>
      </c>
      <c r="O513" s="7">
        <f t="shared" si="98"/>
        <v>-8.0280522433953228E-2</v>
      </c>
      <c r="P513" s="6">
        <f t="shared" si="104"/>
        <v>674273.89478132315</v>
      </c>
      <c r="Q513" s="6">
        <f t="shared" si="102"/>
        <v>7074411.8799998853</v>
      </c>
      <c r="R513" s="4">
        <f t="shared" ca="1" si="101"/>
        <v>-2019</v>
      </c>
      <c r="S513" s="6"/>
      <c r="T513" s="5"/>
      <c r="U513" s="30" t="str">
        <f t="shared" si="96"/>
        <v>PENDIENTE</v>
      </c>
    </row>
    <row r="514" spans="1:21" x14ac:dyDescent="0.25">
      <c r="A514" s="4" t="str">
        <f t="shared" si="97"/>
        <v>20305</v>
      </c>
      <c r="B514" s="4" t="s">
        <v>39</v>
      </c>
      <c r="C514" s="4" t="s">
        <v>40</v>
      </c>
      <c r="D514" s="29" t="s">
        <v>41</v>
      </c>
      <c r="E514" s="28">
        <v>47618</v>
      </c>
      <c r="F514" s="4">
        <v>113</v>
      </c>
      <c r="G514" s="4">
        <v>7</v>
      </c>
      <c r="H514" s="6">
        <v>599694.1</v>
      </c>
      <c r="I514" s="6">
        <v>70154.604645609012</v>
      </c>
      <c r="J514" s="6">
        <v>0</v>
      </c>
      <c r="K514" s="6">
        <v>0</v>
      </c>
      <c r="L514" s="6">
        <f t="shared" si="99"/>
        <v>0</v>
      </c>
      <c r="M514" s="7">
        <f t="shared" si="100"/>
        <v>1.0566666666666667E-2</v>
      </c>
      <c r="N514" s="7">
        <f t="shared" si="103"/>
        <v>9.9166695176377186E-3</v>
      </c>
      <c r="O514" s="7">
        <f t="shared" si="98"/>
        <v>-6.1513925775610212E-2</v>
      </c>
      <c r="P514" s="6">
        <f t="shared" si="104"/>
        <v>669848.70464560902</v>
      </c>
      <c r="Q514" s="6">
        <f t="shared" si="102"/>
        <v>6474717.7799998857</v>
      </c>
      <c r="R514" s="4">
        <f t="shared" ca="1" si="101"/>
        <v>-2050</v>
      </c>
      <c r="S514" s="6"/>
      <c r="T514" s="5"/>
      <c r="U514" s="30" t="str">
        <f t="shared" ref="U514:U577" si="105">IF(AND(S514="",T514=""),"PENDIENTE",IF(AND(S514&lt;&gt;"",T514&lt;&gt;""),"PAGADO","ABONADO"))</f>
        <v>PENDIENTE</v>
      </c>
    </row>
    <row r="515" spans="1:21" x14ac:dyDescent="0.25">
      <c r="A515" s="4" t="str">
        <f t="shared" ref="A515:A578" si="106">CONCATENATE(YEAR($E515),MONTH($E515))</f>
        <v>20306</v>
      </c>
      <c r="B515" s="4" t="s">
        <v>39</v>
      </c>
      <c r="C515" s="4" t="s">
        <v>40</v>
      </c>
      <c r="D515" s="29" t="s">
        <v>41</v>
      </c>
      <c r="E515" s="28">
        <v>47649</v>
      </c>
      <c r="F515" s="4">
        <v>114</v>
      </c>
      <c r="G515" s="4">
        <v>6</v>
      </c>
      <c r="H515" s="6">
        <v>599694.1</v>
      </c>
      <c r="I515" s="6">
        <v>65729.414509894894</v>
      </c>
      <c r="J515" s="6">
        <v>0</v>
      </c>
      <c r="K515" s="6">
        <v>0</v>
      </c>
      <c r="L515" s="6">
        <f t="shared" si="99"/>
        <v>0</v>
      </c>
      <c r="M515" s="7">
        <f t="shared" si="100"/>
        <v>1.0566666666666667E-2</v>
      </c>
      <c r="N515" s="7">
        <f t="shared" si="103"/>
        <v>1.0151703401332816E-2</v>
      </c>
      <c r="O515" s="7">
        <f t="shared" si="98"/>
        <v>-3.9270971482698869E-2</v>
      </c>
      <c r="P515" s="6">
        <f t="shared" si="104"/>
        <v>665423.51450989489</v>
      </c>
      <c r="Q515" s="6">
        <f t="shared" si="102"/>
        <v>5875023.6799998861</v>
      </c>
      <c r="R515" s="4">
        <f t="shared" ca="1" si="101"/>
        <v>-2080</v>
      </c>
      <c r="S515" s="6"/>
      <c r="T515" s="5"/>
      <c r="U515" s="30" t="str">
        <f t="shared" si="105"/>
        <v>PENDIENTE</v>
      </c>
    </row>
    <row r="516" spans="1:21" x14ac:dyDescent="0.25">
      <c r="A516" s="4" t="str">
        <f t="shared" si="106"/>
        <v>20307</v>
      </c>
      <c r="B516" s="4" t="s">
        <v>39</v>
      </c>
      <c r="C516" s="4" t="s">
        <v>40</v>
      </c>
      <c r="D516" s="29" t="s">
        <v>41</v>
      </c>
      <c r="E516" s="28">
        <v>47679</v>
      </c>
      <c r="F516" s="4">
        <v>115</v>
      </c>
      <c r="G516" s="4">
        <v>5</v>
      </c>
      <c r="H516" s="6">
        <v>599694.1</v>
      </c>
      <c r="I516" s="6">
        <v>61304.224374180769</v>
      </c>
      <c r="J516" s="6">
        <v>0</v>
      </c>
      <c r="K516" s="6">
        <v>0</v>
      </c>
      <c r="L516" s="6">
        <f t="shared" si="99"/>
        <v>0</v>
      </c>
      <c r="M516" s="7">
        <f t="shared" si="100"/>
        <v>1.0566666666666667E-2</v>
      </c>
      <c r="N516" s="7">
        <f t="shared" si="103"/>
        <v>1.0434719537025246E-2</v>
      </c>
      <c r="O516" s="7">
        <f t="shared" si="98"/>
        <v>-1.2487110060702356E-2</v>
      </c>
      <c r="P516" s="6">
        <f t="shared" si="104"/>
        <v>660998.32437418075</v>
      </c>
      <c r="Q516" s="6">
        <f t="shared" si="102"/>
        <v>5275329.5799998865</v>
      </c>
      <c r="R516" s="4">
        <f t="shared" ca="1" si="101"/>
        <v>-2111</v>
      </c>
      <c r="S516" s="6"/>
      <c r="T516" s="5"/>
      <c r="U516" s="30" t="str">
        <f t="shared" si="105"/>
        <v>PENDIENTE</v>
      </c>
    </row>
    <row r="517" spans="1:21" x14ac:dyDescent="0.25">
      <c r="A517" s="4" t="str">
        <f t="shared" si="106"/>
        <v>20308</v>
      </c>
      <c r="B517" s="4" t="s">
        <v>39</v>
      </c>
      <c r="C517" s="4" t="s">
        <v>40</v>
      </c>
      <c r="D517" s="29" t="s">
        <v>41</v>
      </c>
      <c r="E517" s="28">
        <v>47710</v>
      </c>
      <c r="F517" s="4">
        <v>116</v>
      </c>
      <c r="G517" s="4">
        <v>4</v>
      </c>
      <c r="H517" s="6">
        <v>599694.1</v>
      </c>
      <c r="I517" s="6">
        <v>56879.034238466644</v>
      </c>
      <c r="J517" s="6">
        <v>0</v>
      </c>
      <c r="K517" s="6">
        <v>0</v>
      </c>
      <c r="L517" s="6">
        <f t="shared" si="99"/>
        <v>0</v>
      </c>
      <c r="M517" s="7">
        <f t="shared" si="100"/>
        <v>1.0566666666666667E-2</v>
      </c>
      <c r="N517" s="7">
        <f t="shared" si="103"/>
        <v>1.0782081645497469E-2</v>
      </c>
      <c r="O517" s="7">
        <f t="shared" si="98"/>
        <v>2.0386275599129533E-2</v>
      </c>
      <c r="P517" s="6">
        <f t="shared" si="104"/>
        <v>656573.13423846662</v>
      </c>
      <c r="Q517" s="6">
        <f t="shared" si="102"/>
        <v>4675635.4799998868</v>
      </c>
      <c r="R517" s="4">
        <f t="shared" ca="1" si="101"/>
        <v>-2141</v>
      </c>
      <c r="S517" s="6"/>
      <c r="T517" s="5"/>
      <c r="U517" s="30" t="str">
        <f t="shared" si="105"/>
        <v>PENDIENTE</v>
      </c>
    </row>
    <row r="518" spans="1:21" x14ac:dyDescent="0.25">
      <c r="A518" s="4" t="str">
        <f t="shared" si="106"/>
        <v>20309</v>
      </c>
      <c r="B518" s="4" t="s">
        <v>39</v>
      </c>
      <c r="C518" s="4" t="s">
        <v>40</v>
      </c>
      <c r="D518" s="29" t="s">
        <v>41</v>
      </c>
      <c r="E518" s="28">
        <v>47741</v>
      </c>
      <c r="F518" s="4">
        <v>117</v>
      </c>
      <c r="G518" s="4">
        <v>3</v>
      </c>
      <c r="H518" s="6">
        <v>599694.1</v>
      </c>
      <c r="I518" s="6">
        <v>52453.844102752511</v>
      </c>
      <c r="J518" s="6">
        <v>0</v>
      </c>
      <c r="K518" s="6">
        <v>0</v>
      </c>
      <c r="L518" s="6">
        <f t="shared" si="99"/>
        <v>0</v>
      </c>
      <c r="M518" s="7">
        <f t="shared" si="100"/>
        <v>1.0566666666666667E-2</v>
      </c>
      <c r="N518" s="7">
        <f t="shared" si="103"/>
        <v>1.1218548650151355E-2</v>
      </c>
      <c r="O518" s="7">
        <f t="shared" si="98"/>
        <v>6.1692301276153438E-2</v>
      </c>
      <c r="P518" s="6">
        <f t="shared" si="104"/>
        <v>652147.94410275249</v>
      </c>
      <c r="Q518" s="6">
        <f t="shared" si="102"/>
        <v>4075941.3799998867</v>
      </c>
      <c r="R518" s="4">
        <f t="shared" ca="1" si="101"/>
        <v>-2172</v>
      </c>
      <c r="S518" s="6"/>
      <c r="T518" s="5"/>
      <c r="U518" s="30" t="str">
        <f t="shared" si="105"/>
        <v>PENDIENTE</v>
      </c>
    </row>
    <row r="519" spans="1:21" x14ac:dyDescent="0.25">
      <c r="A519" s="4" t="str">
        <f t="shared" si="106"/>
        <v>203010</v>
      </c>
      <c r="B519" s="4" t="s">
        <v>39</v>
      </c>
      <c r="C519" s="4" t="s">
        <v>40</v>
      </c>
      <c r="D519" s="29" t="s">
        <v>41</v>
      </c>
      <c r="E519" s="28">
        <v>47771</v>
      </c>
      <c r="F519" s="4">
        <v>118</v>
      </c>
      <c r="G519" s="4">
        <v>2</v>
      </c>
      <c r="H519" s="6">
        <v>599694.1</v>
      </c>
      <c r="I519" s="6">
        <v>48028.653967038386</v>
      </c>
      <c r="J519" s="6">
        <v>0</v>
      </c>
      <c r="K519" s="6">
        <v>0</v>
      </c>
      <c r="L519" s="6">
        <f t="shared" si="99"/>
        <v>0</v>
      </c>
      <c r="M519" s="7">
        <f t="shared" si="100"/>
        <v>1.0566666666666667E-2</v>
      </c>
      <c r="N519" s="7">
        <f t="shared" si="103"/>
        <v>1.1783450616514932E-2</v>
      </c>
      <c r="O519" s="7">
        <f t="shared" si="98"/>
        <v>0.11515305519068764</v>
      </c>
      <c r="P519" s="6">
        <f t="shared" si="104"/>
        <v>647722.75396703836</v>
      </c>
      <c r="Q519" s="6">
        <f t="shared" si="102"/>
        <v>3476247.2799998866</v>
      </c>
      <c r="R519" s="4">
        <f t="shared" ca="1" si="101"/>
        <v>-2203</v>
      </c>
      <c r="S519" s="6"/>
      <c r="T519" s="5"/>
      <c r="U519" s="30" t="str">
        <f t="shared" si="105"/>
        <v>PENDIENTE</v>
      </c>
    </row>
    <row r="520" spans="1:21" x14ac:dyDescent="0.25">
      <c r="A520" s="4" t="str">
        <f t="shared" si="106"/>
        <v>203011</v>
      </c>
      <c r="B520" s="4" t="s">
        <v>39</v>
      </c>
      <c r="C520" s="4" t="s">
        <v>40</v>
      </c>
      <c r="D520" s="29" t="s">
        <v>41</v>
      </c>
      <c r="E520" s="28">
        <v>47802</v>
      </c>
      <c r="F520" s="4">
        <v>119</v>
      </c>
      <c r="G520" s="4">
        <v>1</v>
      </c>
      <c r="H520" s="6">
        <v>599694.1</v>
      </c>
      <c r="I520" s="6">
        <v>43603.463831324261</v>
      </c>
      <c r="J520" s="6">
        <v>0</v>
      </c>
      <c r="K520" s="6">
        <v>0</v>
      </c>
      <c r="L520" s="6">
        <f t="shared" si="99"/>
        <v>0</v>
      </c>
      <c r="M520" s="7">
        <f t="shared" si="100"/>
        <v>1.0566666666666667E-2</v>
      </c>
      <c r="N520" s="7">
        <f t="shared" si="103"/>
        <v>1.2543257230919914E-2</v>
      </c>
      <c r="O520" s="7">
        <f t="shared" si="98"/>
        <v>0.18705904393563855</v>
      </c>
      <c r="P520" s="6">
        <f t="shared" si="104"/>
        <v>643297.56383132422</v>
      </c>
      <c r="Q520" s="6">
        <f t="shared" si="102"/>
        <v>2876553.1799998865</v>
      </c>
      <c r="R520" s="4">
        <f t="shared" ca="1" si="101"/>
        <v>-2233</v>
      </c>
      <c r="S520" s="6"/>
      <c r="T520" s="5"/>
      <c r="U520" s="30" t="str">
        <f t="shared" si="105"/>
        <v>PENDIENTE</v>
      </c>
    </row>
    <row r="521" spans="1:21" x14ac:dyDescent="0.25">
      <c r="A521" s="4" t="str">
        <f t="shared" si="106"/>
        <v>203012</v>
      </c>
      <c r="B521" s="4" t="s">
        <v>39</v>
      </c>
      <c r="C521" s="4" t="s">
        <v>40</v>
      </c>
      <c r="D521" s="29" t="s">
        <v>41</v>
      </c>
      <c r="E521" s="28">
        <v>47832</v>
      </c>
      <c r="F521" s="4">
        <v>120</v>
      </c>
      <c r="G521" s="4">
        <v>0</v>
      </c>
      <c r="H521" s="6">
        <v>599694.1</v>
      </c>
      <c r="I521" s="6">
        <v>39178.273695610129</v>
      </c>
      <c r="J521" s="6">
        <v>0</v>
      </c>
      <c r="K521" s="6">
        <v>0</v>
      </c>
      <c r="L521" s="6">
        <f t="shared" si="99"/>
        <v>0</v>
      </c>
      <c r="M521" s="7">
        <f t="shared" si="100"/>
        <v>1.0566666666666667E-2</v>
      </c>
      <c r="N521" s="7">
        <f t="shared" si="103"/>
        <v>1.3619867683312454E-2</v>
      </c>
      <c r="O521" s="7">
        <f t="shared" si="98"/>
        <v>0.28894646845228267</v>
      </c>
      <c r="P521" s="6">
        <f t="shared" si="104"/>
        <v>638872.37369561009</v>
      </c>
      <c r="Q521" s="6">
        <f t="shared" si="102"/>
        <v>2276859.0799998865</v>
      </c>
      <c r="R521" s="4">
        <f t="shared" ca="1" si="101"/>
        <v>-2264</v>
      </c>
      <c r="S521" s="6"/>
      <c r="T521" s="5"/>
      <c r="U521" s="30" t="str">
        <f t="shared" si="105"/>
        <v>PENDIENTE</v>
      </c>
    </row>
    <row r="522" spans="1:21" x14ac:dyDescent="0.25">
      <c r="A522" s="4" t="str">
        <f t="shared" si="106"/>
        <v>20231</v>
      </c>
      <c r="B522" s="4" t="s">
        <v>24</v>
      </c>
      <c r="C522" s="4" t="s">
        <v>21</v>
      </c>
      <c r="D522" s="29" t="s">
        <v>42</v>
      </c>
      <c r="E522" s="28">
        <v>44957</v>
      </c>
      <c r="F522" s="4">
        <v>0</v>
      </c>
      <c r="G522" s="4">
        <v>36</v>
      </c>
      <c r="H522" s="6">
        <v>0</v>
      </c>
      <c r="I522" s="6">
        <v>0</v>
      </c>
      <c r="J522" s="6">
        <v>0</v>
      </c>
      <c r="K522" s="6">
        <v>0</v>
      </c>
      <c r="L522" s="6">
        <f t="shared" si="99"/>
        <v>0</v>
      </c>
      <c r="M522" s="7">
        <v>2.0920765139664805E-2</v>
      </c>
      <c r="N522" s="7">
        <v>0</v>
      </c>
      <c r="O522" s="7">
        <f t="shared" ref="O522:O585" si="107">IF(N522="","",(N522/M522)-1)</f>
        <v>-1</v>
      </c>
      <c r="P522" s="6">
        <f t="shared" ref="P522:P585" si="108">IFERROR(H522+I522+J522+K522+L522,"")</f>
        <v>0</v>
      </c>
      <c r="Q522" s="6">
        <v>22375000</v>
      </c>
      <c r="R522" s="4" t="s">
        <v>27</v>
      </c>
      <c r="S522" s="6">
        <v>0</v>
      </c>
      <c r="T522" s="5">
        <v>44957</v>
      </c>
      <c r="U522" s="30" t="str">
        <f t="shared" si="105"/>
        <v>PAGADO</v>
      </c>
    </row>
    <row r="523" spans="1:21" x14ac:dyDescent="0.25">
      <c r="A523" s="4" t="str">
        <f t="shared" si="106"/>
        <v>20232</v>
      </c>
      <c r="B523" s="4" t="s">
        <v>24</v>
      </c>
      <c r="C523" s="4" t="s">
        <v>21</v>
      </c>
      <c r="D523" s="29" t="s">
        <v>42</v>
      </c>
      <c r="E523" s="28">
        <v>44985</v>
      </c>
      <c r="F523" s="4">
        <v>1</v>
      </c>
      <c r="G523" s="4">
        <v>35</v>
      </c>
      <c r="H523" s="6">
        <v>422766.05</v>
      </c>
      <c r="I523" s="6">
        <v>468102.12</v>
      </c>
      <c r="J523" s="6">
        <v>0</v>
      </c>
      <c r="K523" s="6">
        <v>0</v>
      </c>
      <c r="L523" s="6">
        <f t="shared" si="99"/>
        <v>0</v>
      </c>
      <c r="M523" s="7">
        <v>2.0920765139664805E-2</v>
      </c>
      <c r="N523" s="7">
        <f>IF(I523="","",I523/Q522)</f>
        <v>2.0920765139664805E-2</v>
      </c>
      <c r="O523" s="7">
        <f t="shared" si="107"/>
        <v>0</v>
      </c>
      <c r="P523" s="6">
        <f t="shared" si="108"/>
        <v>890868.16999999993</v>
      </c>
      <c r="Q523" s="6">
        <f>Q522-H523</f>
        <v>21952233.949999999</v>
      </c>
      <c r="R523" s="4" t="str">
        <f ca="1">IF(S523="","",IF(T522="",TODAY()-E522,IF(T523="",TODAY()-E523,"OK")))</f>
        <v>OK</v>
      </c>
      <c r="S523" s="6">
        <v>901552.19</v>
      </c>
      <c r="T523" s="5">
        <v>45009</v>
      </c>
      <c r="U523" s="30" t="str">
        <f t="shared" si="105"/>
        <v>PAGADO</v>
      </c>
    </row>
    <row r="524" spans="1:21" x14ac:dyDescent="0.25">
      <c r="A524" s="4" t="str">
        <f t="shared" si="106"/>
        <v>20233</v>
      </c>
      <c r="B524" s="4" t="s">
        <v>24</v>
      </c>
      <c r="C524" s="4" t="s">
        <v>21</v>
      </c>
      <c r="D524" s="29" t="s">
        <v>42</v>
      </c>
      <c r="E524" s="28">
        <v>45015</v>
      </c>
      <c r="F524" s="4">
        <v>2</v>
      </c>
      <c r="G524" s="4">
        <v>34</v>
      </c>
      <c r="H524" s="6">
        <v>431289.38</v>
      </c>
      <c r="I524" s="6">
        <v>460131.39</v>
      </c>
      <c r="J524" s="6">
        <v>0</v>
      </c>
      <c r="K524" s="6">
        <v>0</v>
      </c>
      <c r="L524" s="6">
        <f t="shared" si="99"/>
        <v>0</v>
      </c>
      <c r="M524" s="7">
        <v>2.0920765139664805E-2</v>
      </c>
      <c r="N524" s="7">
        <f t="shared" ref="N524:N558" si="109">IF(I524="","",I524/Q523)</f>
        <v>2.09605724432433E-2</v>
      </c>
      <c r="O524" s="7">
        <f t="shared" si="107"/>
        <v>1.9027651862990602E-3</v>
      </c>
      <c r="P524" s="6">
        <f t="shared" si="108"/>
        <v>891420.77</v>
      </c>
      <c r="Q524" s="6">
        <f t="shared" ref="Q524:Q558" si="110">Q523-H524</f>
        <v>21520944.57</v>
      </c>
      <c r="R524" s="4" t="str">
        <f ca="1">IF(S524="","",IF(T523="",TODAY()-E523,IF(T524="",TODAY()-E524,"OK")))</f>
        <v>OK</v>
      </c>
      <c r="S524" s="6">
        <v>897805.33</v>
      </c>
      <c r="T524" s="5">
        <v>45029</v>
      </c>
      <c r="U524" s="30" t="str">
        <f t="shared" si="105"/>
        <v>PAGADO</v>
      </c>
    </row>
    <row r="525" spans="1:21" x14ac:dyDescent="0.25">
      <c r="A525" s="4" t="str">
        <f t="shared" si="106"/>
        <v>20234</v>
      </c>
      <c r="B525" s="4" t="s">
        <v>24</v>
      </c>
      <c r="C525" s="4" t="s">
        <v>21</v>
      </c>
      <c r="D525" s="29" t="s">
        <v>42</v>
      </c>
      <c r="E525" s="28">
        <v>45046</v>
      </c>
      <c r="F525" s="4">
        <v>3</v>
      </c>
      <c r="G525" s="4">
        <v>33</v>
      </c>
      <c r="H525" s="6">
        <v>447276.74</v>
      </c>
      <c r="I525" s="6">
        <v>432446.83</v>
      </c>
      <c r="J525" s="6">
        <v>0</v>
      </c>
      <c r="K525" s="6">
        <v>0</v>
      </c>
      <c r="L525" s="6">
        <f t="shared" si="99"/>
        <v>0</v>
      </c>
      <c r="M525" s="7">
        <v>2.0920765139664805E-2</v>
      </c>
      <c r="N525" s="7">
        <f t="shared" si="109"/>
        <v>2.0094230929009822E-2</v>
      </c>
      <c r="O525" s="7">
        <f t="shared" si="107"/>
        <v>-3.9507838510548177E-2</v>
      </c>
      <c r="P525" s="6">
        <f t="shared" si="108"/>
        <v>879723.57000000007</v>
      </c>
      <c r="Q525" s="6">
        <f t="shared" si="110"/>
        <v>21073667.830000002</v>
      </c>
      <c r="R525" s="4" t="str">
        <f ca="1">IF(S525="","",IF(T524="",TODAY()-E524,IF(T525="",TODAY()-E525,"OK")))</f>
        <v>OK</v>
      </c>
      <c r="S525" s="6">
        <v>888071.32</v>
      </c>
      <c r="T525" s="5">
        <v>45064</v>
      </c>
      <c r="U525" s="30" t="str">
        <f t="shared" si="105"/>
        <v>PAGADO</v>
      </c>
    </row>
    <row r="526" spans="1:21" x14ac:dyDescent="0.25">
      <c r="A526" s="4" t="str">
        <f t="shared" si="106"/>
        <v>20235</v>
      </c>
      <c r="B526" s="4" t="s">
        <v>24</v>
      </c>
      <c r="C526" s="4" t="s">
        <v>21</v>
      </c>
      <c r="D526" s="29" t="s">
        <v>42</v>
      </c>
      <c r="E526" s="28">
        <v>45076</v>
      </c>
      <c r="F526" s="4">
        <v>4</v>
      </c>
      <c r="G526" s="4">
        <v>32</v>
      </c>
      <c r="H526" s="6">
        <v>459799.79</v>
      </c>
      <c r="I526" s="6">
        <v>414124.52</v>
      </c>
      <c r="J526" s="6">
        <v>0</v>
      </c>
      <c r="K526" s="6">
        <v>0</v>
      </c>
      <c r="L526" s="6">
        <f t="shared" si="99"/>
        <v>0</v>
      </c>
      <c r="M526" s="7">
        <v>2.0920765139664805E-2</v>
      </c>
      <c r="N526" s="7">
        <f t="shared" si="109"/>
        <v>1.9651278711457224E-2</v>
      </c>
      <c r="O526" s="7">
        <f t="shared" si="107"/>
        <v>-6.0680688289009743E-2</v>
      </c>
      <c r="P526" s="6">
        <f t="shared" si="108"/>
        <v>873924.31</v>
      </c>
      <c r="Q526" s="6">
        <f t="shared" si="110"/>
        <v>20613868.040000003</v>
      </c>
      <c r="R526" s="4" t="str">
        <f t="shared" ref="R526:R558" ca="1" si="111">IF(T525="",TODAY()-E525,IF(T526="",TODAY()-E526,"OK"))</f>
        <v>OK</v>
      </c>
      <c r="S526" s="6">
        <v>873910.17</v>
      </c>
      <c r="T526" s="5">
        <v>45072</v>
      </c>
      <c r="U526" s="30" t="str">
        <f t="shared" si="105"/>
        <v>PAGADO</v>
      </c>
    </row>
    <row r="527" spans="1:21" x14ac:dyDescent="0.25">
      <c r="A527" s="4" t="str">
        <f t="shared" si="106"/>
        <v>20236</v>
      </c>
      <c r="B527" s="4" t="s">
        <v>24</v>
      </c>
      <c r="C527" s="4" t="s">
        <v>21</v>
      </c>
      <c r="D527" s="29" t="s">
        <v>42</v>
      </c>
      <c r="E527" s="28">
        <v>45107</v>
      </c>
      <c r="F527" s="4">
        <v>5</v>
      </c>
      <c r="G527" s="4">
        <v>31</v>
      </c>
      <c r="H527" s="6">
        <v>474660.41</v>
      </c>
      <c r="I527" s="6">
        <v>404831.9</v>
      </c>
      <c r="J527" s="6">
        <v>0</v>
      </c>
      <c r="K527" s="6">
        <v>0</v>
      </c>
      <c r="L527" s="6">
        <f t="shared" si="99"/>
        <v>14.14000000001397</v>
      </c>
      <c r="M527" s="7">
        <v>2.0920765139664805E-2</v>
      </c>
      <c r="N527" s="7">
        <f t="shared" si="109"/>
        <v>1.9638813017258453E-2</v>
      </c>
      <c r="O527" s="7">
        <f t="shared" si="107"/>
        <v>-6.1276540979652294E-2</v>
      </c>
      <c r="P527" s="6">
        <f t="shared" si="108"/>
        <v>879506.45000000007</v>
      </c>
      <c r="Q527" s="6">
        <f t="shared" si="110"/>
        <v>20139207.630000003</v>
      </c>
      <c r="R527" s="4" t="str">
        <f t="shared" ca="1" si="111"/>
        <v>OK</v>
      </c>
      <c r="S527" s="6">
        <v>888861.6</v>
      </c>
      <c r="T527" s="5">
        <v>45133</v>
      </c>
      <c r="U527" s="30" t="str">
        <f t="shared" si="105"/>
        <v>PAGADO</v>
      </c>
    </row>
    <row r="528" spans="1:21" x14ac:dyDescent="0.25">
      <c r="A528" s="4" t="str">
        <f t="shared" si="106"/>
        <v>20237</v>
      </c>
      <c r="B528" s="4" t="s">
        <v>24</v>
      </c>
      <c r="C528" s="4" t="s">
        <v>21</v>
      </c>
      <c r="D528" s="29" t="s">
        <v>42</v>
      </c>
      <c r="E528" s="28">
        <v>45137</v>
      </c>
      <c r="F528" s="4">
        <v>6</v>
      </c>
      <c r="G528" s="4">
        <v>30</v>
      </c>
      <c r="H528" s="6">
        <v>445904.87989600905</v>
      </c>
      <c r="I528" s="6">
        <f>Q527*M528</f>
        <v>421327.63292617549</v>
      </c>
      <c r="J528" s="6">
        <v>0</v>
      </c>
      <c r="K528" s="6">
        <v>0</v>
      </c>
      <c r="L528" s="6">
        <f t="shared" si="99"/>
        <v>0</v>
      </c>
      <c r="M528" s="7">
        <v>2.0920765139664805E-2</v>
      </c>
      <c r="N528" s="7">
        <f t="shared" si="109"/>
        <v>2.0920765139664805E-2</v>
      </c>
      <c r="O528" s="7">
        <f t="shared" si="107"/>
        <v>0</v>
      </c>
      <c r="P528" s="6">
        <f t="shared" si="108"/>
        <v>867232.51282218448</v>
      </c>
      <c r="Q528" s="6">
        <f t="shared" si="110"/>
        <v>19693302.750103995</v>
      </c>
      <c r="R528" s="4" t="str">
        <f t="shared" ca="1" si="111"/>
        <v>OK</v>
      </c>
      <c r="S528" s="6">
        <v>893679.08</v>
      </c>
      <c r="T528" s="5">
        <v>45166</v>
      </c>
      <c r="U528" s="30" t="str">
        <f t="shared" si="105"/>
        <v>PAGADO</v>
      </c>
    </row>
    <row r="529" spans="1:21" x14ac:dyDescent="0.25">
      <c r="A529" s="4" t="str">
        <f t="shared" si="106"/>
        <v>20238</v>
      </c>
      <c r="B529" s="4" t="s">
        <v>24</v>
      </c>
      <c r="C529" s="4" t="s">
        <v>21</v>
      </c>
      <c r="D529" s="29" t="s">
        <v>42</v>
      </c>
      <c r="E529" s="28">
        <v>45168</v>
      </c>
      <c r="F529" s="4">
        <v>7</v>
      </c>
      <c r="G529" s="4">
        <v>29</v>
      </c>
      <c r="H529" s="6">
        <v>481668.55</v>
      </c>
      <c r="I529" s="6">
        <v>401867.69</v>
      </c>
      <c r="J529" s="6">
        <v>0</v>
      </c>
      <c r="K529" s="6">
        <v>0</v>
      </c>
      <c r="L529" s="6">
        <f t="shared" si="99"/>
        <v>0</v>
      </c>
      <c r="M529" s="7">
        <v>2.0920765139664805E-2</v>
      </c>
      <c r="N529" s="7">
        <f t="shared" si="109"/>
        <v>2.0406312496154454E-2</v>
      </c>
      <c r="O529" s="7">
        <f t="shared" si="107"/>
        <v>-2.459052716647403E-2</v>
      </c>
      <c r="P529" s="6">
        <f t="shared" si="108"/>
        <v>883536.24</v>
      </c>
      <c r="Q529" s="6">
        <f t="shared" si="110"/>
        <v>19211634.200103994</v>
      </c>
      <c r="R529" s="4" t="str">
        <f t="shared" ca="1" si="111"/>
        <v>OK</v>
      </c>
      <c r="S529" s="6">
        <v>894309.77</v>
      </c>
      <c r="T529" s="5">
        <v>45191</v>
      </c>
      <c r="U529" s="30" t="str">
        <f t="shared" si="105"/>
        <v>PAGADO</v>
      </c>
    </row>
    <row r="530" spans="1:21" x14ac:dyDescent="0.25">
      <c r="A530" s="4" t="str">
        <f t="shared" si="106"/>
        <v>20239</v>
      </c>
      <c r="B530" s="4" t="s">
        <v>24</v>
      </c>
      <c r="C530" s="4" t="s">
        <v>21</v>
      </c>
      <c r="D530" s="29" t="s">
        <v>42</v>
      </c>
      <c r="E530" s="28">
        <v>45199</v>
      </c>
      <c r="F530" s="4">
        <v>8</v>
      </c>
      <c r="G530" s="4">
        <v>28</v>
      </c>
      <c r="H530" s="6">
        <v>490865.26</v>
      </c>
      <c r="I530" s="6">
        <v>393691.52</v>
      </c>
      <c r="J530" s="6">
        <v>0</v>
      </c>
      <c r="K530" s="6">
        <v>0</v>
      </c>
      <c r="L530" s="6">
        <f t="shared" si="99"/>
        <v>0</v>
      </c>
      <c r="M530" s="7">
        <v>2.0920765139664805E-2</v>
      </c>
      <c r="N530" s="7">
        <f t="shared" si="109"/>
        <v>2.0492349370147229E-2</v>
      </c>
      <c r="O530" s="7">
        <f t="shared" si="107"/>
        <v>-2.047801629899848E-2</v>
      </c>
      <c r="P530" s="6">
        <f t="shared" si="108"/>
        <v>884556.78</v>
      </c>
      <c r="Q530" s="6">
        <f t="shared" si="110"/>
        <v>18720768.940103993</v>
      </c>
      <c r="R530" s="4" t="str">
        <f t="shared" ca="1" si="111"/>
        <v>OK</v>
      </c>
      <c r="S530" s="6">
        <v>898259.63</v>
      </c>
      <c r="T530" s="5">
        <v>45229</v>
      </c>
      <c r="U530" s="30" t="str">
        <f t="shared" si="105"/>
        <v>PAGADO</v>
      </c>
    </row>
    <row r="531" spans="1:21" x14ac:dyDescent="0.25">
      <c r="A531" s="4" t="str">
        <f t="shared" si="106"/>
        <v>202310</v>
      </c>
      <c r="B531" s="4" t="s">
        <v>24</v>
      </c>
      <c r="C531" s="4" t="s">
        <v>21</v>
      </c>
      <c r="D531" s="29" t="s">
        <v>42</v>
      </c>
      <c r="E531" s="28">
        <v>45229</v>
      </c>
      <c r="F531" s="4">
        <v>9</v>
      </c>
      <c r="G531" s="4">
        <v>27</v>
      </c>
      <c r="H531" s="6">
        <f t="shared" ref="H531:H558" si="112">H530*1.0239</f>
        <v>502596.93971400004</v>
      </c>
      <c r="I531" s="6">
        <f t="shared" ref="I531:I558" si="113">Q530*M531</f>
        <v>391652.81022984727</v>
      </c>
      <c r="J531" s="6">
        <v>0</v>
      </c>
      <c r="K531" s="6">
        <v>0</v>
      </c>
      <c r="L531" s="6">
        <f t="shared" si="99"/>
        <v>0</v>
      </c>
      <c r="M531" s="7">
        <v>2.0920765139664805E-2</v>
      </c>
      <c r="N531" s="7">
        <f t="shared" si="109"/>
        <v>2.0920765139664805E-2</v>
      </c>
      <c r="O531" s="7">
        <f t="shared" si="107"/>
        <v>0</v>
      </c>
      <c r="P531" s="6">
        <f t="shared" si="108"/>
        <v>894249.7499438473</v>
      </c>
      <c r="Q531" s="6">
        <f t="shared" si="110"/>
        <v>18218172.000389993</v>
      </c>
      <c r="R531" s="4" t="str">
        <f t="shared" ca="1" si="111"/>
        <v>OK</v>
      </c>
      <c r="S531" s="6">
        <v>893444.75</v>
      </c>
      <c r="T531" s="5">
        <v>45259</v>
      </c>
      <c r="U531" s="30" t="str">
        <f t="shared" si="105"/>
        <v>PAGADO</v>
      </c>
    </row>
    <row r="532" spans="1:21" x14ac:dyDescent="0.25">
      <c r="A532" s="4" t="str">
        <f t="shared" si="106"/>
        <v>202311</v>
      </c>
      <c r="B532" s="4" t="s">
        <v>24</v>
      </c>
      <c r="C532" s="4" t="s">
        <v>21</v>
      </c>
      <c r="D532" s="29" t="s">
        <v>42</v>
      </c>
      <c r="E532" s="28">
        <v>45260</v>
      </c>
      <c r="F532" s="4">
        <v>10</v>
      </c>
      <c r="G532" s="4">
        <v>26</v>
      </c>
      <c r="H532" s="6">
        <f t="shared" si="112"/>
        <v>514609.00657316466</v>
      </c>
      <c r="I532" s="6">
        <f t="shared" si="113"/>
        <v>381138.09769417637</v>
      </c>
      <c r="J532" s="6">
        <v>0</v>
      </c>
      <c r="K532" s="6">
        <v>0</v>
      </c>
      <c r="L532" s="6">
        <f t="shared" si="99"/>
        <v>804.99994384730235</v>
      </c>
      <c r="M532" s="7">
        <v>2.0920765139664805E-2</v>
      </c>
      <c r="N532" s="7">
        <f t="shared" si="109"/>
        <v>2.0920765139664805E-2</v>
      </c>
      <c r="O532" s="7">
        <f t="shared" si="107"/>
        <v>0</v>
      </c>
      <c r="P532" s="6">
        <f t="shared" si="108"/>
        <v>896552.10421118839</v>
      </c>
      <c r="Q532" s="6">
        <f t="shared" si="110"/>
        <v>17703562.99381683</v>
      </c>
      <c r="R532" s="4" t="str">
        <f t="shared" ca="1" si="111"/>
        <v>OK</v>
      </c>
      <c r="S532" s="6">
        <v>895611.91</v>
      </c>
      <c r="T532" s="5">
        <v>45289</v>
      </c>
      <c r="U532" s="30" t="str">
        <f t="shared" si="105"/>
        <v>PAGADO</v>
      </c>
    </row>
    <row r="533" spans="1:21" x14ac:dyDescent="0.25">
      <c r="A533" s="4" t="str">
        <f t="shared" si="106"/>
        <v>202312</v>
      </c>
      <c r="B533" s="4" t="s">
        <v>24</v>
      </c>
      <c r="C533" s="4" t="s">
        <v>21</v>
      </c>
      <c r="D533" s="29" t="s">
        <v>42</v>
      </c>
      <c r="E533" s="28">
        <v>45290</v>
      </c>
      <c r="F533" s="4">
        <v>11</v>
      </c>
      <c r="G533" s="4">
        <v>25</v>
      </c>
      <c r="H533" s="6">
        <f t="shared" si="112"/>
        <v>526908.16183026333</v>
      </c>
      <c r="I533" s="6">
        <f t="shared" si="113"/>
        <v>370372.08352890302</v>
      </c>
      <c r="J533" s="6">
        <v>0</v>
      </c>
      <c r="K533" s="6">
        <v>0</v>
      </c>
      <c r="L533" s="6">
        <f t="shared" ref="L533:L596" si="114">IF(S532="",0,IF(S532&lt;=P532,P532-S532,0))</f>
        <v>940.19421118835453</v>
      </c>
      <c r="M533" s="7">
        <v>2.0920765139664805E-2</v>
      </c>
      <c r="N533" s="7">
        <f t="shared" si="109"/>
        <v>2.0920765139664805E-2</v>
      </c>
      <c r="O533" s="7">
        <f t="shared" si="107"/>
        <v>0</v>
      </c>
      <c r="P533" s="6">
        <f t="shared" si="108"/>
        <v>898220.43957035465</v>
      </c>
      <c r="Q533" s="6">
        <f t="shared" si="110"/>
        <v>17176654.831986565</v>
      </c>
      <c r="R533" s="4" t="str">
        <f t="shared" ca="1" si="111"/>
        <v>OK</v>
      </c>
      <c r="S533" s="6">
        <v>890612.09</v>
      </c>
      <c r="T533" s="5">
        <v>45320</v>
      </c>
      <c r="U533" s="30" t="str">
        <f t="shared" si="105"/>
        <v>PAGADO</v>
      </c>
    </row>
    <row r="534" spans="1:21" x14ac:dyDescent="0.25">
      <c r="A534" s="4" t="str">
        <f t="shared" si="106"/>
        <v>20241</v>
      </c>
      <c r="B534" s="4" t="s">
        <v>24</v>
      </c>
      <c r="C534" s="4" t="s">
        <v>21</v>
      </c>
      <c r="D534" s="29" t="s">
        <v>42</v>
      </c>
      <c r="E534" s="28">
        <v>45321</v>
      </c>
      <c r="F534" s="4">
        <v>12</v>
      </c>
      <c r="G534" s="4">
        <v>24</v>
      </c>
      <c r="H534" s="6">
        <v>536436.39</v>
      </c>
      <c r="I534" s="6">
        <v>341198.1</v>
      </c>
      <c r="J534" s="6">
        <v>0</v>
      </c>
      <c r="K534" s="6">
        <v>0</v>
      </c>
      <c r="L534" s="6">
        <v>0</v>
      </c>
      <c r="M534" s="7">
        <v>2.0920765139664805E-2</v>
      </c>
      <c r="N534" s="7">
        <f t="shared" si="109"/>
        <v>1.9864059872974623E-2</v>
      </c>
      <c r="O534" s="7">
        <f t="shared" si="107"/>
        <v>-5.0509876652968022E-2</v>
      </c>
      <c r="P534" s="6">
        <f t="shared" si="108"/>
        <v>877634.49</v>
      </c>
      <c r="Q534" s="6">
        <f t="shared" si="110"/>
        <v>16640218.441986565</v>
      </c>
      <c r="R534" s="4" t="str">
        <f t="shared" ca="1" si="111"/>
        <v>OK</v>
      </c>
      <c r="S534" s="6">
        <v>890099.24</v>
      </c>
      <c r="T534" s="5">
        <v>45349</v>
      </c>
      <c r="U534" s="30" t="str">
        <f t="shared" si="105"/>
        <v>PAGADO</v>
      </c>
    </row>
    <row r="535" spans="1:21" x14ac:dyDescent="0.25">
      <c r="A535" s="4" t="str">
        <f t="shared" si="106"/>
        <v>20242</v>
      </c>
      <c r="B535" s="4" t="s">
        <v>24</v>
      </c>
      <c r="C535" s="4" t="s">
        <v>21</v>
      </c>
      <c r="D535" s="29" t="s">
        <v>42</v>
      </c>
      <c r="E535" s="28">
        <v>45351</v>
      </c>
      <c r="F535" s="4">
        <v>13</v>
      </c>
      <c r="G535" s="4">
        <v>23</v>
      </c>
      <c r="H535" s="6">
        <v>552749.62</v>
      </c>
      <c r="I535" s="6">
        <v>316525.21999999997</v>
      </c>
      <c r="J535" s="6">
        <v>0</v>
      </c>
      <c r="K535" s="6">
        <v>0</v>
      </c>
      <c r="L535" s="6">
        <f t="shared" si="114"/>
        <v>0</v>
      </c>
      <c r="M535" s="7">
        <v>2.0920765139664805E-2</v>
      </c>
      <c r="N535" s="7">
        <f t="shared" si="109"/>
        <v>1.9021698609517301E-2</v>
      </c>
      <c r="O535" s="7">
        <f t="shared" si="107"/>
        <v>-9.0774238775185201E-2</v>
      </c>
      <c r="P535" s="6">
        <f t="shared" si="108"/>
        <v>869274.84</v>
      </c>
      <c r="Q535" s="6">
        <f t="shared" si="110"/>
        <v>16087468.821986565</v>
      </c>
      <c r="R535" s="4" t="str">
        <f t="shared" ca="1" si="111"/>
        <v>OK</v>
      </c>
      <c r="S535" s="6">
        <v>881163.15</v>
      </c>
      <c r="T535" s="5">
        <v>45381</v>
      </c>
      <c r="U535" s="30" t="str">
        <f t="shared" si="105"/>
        <v>PAGADO</v>
      </c>
    </row>
    <row r="536" spans="1:21" x14ac:dyDescent="0.25">
      <c r="A536" s="4" t="str">
        <f t="shared" si="106"/>
        <v>20243</v>
      </c>
      <c r="B536" s="4" t="s">
        <v>24</v>
      </c>
      <c r="C536" s="4" t="s">
        <v>21</v>
      </c>
      <c r="D536" s="29" t="s">
        <v>42</v>
      </c>
      <c r="E536" s="28">
        <v>45381</v>
      </c>
      <c r="F536" s="4">
        <v>14</v>
      </c>
      <c r="G536" s="4">
        <v>22</v>
      </c>
      <c r="H536" s="6">
        <f t="shared" si="112"/>
        <v>565960.33591799997</v>
      </c>
      <c r="I536" s="6">
        <f t="shared" si="113"/>
        <v>336562.15691646095</v>
      </c>
      <c r="J536" s="6">
        <v>0</v>
      </c>
      <c r="K536" s="6">
        <v>0</v>
      </c>
      <c r="L536" s="6">
        <f t="shared" si="114"/>
        <v>0</v>
      </c>
      <c r="M536" s="7">
        <v>2.0920765139664805E-2</v>
      </c>
      <c r="N536" s="7">
        <f t="shared" si="109"/>
        <v>2.0920765139664805E-2</v>
      </c>
      <c r="O536" s="7">
        <f t="shared" si="107"/>
        <v>0</v>
      </c>
      <c r="P536" s="6">
        <f t="shared" si="108"/>
        <v>902522.49283446092</v>
      </c>
      <c r="Q536" s="6">
        <f t="shared" si="110"/>
        <v>15521508.486068565</v>
      </c>
      <c r="R536" s="4" t="str">
        <f t="shared" ca="1" si="111"/>
        <v>OK</v>
      </c>
      <c r="S536" s="6">
        <v>1417034.2</v>
      </c>
      <c r="T536" s="5">
        <v>45411</v>
      </c>
      <c r="U536" s="30" t="str">
        <f t="shared" si="105"/>
        <v>PAGADO</v>
      </c>
    </row>
    <row r="537" spans="1:21" x14ac:dyDescent="0.25">
      <c r="A537" s="4" t="str">
        <f t="shared" si="106"/>
        <v>20244</v>
      </c>
      <c r="B537" s="4" t="s">
        <v>24</v>
      </c>
      <c r="C537" s="4" t="s">
        <v>21</v>
      </c>
      <c r="D537" s="29" t="s">
        <v>42</v>
      </c>
      <c r="E537" s="28">
        <v>45412</v>
      </c>
      <c r="F537" s="4">
        <v>15</v>
      </c>
      <c r="G537" s="4">
        <v>21</v>
      </c>
      <c r="H537" s="6">
        <f t="shared" si="112"/>
        <v>579486.78794644016</v>
      </c>
      <c r="I537" s="6">
        <f t="shared" si="113"/>
        <v>324721.8336503547</v>
      </c>
      <c r="J537" s="6">
        <v>0</v>
      </c>
      <c r="K537" s="6">
        <v>0</v>
      </c>
      <c r="L537" s="6">
        <f t="shared" si="114"/>
        <v>0</v>
      </c>
      <c r="M537" s="7">
        <v>2.0920765139664805E-2</v>
      </c>
      <c r="N537" s="7">
        <f t="shared" si="109"/>
        <v>2.0920765139664805E-2</v>
      </c>
      <c r="O537" s="7">
        <f t="shared" si="107"/>
        <v>0</v>
      </c>
      <c r="P537" s="6">
        <f t="shared" si="108"/>
        <v>904208.62159679481</v>
      </c>
      <c r="Q537" s="6">
        <f t="shared" si="110"/>
        <v>14942021.698122125</v>
      </c>
      <c r="R537" s="4" t="str">
        <f t="shared" ca="1" si="111"/>
        <v>OK</v>
      </c>
      <c r="S537" s="6">
        <v>877887</v>
      </c>
      <c r="T537" s="5">
        <v>45439</v>
      </c>
      <c r="U537" s="30" t="str">
        <f t="shared" si="105"/>
        <v>PAGADO</v>
      </c>
    </row>
    <row r="538" spans="1:21" x14ac:dyDescent="0.25">
      <c r="A538" s="4" t="str">
        <f t="shared" si="106"/>
        <v>20245</v>
      </c>
      <c r="B538" s="4" t="s">
        <v>24</v>
      </c>
      <c r="C538" s="4" t="s">
        <v>21</v>
      </c>
      <c r="D538" s="29" t="s">
        <v>42</v>
      </c>
      <c r="E538" s="28">
        <v>45442</v>
      </c>
      <c r="F538" s="4">
        <v>16</v>
      </c>
      <c r="G538" s="4">
        <v>20</v>
      </c>
      <c r="H538" s="6">
        <f t="shared" si="112"/>
        <v>593336.52217836014</v>
      </c>
      <c r="I538" s="6">
        <f t="shared" si="113"/>
        <v>312598.52665818849</v>
      </c>
      <c r="J538" s="6">
        <v>0</v>
      </c>
      <c r="K538" s="6">
        <v>0</v>
      </c>
      <c r="L538" s="6">
        <f t="shared" si="114"/>
        <v>26321.621596794808</v>
      </c>
      <c r="M538" s="7">
        <v>2.0920765139664805E-2</v>
      </c>
      <c r="N538" s="7">
        <f t="shared" si="109"/>
        <v>2.0920765139664808E-2</v>
      </c>
      <c r="O538" s="7">
        <f t="shared" si="107"/>
        <v>2.2204460492503131E-16</v>
      </c>
      <c r="P538" s="6">
        <f t="shared" si="108"/>
        <v>932256.67043334339</v>
      </c>
      <c r="Q538" s="6">
        <f t="shared" si="110"/>
        <v>14348685.175943766</v>
      </c>
      <c r="R538" s="4" t="str">
        <f t="shared" ca="1" si="111"/>
        <v>OK</v>
      </c>
      <c r="S538" s="6">
        <v>870163</v>
      </c>
      <c r="T538" s="5">
        <v>45456</v>
      </c>
      <c r="U538" s="30" t="str">
        <f t="shared" si="105"/>
        <v>PAGADO</v>
      </c>
    </row>
    <row r="539" spans="1:21" x14ac:dyDescent="0.25">
      <c r="A539" s="4" t="str">
        <f t="shared" si="106"/>
        <v>20246</v>
      </c>
      <c r="B539" s="4" t="s">
        <v>24</v>
      </c>
      <c r="C539" s="4" t="s">
        <v>21</v>
      </c>
      <c r="D539" s="29" t="s">
        <v>42</v>
      </c>
      <c r="E539" s="28">
        <v>45473</v>
      </c>
      <c r="F539" s="4">
        <v>17</v>
      </c>
      <c r="G539" s="4">
        <v>19</v>
      </c>
      <c r="H539" s="6">
        <f t="shared" si="112"/>
        <v>607517.26505842293</v>
      </c>
      <c r="I539" s="6">
        <f t="shared" si="113"/>
        <v>300185.47262890951</v>
      </c>
      <c r="J539" s="6">
        <v>0</v>
      </c>
      <c r="K539" s="6">
        <v>0</v>
      </c>
      <c r="L539" s="6">
        <f t="shared" si="114"/>
        <v>62093.670433343388</v>
      </c>
      <c r="M539" s="7">
        <v>2.0920765139664805E-2</v>
      </c>
      <c r="N539" s="7">
        <f t="shared" si="109"/>
        <v>2.0920765139664805E-2</v>
      </c>
      <c r="O539" s="7">
        <f t="shared" si="107"/>
        <v>0</v>
      </c>
      <c r="P539" s="6">
        <f t="shared" si="108"/>
        <v>969796.40812067583</v>
      </c>
      <c r="Q539" s="6">
        <f t="shared" si="110"/>
        <v>13741167.910885343</v>
      </c>
      <c r="R539" s="4" t="str">
        <f t="shared" ca="1" si="111"/>
        <v>OK</v>
      </c>
      <c r="S539" s="6">
        <v>874456.56</v>
      </c>
      <c r="T539" s="5">
        <v>45502</v>
      </c>
      <c r="U539" s="30" t="str">
        <f t="shared" si="105"/>
        <v>PAGADO</v>
      </c>
    </row>
    <row r="540" spans="1:21" x14ac:dyDescent="0.25">
      <c r="A540" s="4" t="str">
        <f t="shared" si="106"/>
        <v>20247</v>
      </c>
      <c r="B540" s="4" t="s">
        <v>24</v>
      </c>
      <c r="C540" s="4" t="s">
        <v>21</v>
      </c>
      <c r="D540" s="29" t="s">
        <v>42</v>
      </c>
      <c r="E540" s="28">
        <v>45503</v>
      </c>
      <c r="F540" s="4">
        <v>18</v>
      </c>
      <c r="G540" s="4">
        <v>18</v>
      </c>
      <c r="H540" s="6">
        <f t="shared" si="112"/>
        <v>622036.92769331927</v>
      </c>
      <c r="I540" s="6">
        <f t="shared" si="113"/>
        <v>287475.74660833075</v>
      </c>
      <c r="J540" s="6">
        <v>0</v>
      </c>
      <c r="K540" s="6">
        <v>0</v>
      </c>
      <c r="L540" s="6">
        <f t="shared" si="114"/>
        <v>95339.848120675771</v>
      </c>
      <c r="M540" s="7">
        <v>2.0920765139664805E-2</v>
      </c>
      <c r="N540" s="7">
        <f t="shared" si="109"/>
        <v>2.0920765139664805E-2</v>
      </c>
      <c r="O540" s="7">
        <f t="shared" si="107"/>
        <v>0</v>
      </c>
      <c r="P540" s="6">
        <f t="shared" si="108"/>
        <v>1004852.5224223258</v>
      </c>
      <c r="Q540" s="6">
        <f t="shared" si="110"/>
        <v>13119130.983192025</v>
      </c>
      <c r="R540" s="4" t="str">
        <f t="shared" ca="1" si="111"/>
        <v>OK</v>
      </c>
      <c r="S540" s="6">
        <v>866988.99</v>
      </c>
      <c r="T540" s="5">
        <v>45516</v>
      </c>
      <c r="U540" s="30" t="str">
        <f t="shared" si="105"/>
        <v>PAGADO</v>
      </c>
    </row>
    <row r="541" spans="1:21" x14ac:dyDescent="0.25">
      <c r="A541" s="4" t="str">
        <f t="shared" si="106"/>
        <v>20248</v>
      </c>
      <c r="B541" s="4" t="s">
        <v>24</v>
      </c>
      <c r="C541" s="4" t="s">
        <v>21</v>
      </c>
      <c r="D541" s="29" t="s">
        <v>42</v>
      </c>
      <c r="E541" s="28">
        <v>45534</v>
      </c>
      <c r="F541" s="4">
        <v>19</v>
      </c>
      <c r="G541" s="4">
        <v>17</v>
      </c>
      <c r="H541" s="6">
        <f t="shared" si="112"/>
        <v>636903.61026518967</v>
      </c>
      <c r="I541" s="6">
        <f t="shared" si="113"/>
        <v>274462.25813586015</v>
      </c>
      <c r="J541" s="6">
        <v>0</v>
      </c>
      <c r="K541" s="6">
        <v>0</v>
      </c>
      <c r="L541" s="6">
        <f t="shared" si="114"/>
        <v>137863.53242232581</v>
      </c>
      <c r="M541" s="7">
        <v>2.0920765139664805E-2</v>
      </c>
      <c r="N541" s="7">
        <f t="shared" si="109"/>
        <v>2.0920765139664801E-2</v>
      </c>
      <c r="O541" s="7">
        <f t="shared" si="107"/>
        <v>-1.1102230246251565E-16</v>
      </c>
      <c r="P541" s="6">
        <f t="shared" si="108"/>
        <v>1049229.4008233757</v>
      </c>
      <c r="Q541" s="6">
        <f t="shared" si="110"/>
        <v>12482227.372926835</v>
      </c>
      <c r="R541" s="4">
        <f t="shared" ca="1" si="111"/>
        <v>4</v>
      </c>
      <c r="S541" s="6"/>
      <c r="T541" s="5"/>
      <c r="U541" s="30" t="str">
        <f t="shared" si="105"/>
        <v>PENDIENTE</v>
      </c>
    </row>
    <row r="542" spans="1:21" x14ac:dyDescent="0.25">
      <c r="A542" s="4" t="str">
        <f t="shared" si="106"/>
        <v>20249</v>
      </c>
      <c r="B542" s="4" t="s">
        <v>24</v>
      </c>
      <c r="C542" s="4" t="s">
        <v>21</v>
      </c>
      <c r="D542" s="29" t="s">
        <v>42</v>
      </c>
      <c r="E542" s="28">
        <v>45565</v>
      </c>
      <c r="F542" s="4">
        <v>20</v>
      </c>
      <c r="G542" s="4">
        <v>16</v>
      </c>
      <c r="H542" s="6">
        <f t="shared" si="112"/>
        <v>652125.60655052774</v>
      </c>
      <c r="I542" s="6">
        <f t="shared" si="113"/>
        <v>261137.74728889752</v>
      </c>
      <c r="J542" s="6">
        <v>0</v>
      </c>
      <c r="K542" s="6">
        <v>0</v>
      </c>
      <c r="L542" s="6">
        <f t="shared" si="114"/>
        <v>0</v>
      </c>
      <c r="M542" s="7">
        <v>2.0920765139664805E-2</v>
      </c>
      <c r="N542" s="7">
        <f t="shared" si="109"/>
        <v>2.0920765139664805E-2</v>
      </c>
      <c r="O542" s="7">
        <f t="shared" si="107"/>
        <v>0</v>
      </c>
      <c r="P542" s="6">
        <f t="shared" si="108"/>
        <v>913263.35383942525</v>
      </c>
      <c r="Q542" s="6">
        <f t="shared" si="110"/>
        <v>11830101.766376307</v>
      </c>
      <c r="R542" s="4">
        <f t="shared" ca="1" si="111"/>
        <v>4</v>
      </c>
      <c r="S542" s="6"/>
      <c r="T542" s="5"/>
      <c r="U542" s="30" t="str">
        <f t="shared" si="105"/>
        <v>PENDIENTE</v>
      </c>
    </row>
    <row r="543" spans="1:21" x14ac:dyDescent="0.25">
      <c r="A543" s="4" t="str">
        <f t="shared" si="106"/>
        <v>202410</v>
      </c>
      <c r="B543" s="4" t="s">
        <v>24</v>
      </c>
      <c r="C543" s="4" t="s">
        <v>21</v>
      </c>
      <c r="D543" s="29" t="s">
        <v>42</v>
      </c>
      <c r="E543" s="28">
        <v>45595</v>
      </c>
      <c r="F543" s="4">
        <v>21</v>
      </c>
      <c r="G543" s="4">
        <v>15</v>
      </c>
      <c r="H543" s="6">
        <f t="shared" si="112"/>
        <v>667711.40854708536</v>
      </c>
      <c r="I543" s="6">
        <f t="shared" si="113"/>
        <v>247494.78063269248</v>
      </c>
      <c r="J543" s="6">
        <v>0</v>
      </c>
      <c r="K543" s="6">
        <v>0</v>
      </c>
      <c r="L543" s="6">
        <f t="shared" si="114"/>
        <v>0</v>
      </c>
      <c r="M543" s="7">
        <v>2.0920765139664805E-2</v>
      </c>
      <c r="N543" s="7">
        <f t="shared" si="109"/>
        <v>2.0920765139664805E-2</v>
      </c>
      <c r="O543" s="7">
        <f t="shared" si="107"/>
        <v>0</v>
      </c>
      <c r="P543" s="6">
        <f t="shared" si="108"/>
        <v>915206.18917977787</v>
      </c>
      <c r="Q543" s="6">
        <f t="shared" si="110"/>
        <v>11162390.357829222</v>
      </c>
      <c r="R543" s="4">
        <f t="shared" ca="1" si="111"/>
        <v>-27</v>
      </c>
      <c r="S543" s="6"/>
      <c r="T543" s="5"/>
      <c r="U543" s="30" t="str">
        <f t="shared" si="105"/>
        <v>PENDIENTE</v>
      </c>
    </row>
    <row r="544" spans="1:21" x14ac:dyDescent="0.25">
      <c r="A544" s="4" t="str">
        <f t="shared" si="106"/>
        <v>202411</v>
      </c>
      <c r="B544" s="4" t="s">
        <v>24</v>
      </c>
      <c r="C544" s="4" t="s">
        <v>21</v>
      </c>
      <c r="D544" s="29" t="s">
        <v>42</v>
      </c>
      <c r="E544" s="28">
        <v>45626</v>
      </c>
      <c r="F544" s="4">
        <v>22</v>
      </c>
      <c r="G544" s="4">
        <v>14</v>
      </c>
      <c r="H544" s="6">
        <f t="shared" si="112"/>
        <v>683669.71121136076</v>
      </c>
      <c r="I544" s="6">
        <f t="shared" si="113"/>
        <v>233525.74707340414</v>
      </c>
      <c r="J544" s="6">
        <v>0</v>
      </c>
      <c r="K544" s="6">
        <v>0</v>
      </c>
      <c r="L544" s="6">
        <f t="shared" si="114"/>
        <v>0</v>
      </c>
      <c r="M544" s="7">
        <v>2.0920765139664805E-2</v>
      </c>
      <c r="N544" s="7">
        <f t="shared" si="109"/>
        <v>2.0920765139664805E-2</v>
      </c>
      <c r="O544" s="7">
        <f t="shared" si="107"/>
        <v>0</v>
      </c>
      <c r="P544" s="6">
        <f t="shared" si="108"/>
        <v>917195.4582847649</v>
      </c>
      <c r="Q544" s="6">
        <f t="shared" si="110"/>
        <v>10478720.646617861</v>
      </c>
      <c r="R544" s="4">
        <f t="shared" ca="1" si="111"/>
        <v>-57</v>
      </c>
      <c r="S544" s="6"/>
      <c r="T544" s="5"/>
      <c r="U544" s="30" t="str">
        <f t="shared" si="105"/>
        <v>PENDIENTE</v>
      </c>
    </row>
    <row r="545" spans="1:21" x14ac:dyDescent="0.25">
      <c r="A545" s="4" t="str">
        <f t="shared" si="106"/>
        <v>202412</v>
      </c>
      <c r="B545" s="4" t="s">
        <v>24</v>
      </c>
      <c r="C545" s="4" t="s">
        <v>21</v>
      </c>
      <c r="D545" s="29" t="s">
        <v>42</v>
      </c>
      <c r="E545" s="28">
        <v>45656</v>
      </c>
      <c r="F545" s="4">
        <v>23</v>
      </c>
      <c r="G545" s="4">
        <v>13</v>
      </c>
      <c r="H545" s="6">
        <f t="shared" si="112"/>
        <v>700009.41730931227</v>
      </c>
      <c r="I545" s="6">
        <f t="shared" si="113"/>
        <v>219222.85361204881</v>
      </c>
      <c r="J545" s="6">
        <v>0</v>
      </c>
      <c r="K545" s="6">
        <v>0</v>
      </c>
      <c r="L545" s="6">
        <f t="shared" si="114"/>
        <v>0</v>
      </c>
      <c r="M545" s="7">
        <v>2.0920765139664805E-2</v>
      </c>
      <c r="N545" s="7">
        <f t="shared" si="109"/>
        <v>2.0920765139664805E-2</v>
      </c>
      <c r="O545" s="7">
        <f t="shared" si="107"/>
        <v>0</v>
      </c>
      <c r="P545" s="6">
        <f t="shared" si="108"/>
        <v>919232.27092136105</v>
      </c>
      <c r="Q545" s="6">
        <f t="shared" si="110"/>
        <v>9778711.2293085493</v>
      </c>
      <c r="R545" s="4">
        <f t="shared" ca="1" si="111"/>
        <v>-88</v>
      </c>
      <c r="S545" s="6"/>
      <c r="T545" s="5"/>
      <c r="U545" s="30" t="str">
        <f t="shared" si="105"/>
        <v>PENDIENTE</v>
      </c>
    </row>
    <row r="546" spans="1:21" x14ac:dyDescent="0.25">
      <c r="A546" s="4" t="str">
        <f t="shared" si="106"/>
        <v>20251</v>
      </c>
      <c r="B546" s="4" t="s">
        <v>24</v>
      </c>
      <c r="C546" s="4" t="s">
        <v>21</v>
      </c>
      <c r="D546" s="29" t="s">
        <v>42</v>
      </c>
      <c r="E546" s="28">
        <v>45687</v>
      </c>
      <c r="F546" s="4">
        <v>24</v>
      </c>
      <c r="G546" s="4">
        <v>12</v>
      </c>
      <c r="H546" s="6">
        <f t="shared" si="112"/>
        <v>716739.64238300489</v>
      </c>
      <c r="I546" s="6">
        <f t="shared" si="113"/>
        <v>204578.12099696707</v>
      </c>
      <c r="J546" s="6">
        <v>0</v>
      </c>
      <c r="K546" s="6">
        <v>0</v>
      </c>
      <c r="L546" s="6">
        <f t="shared" si="114"/>
        <v>0</v>
      </c>
      <c r="M546" s="7">
        <v>2.0920765139664805E-2</v>
      </c>
      <c r="N546" s="7">
        <f t="shared" si="109"/>
        <v>2.0920765139664805E-2</v>
      </c>
      <c r="O546" s="7">
        <f t="shared" si="107"/>
        <v>0</v>
      </c>
      <c r="P546" s="6">
        <f t="shared" si="108"/>
        <v>921317.76337997196</v>
      </c>
      <c r="Q546" s="6">
        <f t="shared" si="110"/>
        <v>9061971.5869255438</v>
      </c>
      <c r="R546" s="4">
        <f t="shared" ca="1" si="111"/>
        <v>-118</v>
      </c>
      <c r="S546" s="6"/>
      <c r="T546" s="5"/>
      <c r="U546" s="30" t="str">
        <f t="shared" si="105"/>
        <v>PENDIENTE</v>
      </c>
    </row>
    <row r="547" spans="1:21" x14ac:dyDescent="0.25">
      <c r="A547" s="4" t="str">
        <f t="shared" si="106"/>
        <v>20252</v>
      </c>
      <c r="B547" s="4" t="s">
        <v>24</v>
      </c>
      <c r="C547" s="4" t="s">
        <v>21</v>
      </c>
      <c r="D547" s="29" t="s">
        <v>42</v>
      </c>
      <c r="E547" s="28">
        <v>45716</v>
      </c>
      <c r="F547" s="4">
        <v>25</v>
      </c>
      <c r="G547" s="4">
        <v>11</v>
      </c>
      <c r="H547" s="6">
        <f t="shared" si="112"/>
        <v>733869.71983595868</v>
      </c>
      <c r="I547" s="6">
        <f t="shared" si="113"/>
        <v>189583.37927238486</v>
      </c>
      <c r="J547" s="6">
        <v>0</v>
      </c>
      <c r="K547" s="6">
        <v>0</v>
      </c>
      <c r="L547" s="6">
        <f t="shared" si="114"/>
        <v>0</v>
      </c>
      <c r="M547" s="7">
        <v>2.0920765139664805E-2</v>
      </c>
      <c r="N547" s="7">
        <f t="shared" si="109"/>
        <v>2.0920765139664805E-2</v>
      </c>
      <c r="O547" s="7">
        <f t="shared" si="107"/>
        <v>0</v>
      </c>
      <c r="P547" s="6">
        <f t="shared" si="108"/>
        <v>923453.09910834348</v>
      </c>
      <c r="Q547" s="6">
        <f t="shared" si="110"/>
        <v>8328101.8670895854</v>
      </c>
      <c r="R547" s="4">
        <f t="shared" ca="1" si="111"/>
        <v>-149</v>
      </c>
      <c r="S547" s="6"/>
      <c r="T547" s="5"/>
      <c r="U547" s="30" t="str">
        <f t="shared" si="105"/>
        <v>PENDIENTE</v>
      </c>
    </row>
    <row r="548" spans="1:21" x14ac:dyDescent="0.25">
      <c r="A548" s="4" t="str">
        <f t="shared" si="106"/>
        <v>20253</v>
      </c>
      <c r="B548" s="4" t="s">
        <v>24</v>
      </c>
      <c r="C548" s="4" t="s">
        <v>21</v>
      </c>
      <c r="D548" s="29" t="s">
        <v>42</v>
      </c>
      <c r="E548" s="28">
        <v>45746</v>
      </c>
      <c r="F548" s="4">
        <v>26</v>
      </c>
      <c r="G548" s="4">
        <v>10</v>
      </c>
      <c r="H548" s="6">
        <f t="shared" si="112"/>
        <v>751409.20614003809</v>
      </c>
      <c r="I548" s="6">
        <f t="shared" si="113"/>
        <v>174230.26322058518</v>
      </c>
      <c r="J548" s="6">
        <v>0</v>
      </c>
      <c r="K548" s="6">
        <v>0</v>
      </c>
      <c r="L548" s="6">
        <f t="shared" si="114"/>
        <v>0</v>
      </c>
      <c r="M548" s="7">
        <v>2.0920765139664805E-2</v>
      </c>
      <c r="N548" s="7">
        <f t="shared" si="109"/>
        <v>2.0920765139664805E-2</v>
      </c>
      <c r="O548" s="7">
        <f t="shared" si="107"/>
        <v>0</v>
      </c>
      <c r="P548" s="6">
        <f t="shared" si="108"/>
        <v>925639.46936062328</v>
      </c>
      <c r="Q548" s="6">
        <f t="shared" si="110"/>
        <v>7576692.6609495468</v>
      </c>
      <c r="R548" s="4">
        <f t="shared" ca="1" si="111"/>
        <v>-178</v>
      </c>
      <c r="S548" s="6"/>
      <c r="T548" s="5"/>
      <c r="U548" s="30" t="str">
        <f t="shared" si="105"/>
        <v>PENDIENTE</v>
      </c>
    </row>
    <row r="549" spans="1:21" x14ac:dyDescent="0.25">
      <c r="A549" s="4" t="str">
        <f t="shared" si="106"/>
        <v>20254</v>
      </c>
      <c r="B549" s="4" t="s">
        <v>24</v>
      </c>
      <c r="C549" s="4" t="s">
        <v>21</v>
      </c>
      <c r="D549" s="29" t="s">
        <v>42</v>
      </c>
      <c r="E549" s="28">
        <v>45777</v>
      </c>
      <c r="F549" s="4">
        <v>27</v>
      </c>
      <c r="G549" s="4">
        <v>9</v>
      </c>
      <c r="H549" s="6">
        <f t="shared" si="112"/>
        <v>769367.88616678503</v>
      </c>
      <c r="I549" s="6">
        <f t="shared" si="113"/>
        <v>158510.20769514746</v>
      </c>
      <c r="J549" s="6">
        <v>0</v>
      </c>
      <c r="K549" s="6">
        <v>0</v>
      </c>
      <c r="L549" s="6">
        <f t="shared" si="114"/>
        <v>0</v>
      </c>
      <c r="M549" s="7">
        <v>2.0920765139664805E-2</v>
      </c>
      <c r="N549" s="7">
        <f t="shared" si="109"/>
        <v>2.0920765139664805E-2</v>
      </c>
      <c r="O549" s="7">
        <f t="shared" si="107"/>
        <v>0</v>
      </c>
      <c r="P549" s="6">
        <f t="shared" si="108"/>
        <v>927878.09386193252</v>
      </c>
      <c r="Q549" s="6">
        <f t="shared" si="110"/>
        <v>6807324.7747827619</v>
      </c>
      <c r="R549" s="4">
        <f t="shared" ca="1" si="111"/>
        <v>-208</v>
      </c>
      <c r="S549" s="6"/>
      <c r="T549" s="5"/>
      <c r="U549" s="30" t="str">
        <f t="shared" si="105"/>
        <v>PENDIENTE</v>
      </c>
    </row>
    <row r="550" spans="1:21" x14ac:dyDescent="0.25">
      <c r="A550" s="4" t="str">
        <f t="shared" si="106"/>
        <v>20255</v>
      </c>
      <c r="B550" s="4" t="s">
        <v>24</v>
      </c>
      <c r="C550" s="4" t="s">
        <v>21</v>
      </c>
      <c r="D550" s="29" t="s">
        <v>42</v>
      </c>
      <c r="E550" s="28">
        <v>45807</v>
      </c>
      <c r="F550" s="4">
        <v>28</v>
      </c>
      <c r="G550" s="4">
        <v>8</v>
      </c>
      <c r="H550" s="6">
        <f t="shared" si="112"/>
        <v>787755.77864617121</v>
      </c>
      <c r="I550" s="6">
        <f t="shared" si="113"/>
        <v>142414.44284265177</v>
      </c>
      <c r="J550" s="6">
        <v>0</v>
      </c>
      <c r="K550" s="6">
        <v>0</v>
      </c>
      <c r="L550" s="6">
        <f t="shared" si="114"/>
        <v>0</v>
      </c>
      <c r="M550" s="7">
        <v>2.0920765139664805E-2</v>
      </c>
      <c r="N550" s="7">
        <f t="shared" si="109"/>
        <v>2.0920765139664805E-2</v>
      </c>
      <c r="O550" s="7">
        <f t="shared" si="107"/>
        <v>0</v>
      </c>
      <c r="P550" s="6">
        <f t="shared" si="108"/>
        <v>930170.22148882295</v>
      </c>
      <c r="Q550" s="6">
        <f t="shared" si="110"/>
        <v>6019568.9961365908</v>
      </c>
      <c r="R550" s="4">
        <f t="shared" ca="1" si="111"/>
        <v>-239</v>
      </c>
      <c r="S550" s="6"/>
      <c r="T550" s="5"/>
      <c r="U550" s="30" t="str">
        <f t="shared" si="105"/>
        <v>PENDIENTE</v>
      </c>
    </row>
    <row r="551" spans="1:21" x14ac:dyDescent="0.25">
      <c r="A551" s="4" t="str">
        <f t="shared" si="106"/>
        <v>20256</v>
      </c>
      <c r="B551" s="4" t="s">
        <v>24</v>
      </c>
      <c r="C551" s="4" t="s">
        <v>21</v>
      </c>
      <c r="D551" s="29" t="s">
        <v>42</v>
      </c>
      <c r="E551" s="28">
        <v>45838</v>
      </c>
      <c r="F551" s="4">
        <v>29</v>
      </c>
      <c r="G551" s="4">
        <v>7</v>
      </c>
      <c r="H551" s="6">
        <f t="shared" si="112"/>
        <v>806583.14175581478</v>
      </c>
      <c r="I551" s="6">
        <f t="shared" si="113"/>
        <v>125933.98921018145</v>
      </c>
      <c r="J551" s="6">
        <v>0</v>
      </c>
      <c r="K551" s="6">
        <v>0</v>
      </c>
      <c r="L551" s="6">
        <f t="shared" si="114"/>
        <v>0</v>
      </c>
      <c r="M551" s="7">
        <v>2.0920765139664805E-2</v>
      </c>
      <c r="N551" s="7">
        <f t="shared" si="109"/>
        <v>2.0920765139664805E-2</v>
      </c>
      <c r="O551" s="7">
        <f t="shared" si="107"/>
        <v>0</v>
      </c>
      <c r="P551" s="6">
        <f t="shared" si="108"/>
        <v>932517.13096599618</v>
      </c>
      <c r="Q551" s="6">
        <f t="shared" si="110"/>
        <v>5212985.8543807762</v>
      </c>
      <c r="R551" s="4">
        <f t="shared" ca="1" si="111"/>
        <v>-269</v>
      </c>
      <c r="S551" s="6"/>
      <c r="T551" s="5"/>
      <c r="U551" s="30" t="str">
        <f t="shared" si="105"/>
        <v>PENDIENTE</v>
      </c>
    </row>
    <row r="552" spans="1:21" x14ac:dyDescent="0.25">
      <c r="A552" s="4" t="str">
        <f t="shared" si="106"/>
        <v>20257</v>
      </c>
      <c r="B552" s="4" t="s">
        <v>24</v>
      </c>
      <c r="C552" s="4" t="s">
        <v>21</v>
      </c>
      <c r="D552" s="29" t="s">
        <v>42</v>
      </c>
      <c r="E552" s="28">
        <v>45868</v>
      </c>
      <c r="F552" s="4">
        <v>30</v>
      </c>
      <c r="G552" s="4">
        <v>6</v>
      </c>
      <c r="H552" s="6">
        <f t="shared" si="112"/>
        <v>825860.47884377884</v>
      </c>
      <c r="I552" s="6">
        <f t="shared" si="113"/>
        <v>109059.65273589508</v>
      </c>
      <c r="J552" s="6">
        <v>0</v>
      </c>
      <c r="K552" s="6">
        <v>0</v>
      </c>
      <c r="L552" s="6">
        <f t="shared" si="114"/>
        <v>0</v>
      </c>
      <c r="M552" s="7">
        <v>2.0920765139664805E-2</v>
      </c>
      <c r="N552" s="7">
        <f t="shared" si="109"/>
        <v>2.0920765139664805E-2</v>
      </c>
      <c r="O552" s="7">
        <f t="shared" si="107"/>
        <v>0</v>
      </c>
      <c r="P552" s="6">
        <f t="shared" si="108"/>
        <v>934920.13157967397</v>
      </c>
      <c r="Q552" s="6">
        <f t="shared" si="110"/>
        <v>4387125.3755369969</v>
      </c>
      <c r="R552" s="4">
        <f t="shared" ca="1" si="111"/>
        <v>-300</v>
      </c>
      <c r="S552" s="6"/>
      <c r="T552" s="5"/>
      <c r="U552" s="30" t="str">
        <f t="shared" si="105"/>
        <v>PENDIENTE</v>
      </c>
    </row>
    <row r="553" spans="1:21" x14ac:dyDescent="0.25">
      <c r="A553" s="4" t="str">
        <f t="shared" si="106"/>
        <v>20258</v>
      </c>
      <c r="B553" s="4" t="s">
        <v>24</v>
      </c>
      <c r="C553" s="4" t="s">
        <v>21</v>
      </c>
      <c r="D553" s="29" t="s">
        <v>42</v>
      </c>
      <c r="E553" s="28">
        <v>45899</v>
      </c>
      <c r="F553" s="4">
        <v>31</v>
      </c>
      <c r="G553" s="4">
        <v>5</v>
      </c>
      <c r="H553" s="6">
        <f t="shared" si="112"/>
        <v>845598.54428814515</v>
      </c>
      <c r="I553" s="6">
        <f t="shared" si="113"/>
        <v>91782.019619873274</v>
      </c>
      <c r="J553" s="6">
        <v>0</v>
      </c>
      <c r="K553" s="6">
        <v>0</v>
      </c>
      <c r="L553" s="6">
        <f t="shared" si="114"/>
        <v>0</v>
      </c>
      <c r="M553" s="7">
        <v>2.0920765139664805E-2</v>
      </c>
      <c r="N553" s="7">
        <f t="shared" si="109"/>
        <v>2.0920765139664805E-2</v>
      </c>
      <c r="O553" s="7">
        <f t="shared" si="107"/>
        <v>0</v>
      </c>
      <c r="P553" s="6">
        <f t="shared" si="108"/>
        <v>937380.5639080184</v>
      </c>
      <c r="Q553" s="6">
        <f t="shared" si="110"/>
        <v>3541526.8312488515</v>
      </c>
      <c r="R553" s="4">
        <f t="shared" ca="1" si="111"/>
        <v>-330</v>
      </c>
      <c r="S553" s="6"/>
      <c r="T553" s="5"/>
      <c r="U553" s="30" t="str">
        <f t="shared" si="105"/>
        <v>PENDIENTE</v>
      </c>
    </row>
    <row r="554" spans="1:21" x14ac:dyDescent="0.25">
      <c r="A554" s="4" t="str">
        <f t="shared" si="106"/>
        <v>20259</v>
      </c>
      <c r="B554" s="4" t="s">
        <v>24</v>
      </c>
      <c r="C554" s="4" t="s">
        <v>21</v>
      </c>
      <c r="D554" s="29" t="s">
        <v>42</v>
      </c>
      <c r="E554" s="28">
        <v>45930</v>
      </c>
      <c r="F554" s="4">
        <v>32</v>
      </c>
      <c r="G554" s="4">
        <v>4</v>
      </c>
      <c r="H554" s="6">
        <f t="shared" si="112"/>
        <v>865808.34949663188</v>
      </c>
      <c r="I554" s="6">
        <f t="shared" si="113"/>
        <v>74091.451072378535</v>
      </c>
      <c r="J554" s="6">
        <v>0</v>
      </c>
      <c r="K554" s="6">
        <v>0</v>
      </c>
      <c r="L554" s="6">
        <f t="shared" si="114"/>
        <v>0</v>
      </c>
      <c r="M554" s="7">
        <v>2.0920765139664805E-2</v>
      </c>
      <c r="N554" s="7">
        <f t="shared" si="109"/>
        <v>2.0920765139664805E-2</v>
      </c>
      <c r="O554" s="7">
        <f t="shared" si="107"/>
        <v>0</v>
      </c>
      <c r="P554" s="6">
        <f t="shared" si="108"/>
        <v>939899.80056901043</v>
      </c>
      <c r="Q554" s="6">
        <f t="shared" si="110"/>
        <v>2675718.4817522196</v>
      </c>
      <c r="R554" s="4">
        <f t="shared" ca="1" si="111"/>
        <v>-361</v>
      </c>
      <c r="S554" s="6"/>
      <c r="T554" s="5"/>
      <c r="U554" s="30" t="str">
        <f t="shared" si="105"/>
        <v>PENDIENTE</v>
      </c>
    </row>
    <row r="555" spans="1:21" x14ac:dyDescent="0.25">
      <c r="A555" s="4" t="str">
        <f t="shared" si="106"/>
        <v>202510</v>
      </c>
      <c r="B555" s="4" t="s">
        <v>24</v>
      </c>
      <c r="C555" s="4" t="s">
        <v>21</v>
      </c>
      <c r="D555" s="29" t="s">
        <v>42</v>
      </c>
      <c r="E555" s="28">
        <v>45960</v>
      </c>
      <c r="F555" s="4">
        <v>33</v>
      </c>
      <c r="G555" s="4">
        <v>3</v>
      </c>
      <c r="H555" s="6">
        <f t="shared" si="112"/>
        <v>886501.16904960142</v>
      </c>
      <c r="I555" s="6">
        <f t="shared" si="113"/>
        <v>55978.077936598675</v>
      </c>
      <c r="J555" s="6">
        <v>0</v>
      </c>
      <c r="K555" s="6">
        <v>0</v>
      </c>
      <c r="L555" s="6">
        <f t="shared" si="114"/>
        <v>0</v>
      </c>
      <c r="M555" s="7">
        <v>2.0920765139664805E-2</v>
      </c>
      <c r="N555" s="7">
        <f t="shared" si="109"/>
        <v>2.0920765139664805E-2</v>
      </c>
      <c r="O555" s="7">
        <f t="shared" si="107"/>
        <v>0</v>
      </c>
      <c r="P555" s="6">
        <f t="shared" si="108"/>
        <v>942479.2469862001</v>
      </c>
      <c r="Q555" s="6">
        <f t="shared" si="110"/>
        <v>1789217.3127026181</v>
      </c>
      <c r="R555" s="4">
        <f t="shared" ca="1" si="111"/>
        <v>-392</v>
      </c>
      <c r="S555" s="6"/>
      <c r="T555" s="5"/>
      <c r="U555" s="30" t="str">
        <f t="shared" si="105"/>
        <v>PENDIENTE</v>
      </c>
    </row>
    <row r="556" spans="1:21" x14ac:dyDescent="0.25">
      <c r="A556" s="4" t="str">
        <f t="shared" si="106"/>
        <v>202511</v>
      </c>
      <c r="B556" s="4" t="s">
        <v>24</v>
      </c>
      <c r="C556" s="4" t="s">
        <v>21</v>
      </c>
      <c r="D556" s="29" t="s">
        <v>42</v>
      </c>
      <c r="E556" s="28">
        <v>45991</v>
      </c>
      <c r="F556" s="4">
        <v>34</v>
      </c>
      <c r="G556" s="4">
        <v>2</v>
      </c>
      <c r="H556" s="6">
        <f t="shared" si="112"/>
        <v>907688.54698988691</v>
      </c>
      <c r="I556" s="6">
        <f t="shared" si="113"/>
        <v>37431.795182873677</v>
      </c>
      <c r="J556" s="6">
        <v>0</v>
      </c>
      <c r="K556" s="6">
        <v>0</v>
      </c>
      <c r="L556" s="6">
        <f t="shared" si="114"/>
        <v>0</v>
      </c>
      <c r="M556" s="7">
        <v>2.0920765139664805E-2</v>
      </c>
      <c r="N556" s="7">
        <f t="shared" si="109"/>
        <v>2.0920765139664805E-2</v>
      </c>
      <c r="O556" s="7">
        <f t="shared" si="107"/>
        <v>0</v>
      </c>
      <c r="P556" s="6">
        <f t="shared" si="108"/>
        <v>945120.34217276063</v>
      </c>
      <c r="Q556" s="6">
        <f t="shared" si="110"/>
        <v>881528.76571273117</v>
      </c>
      <c r="R556" s="4">
        <f t="shared" ca="1" si="111"/>
        <v>-422</v>
      </c>
      <c r="S556" s="6"/>
      <c r="T556" s="5"/>
      <c r="U556" s="30" t="str">
        <f t="shared" si="105"/>
        <v>PENDIENTE</v>
      </c>
    </row>
    <row r="557" spans="1:21" x14ac:dyDescent="0.25">
      <c r="A557" s="4" t="str">
        <f t="shared" si="106"/>
        <v>202512</v>
      </c>
      <c r="B557" s="4" t="s">
        <v>24</v>
      </c>
      <c r="C557" s="4" t="s">
        <v>21</v>
      </c>
      <c r="D557" s="29" t="s">
        <v>42</v>
      </c>
      <c r="E557" s="28">
        <v>46021</v>
      </c>
      <c r="F557" s="4">
        <v>35</v>
      </c>
      <c r="G557" s="4">
        <v>1</v>
      </c>
      <c r="H557" s="6">
        <f t="shared" si="112"/>
        <v>929382.30326294526</v>
      </c>
      <c r="I557" s="6">
        <f t="shared" si="113"/>
        <v>18442.256271334649</v>
      </c>
      <c r="J557" s="6">
        <v>0</v>
      </c>
      <c r="K557" s="6">
        <v>0</v>
      </c>
      <c r="L557" s="6">
        <f t="shared" si="114"/>
        <v>0</v>
      </c>
      <c r="M557" s="7">
        <v>2.0920765139664805E-2</v>
      </c>
      <c r="N557" s="7">
        <f t="shared" si="109"/>
        <v>2.0920765139664805E-2</v>
      </c>
      <c r="O557" s="7">
        <f t="shared" si="107"/>
        <v>0</v>
      </c>
      <c r="P557" s="6">
        <f t="shared" si="108"/>
        <v>947824.55953427986</v>
      </c>
      <c r="Q557" s="6">
        <f t="shared" si="110"/>
        <v>-47853.537550214096</v>
      </c>
      <c r="R557" s="4">
        <f t="shared" ca="1" si="111"/>
        <v>-453</v>
      </c>
      <c r="S557" s="6"/>
      <c r="T557" s="5"/>
      <c r="U557" s="30" t="str">
        <f t="shared" si="105"/>
        <v>PENDIENTE</v>
      </c>
    </row>
    <row r="558" spans="1:21" x14ac:dyDescent="0.25">
      <c r="A558" s="4" t="str">
        <f t="shared" si="106"/>
        <v>20261</v>
      </c>
      <c r="B558" s="4" t="s">
        <v>24</v>
      </c>
      <c r="C558" s="4" t="s">
        <v>21</v>
      </c>
      <c r="D558" s="29" t="s">
        <v>42</v>
      </c>
      <c r="E558" s="28">
        <v>46052</v>
      </c>
      <c r="F558" s="4">
        <v>36</v>
      </c>
      <c r="G558" s="4">
        <v>0</v>
      </c>
      <c r="H558" s="6">
        <f t="shared" si="112"/>
        <v>951594.54031092965</v>
      </c>
      <c r="I558" s="6">
        <f t="shared" si="113"/>
        <v>-1001.1326201901597</v>
      </c>
      <c r="J558" s="6">
        <v>0</v>
      </c>
      <c r="K558" s="6">
        <v>0</v>
      </c>
      <c r="L558" s="6">
        <f t="shared" si="114"/>
        <v>0</v>
      </c>
      <c r="M558" s="7">
        <v>2.0920765139664805E-2</v>
      </c>
      <c r="N558" s="7">
        <f t="shared" si="109"/>
        <v>2.0920765139664805E-2</v>
      </c>
      <c r="O558" s="7">
        <f t="shared" si="107"/>
        <v>0</v>
      </c>
      <c r="P558" s="6">
        <f t="shared" si="108"/>
        <v>950593.40769073949</v>
      </c>
      <c r="Q558" s="6">
        <f t="shared" si="110"/>
        <v>-999448.07786114374</v>
      </c>
      <c r="R558" s="4">
        <f t="shared" ca="1" si="111"/>
        <v>-483</v>
      </c>
      <c r="S558" s="6"/>
      <c r="T558" s="5"/>
      <c r="U558" s="30" t="str">
        <f t="shared" si="105"/>
        <v>PENDIENTE</v>
      </c>
    </row>
    <row r="559" spans="1:21" x14ac:dyDescent="0.25">
      <c r="A559" s="4" t="str">
        <f t="shared" si="106"/>
        <v>20231</v>
      </c>
      <c r="B559" s="4" t="s">
        <v>24</v>
      </c>
      <c r="C559" s="4" t="s">
        <v>25</v>
      </c>
      <c r="D559" s="29" t="s">
        <v>43</v>
      </c>
      <c r="E559" s="28">
        <v>44957</v>
      </c>
      <c r="F559" s="4">
        <v>0</v>
      </c>
      <c r="G559" s="4">
        <v>36</v>
      </c>
      <c r="H559" s="6">
        <v>0</v>
      </c>
      <c r="I559" s="6">
        <v>0</v>
      </c>
      <c r="J559" s="6">
        <v>0</v>
      </c>
      <c r="K559" s="6">
        <v>0</v>
      </c>
      <c r="L559" s="6">
        <f t="shared" si="114"/>
        <v>0</v>
      </c>
      <c r="M559" s="7">
        <f>0.1241/12</f>
        <v>1.0341666666666667E-2</v>
      </c>
      <c r="N559" s="7">
        <f>IF(I559="","",I559/Q558)</f>
        <v>0</v>
      </c>
      <c r="O559" s="7">
        <f t="shared" si="107"/>
        <v>-1</v>
      </c>
      <c r="P559" s="6">
        <f t="shared" si="108"/>
        <v>0</v>
      </c>
      <c r="Q559" s="6">
        <v>9676000</v>
      </c>
      <c r="R559" s="4" t="s">
        <v>27</v>
      </c>
      <c r="S559" s="6">
        <v>0</v>
      </c>
      <c r="T559" s="5">
        <v>44957</v>
      </c>
      <c r="U559" s="30" t="str">
        <f t="shared" si="105"/>
        <v>PAGADO</v>
      </c>
    </row>
    <row r="560" spans="1:21" x14ac:dyDescent="0.25">
      <c r="A560" s="4" t="str">
        <f t="shared" si="106"/>
        <v>20232</v>
      </c>
      <c r="B560" s="4" t="s">
        <v>24</v>
      </c>
      <c r="C560" s="4" t="s">
        <v>25</v>
      </c>
      <c r="D560" s="29" t="s">
        <v>43</v>
      </c>
      <c r="E560" s="28">
        <v>44985</v>
      </c>
      <c r="F560" s="4">
        <v>1</v>
      </c>
      <c r="G560" s="4">
        <v>35</v>
      </c>
      <c r="H560" s="6">
        <v>182823.88</v>
      </c>
      <c r="I560" s="6">
        <v>202429.32</v>
      </c>
      <c r="J560" s="6">
        <v>0</v>
      </c>
      <c r="K560" s="6">
        <v>0</v>
      </c>
      <c r="L560" s="6">
        <f t="shared" si="114"/>
        <v>0</v>
      </c>
      <c r="M560" s="7">
        <f t="shared" ref="M560:M595" si="115">0.1241/12</f>
        <v>1.0341666666666667E-2</v>
      </c>
      <c r="N560" s="7">
        <f t="shared" ref="N560:N623" si="116">IF(I560="","",I560/Q559)</f>
        <v>2.0920764778834231E-2</v>
      </c>
      <c r="O560" s="7">
        <f t="shared" si="107"/>
        <v>1.022958721563342</v>
      </c>
      <c r="P560" s="6">
        <f t="shared" si="108"/>
        <v>385253.2</v>
      </c>
      <c r="Q560" s="6">
        <f>Q559-H560</f>
        <v>9493176.1199999992</v>
      </c>
      <c r="R560" s="4" t="str">
        <f t="shared" ref="R560:R595" ca="1" si="117">IF(B559="","",IF(T559="",TODAY()-E559,IF(T560="",TODAY()-E560,"OK")))</f>
        <v>OK</v>
      </c>
      <c r="S560" s="6">
        <v>389673.47</v>
      </c>
      <c r="T560" s="5">
        <v>45009</v>
      </c>
      <c r="U560" s="30" t="str">
        <f t="shared" si="105"/>
        <v>PAGADO</v>
      </c>
    </row>
    <row r="561" spans="1:21" x14ac:dyDescent="0.25">
      <c r="A561" s="4" t="str">
        <f t="shared" si="106"/>
        <v>20233</v>
      </c>
      <c r="B561" s="4" t="s">
        <v>24</v>
      </c>
      <c r="C561" s="4" t="s">
        <v>25</v>
      </c>
      <c r="D561" s="29" t="s">
        <v>43</v>
      </c>
      <c r="E561" s="28">
        <v>45015</v>
      </c>
      <c r="F561" s="4">
        <v>2</v>
      </c>
      <c r="G561" s="4">
        <v>34</v>
      </c>
      <c r="H561" s="6">
        <v>188509.76</v>
      </c>
      <c r="I561" s="6">
        <v>198982.41</v>
      </c>
      <c r="J561" s="6">
        <v>0</v>
      </c>
      <c r="K561" s="6">
        <v>0</v>
      </c>
      <c r="L561" s="6">
        <f t="shared" si="114"/>
        <v>0</v>
      </c>
      <c r="M561" s="7">
        <f t="shared" si="115"/>
        <v>1.0341666666666667E-2</v>
      </c>
      <c r="N561" s="7">
        <f t="shared" si="116"/>
        <v>2.0960572887801857E-2</v>
      </c>
      <c r="O561" s="7">
        <f t="shared" si="107"/>
        <v>1.0268080149365209</v>
      </c>
      <c r="P561" s="6">
        <f t="shared" si="108"/>
        <v>387492.17000000004</v>
      </c>
      <c r="Q561" s="6">
        <f t="shared" ref="Q561:Q595" si="118">Q560-H561</f>
        <v>9304666.3599999994</v>
      </c>
      <c r="R561" s="4" t="str">
        <f t="shared" ca="1" si="117"/>
        <v>OK</v>
      </c>
      <c r="S561" s="6">
        <v>389051.93</v>
      </c>
      <c r="T561" s="5">
        <v>45033</v>
      </c>
      <c r="U561" s="30" t="str">
        <f t="shared" si="105"/>
        <v>PAGADO</v>
      </c>
    </row>
    <row r="562" spans="1:21" x14ac:dyDescent="0.25">
      <c r="A562" s="4" t="str">
        <f t="shared" si="106"/>
        <v>20234</v>
      </c>
      <c r="B562" s="4" t="s">
        <v>24</v>
      </c>
      <c r="C562" s="4" t="s">
        <v>25</v>
      </c>
      <c r="D562" s="29" t="s">
        <v>43</v>
      </c>
      <c r="E562" s="28">
        <v>45046</v>
      </c>
      <c r="F562" s="4">
        <v>3</v>
      </c>
      <c r="G562" s="4">
        <v>33</v>
      </c>
      <c r="H562" s="6">
        <v>193423.46</v>
      </c>
      <c r="I562" s="6">
        <v>187010.3</v>
      </c>
      <c r="J562" s="6">
        <v>0</v>
      </c>
      <c r="K562" s="6">
        <v>0</v>
      </c>
      <c r="L562" s="6">
        <f t="shared" si="114"/>
        <v>0</v>
      </c>
      <c r="M562" s="7">
        <f t="shared" si="115"/>
        <v>1.0341666666666667E-2</v>
      </c>
      <c r="N562" s="7">
        <f t="shared" si="116"/>
        <v>2.009854977755484E-2</v>
      </c>
      <c r="O562" s="7">
        <f t="shared" si="107"/>
        <v>0.9434536448884614</v>
      </c>
      <c r="P562" s="6">
        <f t="shared" si="108"/>
        <v>380433.76</v>
      </c>
      <c r="Q562" s="6">
        <f t="shared" si="118"/>
        <v>9111242.8999999985</v>
      </c>
      <c r="R562" s="4" t="str">
        <f t="shared" ca="1" si="117"/>
        <v>OK</v>
      </c>
      <c r="S562" s="6">
        <v>384043.42</v>
      </c>
      <c r="T562" s="5">
        <v>45054</v>
      </c>
      <c r="U562" s="30" t="str">
        <f t="shared" si="105"/>
        <v>PAGADO</v>
      </c>
    </row>
    <row r="563" spans="1:21" x14ac:dyDescent="0.25">
      <c r="A563" s="4" t="str">
        <f t="shared" si="106"/>
        <v>20235</v>
      </c>
      <c r="B563" s="4" t="s">
        <v>24</v>
      </c>
      <c r="C563" s="4" t="s">
        <v>25</v>
      </c>
      <c r="D563" s="29" t="s">
        <v>43</v>
      </c>
      <c r="E563" s="28">
        <v>45076</v>
      </c>
      <c r="F563" s="4">
        <v>4</v>
      </c>
      <c r="G563" s="4">
        <v>32</v>
      </c>
      <c r="H563" s="6">
        <v>198839</v>
      </c>
      <c r="I563" s="6">
        <v>179086.88</v>
      </c>
      <c r="J563" s="6">
        <v>0</v>
      </c>
      <c r="K563" s="6">
        <v>0</v>
      </c>
      <c r="L563" s="6">
        <f t="shared" si="114"/>
        <v>0</v>
      </c>
      <c r="M563" s="7">
        <f t="shared" si="115"/>
        <v>1.0341666666666667E-2</v>
      </c>
      <c r="N563" s="7">
        <f t="shared" si="116"/>
        <v>1.9655592762212501E-2</v>
      </c>
      <c r="O563" s="7">
        <f t="shared" si="107"/>
        <v>0.90062137910193396</v>
      </c>
      <c r="P563" s="6">
        <f t="shared" si="108"/>
        <v>377925.88</v>
      </c>
      <c r="Q563" s="6">
        <f t="shared" si="118"/>
        <v>8912403.8999999985</v>
      </c>
      <c r="R563" s="4" t="str">
        <f t="shared" ca="1" si="117"/>
        <v>OK</v>
      </c>
      <c r="S563" s="6">
        <v>377919.77</v>
      </c>
      <c r="T563" s="5">
        <v>45072</v>
      </c>
      <c r="U563" s="30" t="str">
        <f t="shared" si="105"/>
        <v>PAGADO</v>
      </c>
    </row>
    <row r="564" spans="1:21" x14ac:dyDescent="0.25">
      <c r="A564" s="4" t="str">
        <f t="shared" si="106"/>
        <v>20236</v>
      </c>
      <c r="B564" s="4" t="s">
        <v>24</v>
      </c>
      <c r="C564" s="4" t="s">
        <v>25</v>
      </c>
      <c r="D564" s="29" t="s">
        <v>43</v>
      </c>
      <c r="E564" s="28">
        <v>45107</v>
      </c>
      <c r="F564" s="4">
        <v>5</v>
      </c>
      <c r="G564" s="4">
        <v>31</v>
      </c>
      <c r="H564" s="6">
        <v>205265.44</v>
      </c>
      <c r="I564" s="6">
        <v>175068.31</v>
      </c>
      <c r="J564" s="6">
        <v>0</v>
      </c>
      <c r="K564" s="6">
        <v>0</v>
      </c>
      <c r="L564" s="6">
        <f t="shared" si="114"/>
        <v>6.1099999999860302</v>
      </c>
      <c r="M564" s="7">
        <f t="shared" si="115"/>
        <v>1.0341666666666667E-2</v>
      </c>
      <c r="N564" s="7">
        <f t="shared" si="116"/>
        <v>1.9643219939796494E-2</v>
      </c>
      <c r="O564" s="7">
        <f t="shared" si="107"/>
        <v>0.89942497403350452</v>
      </c>
      <c r="P564" s="6">
        <f t="shared" si="108"/>
        <v>380339.86</v>
      </c>
      <c r="Q564" s="6">
        <f t="shared" si="118"/>
        <v>8707138.459999999</v>
      </c>
      <c r="R564" s="4" t="str">
        <f t="shared" ca="1" si="117"/>
        <v>OK</v>
      </c>
      <c r="S564" s="6">
        <v>500000</v>
      </c>
      <c r="T564" s="5">
        <v>45136</v>
      </c>
      <c r="U564" s="30" t="str">
        <f t="shared" si="105"/>
        <v>PAGADO</v>
      </c>
    </row>
    <row r="565" spans="1:21" x14ac:dyDescent="0.25">
      <c r="A565" s="4" t="str">
        <f t="shared" si="106"/>
        <v>20237</v>
      </c>
      <c r="B565" s="4" t="s">
        <v>24</v>
      </c>
      <c r="C565" s="4" t="s">
        <v>25</v>
      </c>
      <c r="D565" s="29" t="s">
        <v>43</v>
      </c>
      <c r="E565" s="28">
        <v>45137</v>
      </c>
      <c r="F565" s="4">
        <v>6</v>
      </c>
      <c r="G565" s="4">
        <v>30</v>
      </c>
      <c r="H565" s="6">
        <v>179562.51538955871</v>
      </c>
      <c r="I565" s="6">
        <v>182765.58172646968</v>
      </c>
      <c r="J565" s="6">
        <v>0</v>
      </c>
      <c r="K565" s="6">
        <v>0</v>
      </c>
      <c r="L565" s="6">
        <f t="shared" si="114"/>
        <v>0</v>
      </c>
      <c r="M565" s="7">
        <f t="shared" si="115"/>
        <v>1.0341666666666667E-2</v>
      </c>
      <c r="N565" s="7">
        <f t="shared" si="116"/>
        <v>2.0990315310372324E-2</v>
      </c>
      <c r="O565" s="7">
        <f t="shared" si="107"/>
        <v>1.0296839945565499</v>
      </c>
      <c r="P565" s="6">
        <f t="shared" si="108"/>
        <v>362328.09711602842</v>
      </c>
      <c r="Q565" s="6">
        <f t="shared" si="118"/>
        <v>8527575.9446104411</v>
      </c>
      <c r="R565" s="4" t="str">
        <f t="shared" ca="1" si="117"/>
        <v>OK</v>
      </c>
      <c r="S565" s="6">
        <v>269417.08</v>
      </c>
      <c r="T565" s="5">
        <v>45155</v>
      </c>
      <c r="U565" s="30" t="str">
        <f t="shared" si="105"/>
        <v>PAGADO</v>
      </c>
    </row>
    <row r="566" spans="1:21" x14ac:dyDescent="0.25">
      <c r="A566" s="4" t="str">
        <f t="shared" si="106"/>
        <v>20238</v>
      </c>
      <c r="B566" s="4" t="s">
        <v>24</v>
      </c>
      <c r="C566" s="4" t="s">
        <v>25</v>
      </c>
      <c r="D566" s="29" t="s">
        <v>43</v>
      </c>
      <c r="E566" s="28">
        <v>45168</v>
      </c>
      <c r="F566" s="4">
        <v>7</v>
      </c>
      <c r="G566" s="4">
        <v>29</v>
      </c>
      <c r="H566" s="6">
        <v>184658.49957631441</v>
      </c>
      <c r="I566" s="6">
        <v>179009.73244623808</v>
      </c>
      <c r="J566" s="6">
        <v>0</v>
      </c>
      <c r="K566" s="6">
        <v>0</v>
      </c>
      <c r="L566" s="6">
        <v>0</v>
      </c>
      <c r="M566" s="7">
        <f t="shared" si="115"/>
        <v>1.0341666666666667E-2</v>
      </c>
      <c r="N566" s="7">
        <f t="shared" si="116"/>
        <v>2.0991866106965015E-2</v>
      </c>
      <c r="O566" s="7">
        <f t="shared" si="107"/>
        <v>1.0298339507137806</v>
      </c>
      <c r="P566" s="6">
        <f t="shared" si="108"/>
        <v>363668.23202255252</v>
      </c>
      <c r="Q566" s="6">
        <f t="shared" si="118"/>
        <v>8342917.4450341268</v>
      </c>
      <c r="R566" s="4" t="str">
        <f t="shared" ca="1" si="117"/>
        <v>OK</v>
      </c>
      <c r="S566" s="6">
        <v>386537.21</v>
      </c>
      <c r="T566" s="5">
        <v>45190</v>
      </c>
      <c r="U566" s="30" t="str">
        <f t="shared" si="105"/>
        <v>PAGADO</v>
      </c>
    </row>
    <row r="567" spans="1:21" x14ac:dyDescent="0.25">
      <c r="A567" s="4" t="str">
        <f t="shared" si="106"/>
        <v>20239</v>
      </c>
      <c r="B567" s="4" t="s">
        <v>24</v>
      </c>
      <c r="C567" s="4" t="s">
        <v>25</v>
      </c>
      <c r="D567" s="29" t="s">
        <v>43</v>
      </c>
      <c r="E567" s="28">
        <v>45199</v>
      </c>
      <c r="F567" s="4">
        <v>8</v>
      </c>
      <c r="G567" s="4">
        <v>28</v>
      </c>
      <c r="H567" s="6">
        <v>212273.17</v>
      </c>
      <c r="I567" s="6">
        <v>170250.69</v>
      </c>
      <c r="J567" s="6">
        <v>0</v>
      </c>
      <c r="K567" s="6">
        <v>0</v>
      </c>
      <c r="L567" s="6">
        <f t="shared" si="114"/>
        <v>0</v>
      </c>
      <c r="M567" s="7">
        <f t="shared" si="115"/>
        <v>1.0341666666666667E-2</v>
      </c>
      <c r="N567" s="7">
        <f t="shared" si="116"/>
        <v>2.0406613288656793E-2</v>
      </c>
      <c r="O567" s="7">
        <f t="shared" si="107"/>
        <v>0.97324221969284053</v>
      </c>
      <c r="P567" s="6">
        <f t="shared" si="108"/>
        <v>382523.86</v>
      </c>
      <c r="Q567" s="6">
        <f t="shared" si="118"/>
        <v>8130644.2750341268</v>
      </c>
      <c r="R567" s="4" t="str">
        <f t="shared" ca="1" si="117"/>
        <v>OK</v>
      </c>
      <c r="S567" s="6">
        <v>388449.07</v>
      </c>
      <c r="T567" s="5">
        <v>45229</v>
      </c>
      <c r="U567" s="30" t="str">
        <f t="shared" si="105"/>
        <v>PAGADO</v>
      </c>
    </row>
    <row r="568" spans="1:21" x14ac:dyDescent="0.25">
      <c r="A568" s="4" t="str">
        <f t="shared" si="106"/>
        <v>202310</v>
      </c>
      <c r="B568" s="4" t="s">
        <v>24</v>
      </c>
      <c r="C568" s="4" t="s">
        <v>25</v>
      </c>
      <c r="D568" s="29" t="s">
        <v>43</v>
      </c>
      <c r="E568" s="28">
        <v>45229</v>
      </c>
      <c r="F568" s="4">
        <v>9</v>
      </c>
      <c r="G568" s="4">
        <v>27</v>
      </c>
      <c r="H568" s="6">
        <v>195288.44447349221</v>
      </c>
      <c r="I568" s="6">
        <v>171175.23582540292</v>
      </c>
      <c r="J568" s="6">
        <v>0</v>
      </c>
      <c r="K568" s="6">
        <v>0</v>
      </c>
      <c r="L568" s="6">
        <f t="shared" si="114"/>
        <v>0</v>
      </c>
      <c r="M568" s="7">
        <f t="shared" si="115"/>
        <v>1.0341666666666667E-2</v>
      </c>
      <c r="N568" s="7">
        <f t="shared" si="116"/>
        <v>2.105309616742327E-2</v>
      </c>
      <c r="O568" s="7">
        <f t="shared" si="107"/>
        <v>1.0357546656654248</v>
      </c>
      <c r="P568" s="6">
        <f t="shared" si="108"/>
        <v>366463.68029889511</v>
      </c>
      <c r="Q568" s="6">
        <f t="shared" si="118"/>
        <v>7935355.8305606348</v>
      </c>
      <c r="R568" s="4" t="str">
        <f t="shared" ca="1" si="117"/>
        <v>OK</v>
      </c>
      <c r="S568" s="6">
        <v>386367.44</v>
      </c>
      <c r="T568" s="5">
        <v>45259</v>
      </c>
      <c r="U568" s="30" t="str">
        <f t="shared" si="105"/>
        <v>PAGADO</v>
      </c>
    </row>
    <row r="569" spans="1:21" x14ac:dyDescent="0.25">
      <c r="A569" s="4" t="str">
        <f t="shared" si="106"/>
        <v>202311</v>
      </c>
      <c r="B569" s="4" t="s">
        <v>24</v>
      </c>
      <c r="C569" s="4" t="s">
        <v>25</v>
      </c>
      <c r="D569" s="29" t="s">
        <v>43</v>
      </c>
      <c r="E569" s="28">
        <v>45260</v>
      </c>
      <c r="F569" s="4">
        <v>10</v>
      </c>
      <c r="G569" s="4">
        <v>26</v>
      </c>
      <c r="H569" s="6">
        <v>200830.73052764992</v>
      </c>
      <c r="I569" s="6">
        <v>167090.45252849907</v>
      </c>
      <c r="J569" s="6">
        <v>0</v>
      </c>
      <c r="K569" s="6">
        <v>0</v>
      </c>
      <c r="L569" s="6">
        <f t="shared" si="114"/>
        <v>0</v>
      </c>
      <c r="M569" s="7">
        <f t="shared" si="115"/>
        <v>1.0341666666666667E-2</v>
      </c>
      <c r="N569" s="7">
        <f t="shared" si="116"/>
        <v>2.10564536860465E-2</v>
      </c>
      <c r="O569" s="7">
        <f t="shared" si="107"/>
        <v>1.0360793250004674</v>
      </c>
      <c r="P569" s="6">
        <f t="shared" si="108"/>
        <v>367921.18305614899</v>
      </c>
      <c r="Q569" s="6">
        <f t="shared" si="118"/>
        <v>7734525.1000329852</v>
      </c>
      <c r="R569" s="4" t="str">
        <f t="shared" ca="1" si="117"/>
        <v>OK</v>
      </c>
      <c r="S569" s="6">
        <v>387304.62</v>
      </c>
      <c r="T569" s="5">
        <v>45289</v>
      </c>
      <c r="U569" s="30" t="str">
        <f t="shared" si="105"/>
        <v>PAGADO</v>
      </c>
    </row>
    <row r="570" spans="1:21" x14ac:dyDescent="0.25">
      <c r="A570" s="4" t="str">
        <f t="shared" si="106"/>
        <v>202312</v>
      </c>
      <c r="B570" s="4" t="s">
        <v>24</v>
      </c>
      <c r="C570" s="4" t="s">
        <v>25</v>
      </c>
      <c r="D570" s="29" t="s">
        <v>43</v>
      </c>
      <c r="E570" s="28">
        <v>45290</v>
      </c>
      <c r="F570" s="4">
        <v>11</v>
      </c>
      <c r="G570" s="4">
        <v>25</v>
      </c>
      <c r="H570" s="6">
        <v>206530.30666002465</v>
      </c>
      <c r="I570" s="6">
        <v>162889.74308162904</v>
      </c>
      <c r="J570" s="6">
        <v>0</v>
      </c>
      <c r="K570" s="6">
        <v>0</v>
      </c>
      <c r="L570" s="6">
        <f t="shared" si="114"/>
        <v>0</v>
      </c>
      <c r="M570" s="7">
        <f t="shared" si="115"/>
        <v>1.0341666666666667E-2</v>
      </c>
      <c r="N570" s="7">
        <f t="shared" si="116"/>
        <v>2.1060083324435055E-2</v>
      </c>
      <c r="O570" s="7">
        <f t="shared" si="107"/>
        <v>1.036430297286226</v>
      </c>
      <c r="P570" s="6">
        <f t="shared" si="108"/>
        <v>369420.04974165373</v>
      </c>
      <c r="Q570" s="6">
        <f t="shared" si="118"/>
        <v>7527994.7933729608</v>
      </c>
      <c r="R570" s="4" t="str">
        <f t="shared" ca="1" si="117"/>
        <v>OK</v>
      </c>
      <c r="S570" s="6">
        <v>385142.46</v>
      </c>
      <c r="T570" s="5">
        <v>45320</v>
      </c>
      <c r="U570" s="30" t="str">
        <f t="shared" si="105"/>
        <v>PAGADO</v>
      </c>
    </row>
    <row r="571" spans="1:21" x14ac:dyDescent="0.25">
      <c r="A571" s="4" t="str">
        <f t="shared" si="106"/>
        <v>20241</v>
      </c>
      <c r="B571" s="4" t="s">
        <v>24</v>
      </c>
      <c r="C571" s="4" t="s">
        <v>25</v>
      </c>
      <c r="D571" s="29" t="s">
        <v>43</v>
      </c>
      <c r="E571" s="28">
        <v>45321</v>
      </c>
      <c r="F571" s="4">
        <v>12</v>
      </c>
      <c r="G571" s="4">
        <v>24</v>
      </c>
      <c r="H571" s="6">
        <v>212391.63676303616</v>
      </c>
      <c r="I571" s="6">
        <v>158569.81750065688</v>
      </c>
      <c r="J571" s="6">
        <v>0</v>
      </c>
      <c r="K571" s="6">
        <v>0</v>
      </c>
      <c r="L571" s="6">
        <f t="shared" si="114"/>
        <v>0</v>
      </c>
      <c r="M571" s="7">
        <f t="shared" si="115"/>
        <v>1.0341666666666667E-2</v>
      </c>
      <c r="N571" s="7">
        <f t="shared" si="116"/>
        <v>2.1064017956049723E-2</v>
      </c>
      <c r="O571" s="7">
        <f t="shared" si="107"/>
        <v>1.0368107612618584</v>
      </c>
      <c r="P571" s="6">
        <f t="shared" si="108"/>
        <v>370961.45426369307</v>
      </c>
      <c r="Q571" s="6">
        <f t="shared" si="118"/>
        <v>7315603.1566099245</v>
      </c>
      <c r="R571" s="4" t="str">
        <f t="shared" ca="1" si="117"/>
        <v>OK</v>
      </c>
      <c r="S571" s="6">
        <v>384726.06</v>
      </c>
      <c r="T571" s="5">
        <v>45346</v>
      </c>
      <c r="U571" s="30" t="str">
        <f t="shared" si="105"/>
        <v>PAGADO</v>
      </c>
    </row>
    <row r="572" spans="1:21" x14ac:dyDescent="0.25">
      <c r="A572" s="4" t="str">
        <f t="shared" si="106"/>
        <v>20242</v>
      </c>
      <c r="B572" s="4" t="s">
        <v>24</v>
      </c>
      <c r="C572" s="4" t="s">
        <v>25</v>
      </c>
      <c r="D572" s="29" t="s">
        <v>43</v>
      </c>
      <c r="E572" s="28">
        <v>45351</v>
      </c>
      <c r="F572" s="4">
        <v>13</v>
      </c>
      <c r="G572" s="4">
        <v>23</v>
      </c>
      <c r="H572" s="6">
        <v>218419.31141437116</v>
      </c>
      <c r="I572" s="6">
        <v>154127.2924316967</v>
      </c>
      <c r="J572" s="6">
        <v>0</v>
      </c>
      <c r="K572" s="6">
        <v>0</v>
      </c>
      <c r="L572" s="6">
        <f t="shared" si="114"/>
        <v>0</v>
      </c>
      <c r="M572" s="7">
        <f t="shared" si="115"/>
        <v>1.0341666666666667E-2</v>
      </c>
      <c r="N572" s="7">
        <f t="shared" si="116"/>
        <v>2.1068295960318301E-2</v>
      </c>
      <c r="O572" s="7">
        <f t="shared" si="107"/>
        <v>1.0372244280726801</v>
      </c>
      <c r="P572" s="6">
        <f t="shared" si="108"/>
        <v>372546.60384606785</v>
      </c>
      <c r="Q572" s="6">
        <f t="shared" si="118"/>
        <v>7097183.8451955533</v>
      </c>
      <c r="R572" s="4" t="str">
        <f t="shared" ca="1" si="117"/>
        <v>OK</v>
      </c>
      <c r="S572" s="6">
        <v>381056.29</v>
      </c>
      <c r="T572" s="5">
        <v>45381</v>
      </c>
      <c r="U572" s="30" t="str">
        <f t="shared" si="105"/>
        <v>PAGADO</v>
      </c>
    </row>
    <row r="573" spans="1:21" x14ac:dyDescent="0.25">
      <c r="A573" s="4" t="str">
        <f t="shared" si="106"/>
        <v>20243</v>
      </c>
      <c r="B573" s="4" t="s">
        <v>24</v>
      </c>
      <c r="C573" s="4" t="s">
        <v>25</v>
      </c>
      <c r="D573" s="29" t="s">
        <v>43</v>
      </c>
      <c r="E573" s="28">
        <v>45381</v>
      </c>
      <c r="F573" s="4">
        <v>14</v>
      </c>
      <c r="G573" s="4">
        <v>22</v>
      </c>
      <c r="H573" s="6">
        <v>224618.05147231102</v>
      </c>
      <c r="I573" s="6">
        <v>149558.68850127942</v>
      </c>
      <c r="J573" s="6">
        <v>0</v>
      </c>
      <c r="K573" s="6">
        <v>0</v>
      </c>
      <c r="L573" s="6">
        <f t="shared" si="114"/>
        <v>0</v>
      </c>
      <c r="M573" s="7">
        <f t="shared" si="115"/>
        <v>1.0341666666666667E-2</v>
      </c>
      <c r="N573" s="7">
        <f t="shared" si="116"/>
        <v>2.1072962426149259E-2</v>
      </c>
      <c r="O573" s="7">
        <f t="shared" si="107"/>
        <v>1.0376756576453756</v>
      </c>
      <c r="P573" s="6">
        <f t="shared" si="108"/>
        <v>374176.73997359048</v>
      </c>
      <c r="Q573" s="6">
        <f t="shared" si="118"/>
        <v>6872565.7937232424</v>
      </c>
      <c r="R573" s="4" t="str">
        <f t="shared" ca="1" si="117"/>
        <v>OK</v>
      </c>
      <c r="S573" s="6">
        <v>769071.76</v>
      </c>
      <c r="T573" s="5">
        <v>45411</v>
      </c>
      <c r="U573" s="30" t="str">
        <f t="shared" si="105"/>
        <v>PAGADO</v>
      </c>
    </row>
    <row r="574" spans="1:21" x14ac:dyDescent="0.25">
      <c r="A574" s="4" t="str">
        <f t="shared" si="106"/>
        <v>20244</v>
      </c>
      <c r="B574" s="4" t="s">
        <v>24</v>
      </c>
      <c r="C574" s="4" t="s">
        <v>25</v>
      </c>
      <c r="D574" s="29" t="s">
        <v>43</v>
      </c>
      <c r="E574" s="28">
        <v>45412</v>
      </c>
      <c r="F574" s="4">
        <v>15</v>
      </c>
      <c r="G574" s="4">
        <v>21</v>
      </c>
      <c r="H574" s="6">
        <v>230992.71177309522</v>
      </c>
      <c r="I574" s="6">
        <v>144860.42759131693</v>
      </c>
      <c r="J574" s="6">
        <v>0</v>
      </c>
      <c r="K574" s="6">
        <v>0</v>
      </c>
      <c r="L574" s="6">
        <f t="shared" si="114"/>
        <v>0</v>
      </c>
      <c r="M574" s="7">
        <f t="shared" si="115"/>
        <v>1.0341666666666667E-2</v>
      </c>
      <c r="N574" s="7">
        <f t="shared" si="116"/>
        <v>2.1078070685568245E-2</v>
      </c>
      <c r="O574" s="7">
        <f t="shared" si="107"/>
        <v>1.0381696069848423</v>
      </c>
      <c r="P574" s="6">
        <f t="shared" si="108"/>
        <v>375853.13936441217</v>
      </c>
      <c r="Q574" s="6">
        <f t="shared" si="118"/>
        <v>6641573.0819501467</v>
      </c>
      <c r="R574" s="4" t="str">
        <f t="shared" ca="1" si="117"/>
        <v>OK</v>
      </c>
      <c r="S574" s="6">
        <v>379639.58</v>
      </c>
      <c r="T574" s="5">
        <v>45439</v>
      </c>
      <c r="U574" s="30" t="str">
        <f t="shared" si="105"/>
        <v>PAGADO</v>
      </c>
    </row>
    <row r="575" spans="1:21" x14ac:dyDescent="0.25">
      <c r="A575" s="4" t="str">
        <f t="shared" si="106"/>
        <v>20245</v>
      </c>
      <c r="B575" s="4" t="s">
        <v>24</v>
      </c>
      <c r="C575" s="4" t="s">
        <v>25</v>
      </c>
      <c r="D575" s="29" t="s">
        <v>43</v>
      </c>
      <c r="E575" s="28">
        <v>45442</v>
      </c>
      <c r="F575" s="4">
        <v>16</v>
      </c>
      <c r="G575" s="4">
        <v>20</v>
      </c>
      <c r="H575" s="6">
        <v>237548.28493321568</v>
      </c>
      <c r="I575" s="6">
        <v>140028.83003672969</v>
      </c>
      <c r="J575" s="6">
        <v>0</v>
      </c>
      <c r="K575" s="6">
        <v>0</v>
      </c>
      <c r="L575" s="6">
        <f t="shared" si="114"/>
        <v>0</v>
      </c>
      <c r="M575" s="7">
        <f t="shared" si="115"/>
        <v>1.0341666666666667E-2</v>
      </c>
      <c r="N575" s="7">
        <f t="shared" si="116"/>
        <v>2.1083684288182736E-2</v>
      </c>
      <c r="O575" s="7">
        <f t="shared" si="107"/>
        <v>1.0387124210974443</v>
      </c>
      <c r="P575" s="6">
        <f t="shared" si="108"/>
        <v>377577.1149699454</v>
      </c>
      <c r="Q575" s="6">
        <f t="shared" si="118"/>
        <v>6404024.7970169308</v>
      </c>
      <c r="R575" s="4" t="str">
        <f t="shared" ca="1" si="117"/>
        <v>OK</v>
      </c>
      <c r="S575" s="6">
        <v>376229.61</v>
      </c>
      <c r="T575" s="5">
        <v>45456</v>
      </c>
      <c r="U575" s="30" t="str">
        <f t="shared" si="105"/>
        <v>PAGADO</v>
      </c>
    </row>
    <row r="576" spans="1:21" x14ac:dyDescent="0.25">
      <c r="A576" s="4" t="str">
        <f t="shared" si="106"/>
        <v>20246</v>
      </c>
      <c r="B576" s="4" t="s">
        <v>24</v>
      </c>
      <c r="C576" s="4" t="s">
        <v>25</v>
      </c>
      <c r="D576" s="29" t="s">
        <v>43</v>
      </c>
      <c r="E576" s="28">
        <v>45473</v>
      </c>
      <c r="F576" s="4">
        <v>17</v>
      </c>
      <c r="G576" s="4">
        <v>19</v>
      </c>
      <c r="H576" s="6">
        <v>244289.90525962034</v>
      </c>
      <c r="I576" s="6">
        <v>135060.11174354324</v>
      </c>
      <c r="J576" s="6">
        <v>0</v>
      </c>
      <c r="K576" s="6">
        <v>0</v>
      </c>
      <c r="L576" s="6">
        <v>16239.93</v>
      </c>
      <c r="M576" s="7">
        <f t="shared" si="115"/>
        <v>1.0341666666666667E-2</v>
      </c>
      <c r="N576" s="7">
        <f t="shared" si="116"/>
        <v>2.1089879571743041E-2</v>
      </c>
      <c r="O576" s="7">
        <f t="shared" si="107"/>
        <v>1.0393114815545244</v>
      </c>
      <c r="P576" s="6">
        <f t="shared" si="108"/>
        <v>395589.94700316357</v>
      </c>
      <c r="Q576" s="6">
        <f t="shared" si="118"/>
        <v>6159734.8917573104</v>
      </c>
      <c r="R576" s="4" t="str">
        <f t="shared" ca="1" si="117"/>
        <v>OK</v>
      </c>
      <c r="S576" s="6">
        <v>389000</v>
      </c>
      <c r="T576" s="5">
        <v>45504</v>
      </c>
      <c r="U576" s="30" t="str">
        <f t="shared" si="105"/>
        <v>PAGADO</v>
      </c>
    </row>
    <row r="577" spans="1:21" x14ac:dyDescent="0.25">
      <c r="A577" s="4" t="str">
        <f t="shared" si="106"/>
        <v>20247</v>
      </c>
      <c r="B577" s="4" t="s">
        <v>24</v>
      </c>
      <c r="C577" s="4" t="s">
        <v>25</v>
      </c>
      <c r="D577" s="29" t="s">
        <v>43</v>
      </c>
      <c r="E577" s="28">
        <v>45503</v>
      </c>
      <c r="F577" s="4">
        <v>18</v>
      </c>
      <c r="G577" s="4">
        <v>18</v>
      </c>
      <c r="H577" s="6">
        <v>251222.85277088839</v>
      </c>
      <c r="I577" s="6">
        <v>129950.38122519619</v>
      </c>
      <c r="J577" s="6">
        <v>0</v>
      </c>
      <c r="K577" s="6">
        <v>0</v>
      </c>
      <c r="L577" s="6">
        <f t="shared" si="114"/>
        <v>6589.9470031635719</v>
      </c>
      <c r="M577" s="7">
        <f t="shared" si="115"/>
        <v>1.0341666666666667E-2</v>
      </c>
      <c r="N577" s="7">
        <f t="shared" si="116"/>
        <v>2.10967490498804E-2</v>
      </c>
      <c r="O577" s="7">
        <f t="shared" si="107"/>
        <v>1.0399757340738498</v>
      </c>
      <c r="P577" s="6">
        <f t="shared" si="108"/>
        <v>387763.18099924817</v>
      </c>
      <c r="Q577" s="6">
        <f t="shared" si="118"/>
        <v>5908512.0389864221</v>
      </c>
      <c r="R577" s="4" t="str">
        <f t="shared" ca="1" si="117"/>
        <v>OK</v>
      </c>
      <c r="S577" s="6">
        <v>364457.95</v>
      </c>
      <c r="T577" s="5">
        <v>45516</v>
      </c>
      <c r="U577" s="30" t="str">
        <f t="shared" si="105"/>
        <v>PAGADO</v>
      </c>
    </row>
    <row r="578" spans="1:21" x14ac:dyDescent="0.25">
      <c r="A578" s="4" t="str">
        <f t="shared" si="106"/>
        <v>20248</v>
      </c>
      <c r="B578" s="4" t="s">
        <v>24</v>
      </c>
      <c r="C578" s="4" t="s">
        <v>25</v>
      </c>
      <c r="D578" s="29" t="s">
        <v>43</v>
      </c>
      <c r="E578" s="28">
        <v>45534</v>
      </c>
      <c r="F578" s="4">
        <v>19</v>
      </c>
      <c r="G578" s="4">
        <v>17</v>
      </c>
      <c r="H578" s="6">
        <v>258352.55733252622</v>
      </c>
      <c r="I578" s="6">
        <v>124695.63655473845</v>
      </c>
      <c r="J578" s="6">
        <v>0</v>
      </c>
      <c r="K578" s="6">
        <v>0</v>
      </c>
      <c r="L578" s="6">
        <f t="shared" si="114"/>
        <v>23305.230999248161</v>
      </c>
      <c r="M578" s="7">
        <f t="shared" si="115"/>
        <v>1.0341666666666667E-2</v>
      </c>
      <c r="N578" s="7">
        <f t="shared" si="116"/>
        <v>2.1104405937053723E-2</v>
      </c>
      <c r="O578" s="7">
        <f t="shared" si="107"/>
        <v>1.0407161260648241</v>
      </c>
      <c r="P578" s="6">
        <f t="shared" si="108"/>
        <v>406353.42488651286</v>
      </c>
      <c r="Q578" s="6">
        <f t="shared" si="118"/>
        <v>5650159.4816538962</v>
      </c>
      <c r="R578" s="4">
        <f t="shared" ca="1" si="117"/>
        <v>4</v>
      </c>
      <c r="S578" s="6"/>
      <c r="T578" s="5"/>
      <c r="U578" s="30" t="str">
        <f t="shared" ref="U578:U641" si="119">IF(AND(S578="",T578=""),"PENDIENTE",IF(AND(S578&lt;&gt;"",T578&lt;&gt;""),"PAGADO","ABONADO"))</f>
        <v>PENDIENTE</v>
      </c>
    </row>
    <row r="579" spans="1:21" x14ac:dyDescent="0.25">
      <c r="A579" s="4" t="str">
        <f t="shared" ref="A579:A642" si="120">CONCATENATE(YEAR($E579),MONTH($E579))</f>
        <v>20249</v>
      </c>
      <c r="B579" s="4" t="s">
        <v>24</v>
      </c>
      <c r="C579" s="4" t="s">
        <v>25</v>
      </c>
      <c r="D579" s="29" t="s">
        <v>43</v>
      </c>
      <c r="E579" s="28">
        <v>45565</v>
      </c>
      <c r="F579" s="4">
        <v>20</v>
      </c>
      <c r="G579" s="4">
        <v>16</v>
      </c>
      <c r="H579" s="6">
        <v>265684.60290962335</v>
      </c>
      <c r="I579" s="6">
        <v>119291.7622305331</v>
      </c>
      <c r="J579" s="6">
        <v>0</v>
      </c>
      <c r="K579" s="6">
        <v>0</v>
      </c>
      <c r="L579" s="6">
        <f t="shared" si="114"/>
        <v>0</v>
      </c>
      <c r="M579" s="7">
        <f t="shared" si="115"/>
        <v>1.0341666666666667E-2</v>
      </c>
      <c r="N579" s="7">
        <f t="shared" si="116"/>
        <v>2.1112990282464453E-2</v>
      </c>
      <c r="O579" s="7">
        <f t="shared" si="107"/>
        <v>1.0415461997548219</v>
      </c>
      <c r="P579" s="6">
        <f t="shared" si="108"/>
        <v>384976.36514015647</v>
      </c>
      <c r="Q579" s="6">
        <f t="shared" si="118"/>
        <v>5384474.8787442725</v>
      </c>
      <c r="R579" s="4">
        <f t="shared" ca="1" si="117"/>
        <v>4</v>
      </c>
      <c r="S579" s="6"/>
      <c r="T579" s="5"/>
      <c r="U579" s="30" t="str">
        <f t="shared" si="119"/>
        <v>PENDIENTE</v>
      </c>
    </row>
    <row r="580" spans="1:21" x14ac:dyDescent="0.25">
      <c r="A580" s="4" t="str">
        <f t="shared" si="120"/>
        <v>202410</v>
      </c>
      <c r="B580" s="4" t="s">
        <v>24</v>
      </c>
      <c r="C580" s="4" t="s">
        <v>25</v>
      </c>
      <c r="D580" s="29" t="s">
        <v>43</v>
      </c>
      <c r="E580" s="28">
        <v>45595</v>
      </c>
      <c r="F580" s="4">
        <v>21</v>
      </c>
      <c r="G580" s="4">
        <v>15</v>
      </c>
      <c r="H580" s="6">
        <v>273224.73194019846</v>
      </c>
      <c r="I580" s="6">
        <v>113734.52595300681</v>
      </c>
      <c r="J580" s="6">
        <v>0</v>
      </c>
      <c r="K580" s="6">
        <v>0</v>
      </c>
      <c r="L580" s="6">
        <f t="shared" si="114"/>
        <v>0</v>
      </c>
      <c r="M580" s="7">
        <f t="shared" si="115"/>
        <v>1.0341666666666667E-2</v>
      </c>
      <c r="N580" s="7">
        <f t="shared" si="116"/>
        <v>2.1122677422451108E-2</v>
      </c>
      <c r="O580" s="7">
        <f t="shared" si="107"/>
        <v>1.0424829095037333</v>
      </c>
      <c r="P580" s="6">
        <f t="shared" si="108"/>
        <v>386959.25789320527</v>
      </c>
      <c r="Q580" s="6">
        <f t="shared" si="118"/>
        <v>5111250.1468040738</v>
      </c>
      <c r="R580" s="4">
        <f t="shared" ca="1" si="117"/>
        <v>-27</v>
      </c>
      <c r="S580" s="6"/>
      <c r="T580" s="5"/>
      <c r="U580" s="30" t="str">
        <f t="shared" si="119"/>
        <v>PENDIENTE</v>
      </c>
    </row>
    <row r="581" spans="1:21" x14ac:dyDescent="0.25">
      <c r="A581" s="4" t="str">
        <f t="shared" si="120"/>
        <v>202411</v>
      </c>
      <c r="B581" s="4" t="s">
        <v>24</v>
      </c>
      <c r="C581" s="4" t="s">
        <v>25</v>
      </c>
      <c r="D581" s="29" t="s">
        <v>43</v>
      </c>
      <c r="E581" s="28">
        <v>45626</v>
      </c>
      <c r="F581" s="4">
        <v>22</v>
      </c>
      <c r="G581" s="4">
        <v>14</v>
      </c>
      <c r="H581" s="6">
        <v>280978.84983266133</v>
      </c>
      <c r="I581" s="6">
        <v>108019.57530992433</v>
      </c>
      <c r="J581" s="6">
        <v>0</v>
      </c>
      <c r="K581" s="6">
        <v>0</v>
      </c>
      <c r="L581" s="6">
        <f t="shared" si="114"/>
        <v>0</v>
      </c>
      <c r="M581" s="7">
        <f t="shared" si="115"/>
        <v>1.0341666666666667E-2</v>
      </c>
      <c r="N581" s="7">
        <f t="shared" si="116"/>
        <v>2.1133689842487174E-2</v>
      </c>
      <c r="O581" s="7">
        <f t="shared" si="107"/>
        <v>1.0435477688142312</v>
      </c>
      <c r="P581" s="6">
        <f t="shared" si="108"/>
        <v>388998.42514258565</v>
      </c>
      <c r="Q581" s="6">
        <f t="shared" si="118"/>
        <v>4830271.2969714124</v>
      </c>
      <c r="R581" s="4">
        <f t="shared" ca="1" si="117"/>
        <v>-57</v>
      </c>
      <c r="S581" s="6"/>
      <c r="T581" s="5"/>
      <c r="U581" s="30" t="str">
        <f t="shared" si="119"/>
        <v>PENDIENTE</v>
      </c>
    </row>
    <row r="582" spans="1:21" x14ac:dyDescent="0.25">
      <c r="A582" s="4" t="str">
        <f t="shared" si="120"/>
        <v>202412</v>
      </c>
      <c r="B582" s="4" t="s">
        <v>24</v>
      </c>
      <c r="C582" s="4" t="s">
        <v>25</v>
      </c>
      <c r="D582" s="29" t="s">
        <v>43</v>
      </c>
      <c r="E582" s="28">
        <v>45656</v>
      </c>
      <c r="F582" s="4">
        <v>23</v>
      </c>
      <c r="G582" s="4">
        <v>13</v>
      </c>
      <c r="H582" s="6">
        <v>288953.02959091228</v>
      </c>
      <c r="I582" s="6">
        <v>102142.43436759115</v>
      </c>
      <c r="J582" s="6">
        <v>0</v>
      </c>
      <c r="K582" s="6">
        <v>0</v>
      </c>
      <c r="L582" s="6">
        <f t="shared" si="114"/>
        <v>0</v>
      </c>
      <c r="M582" s="7">
        <f t="shared" si="115"/>
        <v>1.0341666666666667E-2</v>
      </c>
      <c r="N582" s="7">
        <f t="shared" si="116"/>
        <v>2.1146314169068436E-2</v>
      </c>
      <c r="O582" s="7">
        <f t="shared" si="107"/>
        <v>1.0447684933829269</v>
      </c>
      <c r="P582" s="6">
        <f t="shared" si="108"/>
        <v>391095.46395850345</v>
      </c>
      <c r="Q582" s="6">
        <f t="shared" si="118"/>
        <v>4541318.2673805002</v>
      </c>
      <c r="R582" s="4">
        <f t="shared" ca="1" si="117"/>
        <v>-88</v>
      </c>
      <c r="S582" s="6"/>
      <c r="T582" s="5"/>
      <c r="U582" s="30" t="str">
        <f t="shared" si="119"/>
        <v>PENDIENTE</v>
      </c>
    </row>
    <row r="583" spans="1:21" x14ac:dyDescent="0.25">
      <c r="A583" s="4" t="str">
        <f t="shared" si="120"/>
        <v>20251</v>
      </c>
      <c r="B583" s="4" t="s">
        <v>24</v>
      </c>
      <c r="C583" s="4" t="s">
        <v>25</v>
      </c>
      <c r="D583" s="29" t="s">
        <v>43</v>
      </c>
      <c r="E583" s="28">
        <v>45687</v>
      </c>
      <c r="F583" s="4">
        <v>24</v>
      </c>
      <c r="G583" s="4">
        <v>12</v>
      </c>
      <c r="H583" s="6">
        <v>297153.51657070237</v>
      </c>
      <c r="I583" s="6">
        <v>96098.500165314574</v>
      </c>
      <c r="J583" s="6">
        <v>0</v>
      </c>
      <c r="K583" s="6">
        <v>0</v>
      </c>
      <c r="L583" s="6">
        <f t="shared" si="114"/>
        <v>0</v>
      </c>
      <c r="M583" s="7">
        <f t="shared" si="115"/>
        <v>1.0341666666666667E-2</v>
      </c>
      <c r="N583" s="7">
        <f t="shared" si="116"/>
        <v>2.1160926080775574E-2</v>
      </c>
      <c r="O583" s="7">
        <f t="shared" si="107"/>
        <v>1.0461814099057767</v>
      </c>
      <c r="P583" s="6">
        <f t="shared" si="108"/>
        <v>393252.01673601696</v>
      </c>
      <c r="Q583" s="6">
        <f t="shared" si="118"/>
        <v>4244164.750809798</v>
      </c>
      <c r="R583" s="4">
        <f t="shared" ca="1" si="117"/>
        <v>-118</v>
      </c>
      <c r="S583" s="6"/>
      <c r="T583" s="5"/>
      <c r="U583" s="30" t="str">
        <f t="shared" si="119"/>
        <v>PENDIENTE</v>
      </c>
    </row>
    <row r="584" spans="1:21" x14ac:dyDescent="0.25">
      <c r="A584" s="4" t="str">
        <f t="shared" si="120"/>
        <v>20252</v>
      </c>
      <c r="B584" s="4" t="s">
        <v>24</v>
      </c>
      <c r="C584" s="4" t="s">
        <v>25</v>
      </c>
      <c r="D584" s="29" t="s">
        <v>43</v>
      </c>
      <c r="E584" s="28">
        <v>45716</v>
      </c>
      <c r="F584" s="4">
        <v>25</v>
      </c>
      <c r="G584" s="4">
        <v>11</v>
      </c>
      <c r="H584" s="6">
        <v>305586.73337097891</v>
      </c>
      <c r="I584" s="6">
        <v>89883.039110377387</v>
      </c>
      <c r="J584" s="6">
        <v>0</v>
      </c>
      <c r="K584" s="6">
        <v>0</v>
      </c>
      <c r="L584" s="6">
        <f t="shared" si="114"/>
        <v>0</v>
      </c>
      <c r="M584" s="7">
        <f t="shared" si="115"/>
        <v>1.0341666666666667E-2</v>
      </c>
      <c r="N584" s="7">
        <f t="shared" si="116"/>
        <v>2.1178027807056139E-2</v>
      </c>
      <c r="O584" s="7">
        <f t="shared" si="107"/>
        <v>1.0478350820682807</v>
      </c>
      <c r="P584" s="6">
        <f t="shared" si="108"/>
        <v>395469.77248135628</v>
      </c>
      <c r="Q584" s="6">
        <f t="shared" si="118"/>
        <v>3938578.0174388192</v>
      </c>
      <c r="R584" s="4">
        <f t="shared" ca="1" si="117"/>
        <v>-149</v>
      </c>
      <c r="S584" s="6"/>
      <c r="T584" s="5"/>
      <c r="U584" s="30" t="str">
        <f t="shared" si="119"/>
        <v>PENDIENTE</v>
      </c>
    </row>
    <row r="585" spans="1:21" x14ac:dyDescent="0.25">
      <c r="A585" s="4" t="str">
        <f t="shared" si="120"/>
        <v>20253</v>
      </c>
      <c r="B585" s="4" t="s">
        <v>24</v>
      </c>
      <c r="C585" s="4" t="s">
        <v>25</v>
      </c>
      <c r="D585" s="29" t="s">
        <v>43</v>
      </c>
      <c r="E585" s="28">
        <v>45746</v>
      </c>
      <c r="F585" s="4">
        <v>26</v>
      </c>
      <c r="G585" s="4">
        <v>10</v>
      </c>
      <c r="H585" s="6">
        <v>314259.28486404731</v>
      </c>
      <c r="I585" s="6">
        <v>83491.183270701076</v>
      </c>
      <c r="J585" s="6">
        <v>0</v>
      </c>
      <c r="K585" s="6">
        <v>0</v>
      </c>
      <c r="L585" s="6">
        <f t="shared" si="114"/>
        <v>0</v>
      </c>
      <c r="M585" s="7">
        <f t="shared" si="115"/>
        <v>1.0341666666666667E-2</v>
      </c>
      <c r="N585" s="7">
        <f t="shared" si="116"/>
        <v>2.1198306317921758E-2</v>
      </c>
      <c r="O585" s="7">
        <f t="shared" si="107"/>
        <v>1.0497959372688244</v>
      </c>
      <c r="P585" s="6">
        <f t="shared" si="108"/>
        <v>397750.4681347484</v>
      </c>
      <c r="Q585" s="6">
        <f t="shared" si="118"/>
        <v>3624318.7325747721</v>
      </c>
      <c r="R585" s="4">
        <f t="shared" ca="1" si="117"/>
        <v>-178</v>
      </c>
      <c r="S585" s="6"/>
      <c r="T585" s="5"/>
      <c r="U585" s="30" t="str">
        <f t="shared" si="119"/>
        <v>PENDIENTE</v>
      </c>
    </row>
    <row r="586" spans="1:21" x14ac:dyDescent="0.25">
      <c r="A586" s="4" t="str">
        <f t="shared" si="120"/>
        <v>20254</v>
      </c>
      <c r="B586" s="4" t="s">
        <v>24</v>
      </c>
      <c r="C586" s="4" t="s">
        <v>25</v>
      </c>
      <c r="D586" s="29" t="s">
        <v>43</v>
      </c>
      <c r="E586" s="28">
        <v>45777</v>
      </c>
      <c r="F586" s="4">
        <v>27</v>
      </c>
      <c r="G586" s="4">
        <v>9</v>
      </c>
      <c r="H586" s="6">
        <v>323177.963368489</v>
      </c>
      <c r="I586" s="6">
        <v>76917.926562294757</v>
      </c>
      <c r="J586" s="6">
        <v>0</v>
      </c>
      <c r="K586" s="6">
        <v>0</v>
      </c>
      <c r="L586" s="6">
        <f t="shared" si="114"/>
        <v>0</v>
      </c>
      <c r="M586" s="7">
        <f t="shared" si="115"/>
        <v>1.0341666666666667E-2</v>
      </c>
      <c r="N586" s="7">
        <f t="shared" si="116"/>
        <v>2.1222726873044929E-2</v>
      </c>
      <c r="O586" s="7">
        <f t="shared" ref="O586:O649" si="121">IF(N586="","",(N586/M586)-1)</f>
        <v>1.0521573124620396</v>
      </c>
      <c r="P586" s="6">
        <f t="shared" ref="P586:P649" si="122">IFERROR(H586+I586+J586+K586+L586,"")</f>
        <v>400095.88993078377</v>
      </c>
      <c r="Q586" s="6">
        <f t="shared" si="118"/>
        <v>3301140.7692062831</v>
      </c>
      <c r="R586" s="4">
        <f t="shared" ca="1" si="117"/>
        <v>-208</v>
      </c>
      <c r="S586" s="6"/>
      <c r="T586" s="5"/>
      <c r="U586" s="30" t="str">
        <f t="shared" si="119"/>
        <v>PENDIENTE</v>
      </c>
    </row>
    <row r="587" spans="1:21" x14ac:dyDescent="0.25">
      <c r="A587" s="4" t="str">
        <f t="shared" si="120"/>
        <v>20255</v>
      </c>
      <c r="B587" s="4" t="s">
        <v>24</v>
      </c>
      <c r="C587" s="4" t="s">
        <v>25</v>
      </c>
      <c r="D587" s="29" t="s">
        <v>43</v>
      </c>
      <c r="E587" s="28">
        <v>45807</v>
      </c>
      <c r="F587" s="4">
        <v>28</v>
      </c>
      <c r="G587" s="4">
        <v>8</v>
      </c>
      <c r="H587" s="6">
        <v>332349.75396888674</v>
      </c>
      <c r="I587" s="6">
        <v>70158.120828503874</v>
      </c>
      <c r="J587" s="6">
        <v>0</v>
      </c>
      <c r="K587" s="6">
        <v>0</v>
      </c>
      <c r="L587" s="6">
        <f t="shared" si="114"/>
        <v>0</v>
      </c>
      <c r="M587" s="7">
        <f t="shared" si="115"/>
        <v>1.0341666666666667E-2</v>
      </c>
      <c r="N587" s="7">
        <f t="shared" si="116"/>
        <v>2.1252689822546553E-2</v>
      </c>
      <c r="O587" s="7">
        <f t="shared" si="121"/>
        <v>1.055054616201117</v>
      </c>
      <c r="P587" s="6">
        <f t="shared" si="122"/>
        <v>402507.8747973906</v>
      </c>
      <c r="Q587" s="6">
        <f t="shared" si="118"/>
        <v>2968791.0152373966</v>
      </c>
      <c r="R587" s="4">
        <f t="shared" ca="1" si="117"/>
        <v>-239</v>
      </c>
      <c r="S587" s="6"/>
      <c r="T587" s="5"/>
      <c r="U587" s="30" t="str">
        <f t="shared" si="119"/>
        <v>PENDIENTE</v>
      </c>
    </row>
    <row r="588" spans="1:21" x14ac:dyDescent="0.25">
      <c r="A588" s="4" t="str">
        <f t="shared" si="120"/>
        <v>20256</v>
      </c>
      <c r="B588" s="4" t="s">
        <v>24</v>
      </c>
      <c r="C588" s="4" t="s">
        <v>25</v>
      </c>
      <c r="D588" s="29" t="s">
        <v>43</v>
      </c>
      <c r="E588" s="28">
        <v>45838</v>
      </c>
      <c r="F588" s="4">
        <v>29</v>
      </c>
      <c r="G588" s="4">
        <v>7</v>
      </c>
      <c r="H588" s="6">
        <v>341781.83998652379</v>
      </c>
      <c r="I588" s="6">
        <v>63206.471807987989</v>
      </c>
      <c r="J588" s="6">
        <v>0</v>
      </c>
      <c r="K588" s="6">
        <v>0</v>
      </c>
      <c r="L588" s="6">
        <f t="shared" si="114"/>
        <v>0</v>
      </c>
      <c r="M588" s="7">
        <f t="shared" si="115"/>
        <v>1.0341666666666667E-2</v>
      </c>
      <c r="N588" s="7">
        <f t="shared" si="116"/>
        <v>2.1290306890440969E-2</v>
      </c>
      <c r="O588" s="7">
        <f t="shared" si="121"/>
        <v>1.0586920442005772</v>
      </c>
      <c r="P588" s="6">
        <f t="shared" si="122"/>
        <v>404988.3117945118</v>
      </c>
      <c r="Q588" s="6">
        <f t="shared" si="118"/>
        <v>2627009.175250873</v>
      </c>
      <c r="R588" s="4">
        <f t="shared" ca="1" si="117"/>
        <v>-269</v>
      </c>
      <c r="S588" s="6"/>
      <c r="T588" s="5"/>
      <c r="U588" s="30" t="str">
        <f t="shared" si="119"/>
        <v>PENDIENTE</v>
      </c>
    </row>
    <row r="589" spans="1:21" x14ac:dyDescent="0.25">
      <c r="A589" s="4" t="str">
        <f t="shared" si="120"/>
        <v>20257</v>
      </c>
      <c r="B589" s="4" t="s">
        <v>24</v>
      </c>
      <c r="C589" s="4" t="s">
        <v>25</v>
      </c>
      <c r="D589" s="29" t="s">
        <v>43</v>
      </c>
      <c r="E589" s="28">
        <v>45868</v>
      </c>
      <c r="F589" s="4">
        <v>30</v>
      </c>
      <c r="G589" s="4">
        <v>6</v>
      </c>
      <c r="H589" s="6">
        <v>351481.60860534135</v>
      </c>
      <c r="I589" s="6">
        <v>56057.534988269872</v>
      </c>
      <c r="J589" s="6">
        <v>0</v>
      </c>
      <c r="K589" s="6">
        <v>0</v>
      </c>
      <c r="L589" s="6">
        <f t="shared" si="114"/>
        <v>0</v>
      </c>
      <c r="M589" s="7">
        <f t="shared" si="115"/>
        <v>1.0341666666666667E-2</v>
      </c>
      <c r="N589" s="7">
        <f t="shared" si="116"/>
        <v>2.1338918613756464E-2</v>
      </c>
      <c r="O589" s="7">
        <f t="shared" si="121"/>
        <v>1.0633926137395453</v>
      </c>
      <c r="P589" s="6">
        <f t="shared" si="122"/>
        <v>407539.1435936112</v>
      </c>
      <c r="Q589" s="6">
        <f t="shared" si="118"/>
        <v>2275527.5666455314</v>
      </c>
      <c r="R589" s="4">
        <f t="shared" ca="1" si="117"/>
        <v>-300</v>
      </c>
      <c r="S589" s="6"/>
      <c r="T589" s="5"/>
      <c r="U589" s="30" t="str">
        <f t="shared" si="119"/>
        <v>PENDIENTE</v>
      </c>
    </row>
    <row r="590" spans="1:21" x14ac:dyDescent="0.25">
      <c r="A590" s="4" t="str">
        <f t="shared" si="120"/>
        <v>20258</v>
      </c>
      <c r="B590" s="4" t="s">
        <v>24</v>
      </c>
      <c r="C590" s="4" t="s">
        <v>25</v>
      </c>
      <c r="D590" s="29" t="s">
        <v>43</v>
      </c>
      <c r="E590" s="28">
        <v>45899</v>
      </c>
      <c r="F590" s="4">
        <v>31</v>
      </c>
      <c r="G590" s="4">
        <v>5</v>
      </c>
      <c r="H590" s="6">
        <v>361456.65665756096</v>
      </c>
      <c r="I590" s="6">
        <v>48705.711341608148</v>
      </c>
      <c r="J590" s="6">
        <v>0</v>
      </c>
      <c r="K590" s="6">
        <v>0</v>
      </c>
      <c r="L590" s="6">
        <f t="shared" si="114"/>
        <v>0</v>
      </c>
      <c r="M590" s="7">
        <f t="shared" si="115"/>
        <v>1.0341666666666667E-2</v>
      </c>
      <c r="N590" s="7">
        <f t="shared" si="116"/>
        <v>2.1404140321361901E-2</v>
      </c>
      <c r="O590" s="7">
        <f t="shared" si="121"/>
        <v>1.069699305852883</v>
      </c>
      <c r="P590" s="6">
        <f t="shared" si="122"/>
        <v>410162.3679991691</v>
      </c>
      <c r="Q590" s="6">
        <f t="shared" si="118"/>
        <v>1914070.9099879705</v>
      </c>
      <c r="R590" s="4">
        <f t="shared" ca="1" si="117"/>
        <v>-330</v>
      </c>
      <c r="S590" s="6"/>
      <c r="T590" s="5"/>
      <c r="U590" s="30" t="str">
        <f t="shared" si="119"/>
        <v>PENDIENTE</v>
      </c>
    </row>
    <row r="591" spans="1:21" x14ac:dyDescent="0.25">
      <c r="A591" s="4" t="str">
        <f t="shared" si="120"/>
        <v>20259</v>
      </c>
      <c r="B591" s="4" t="s">
        <v>24</v>
      </c>
      <c r="C591" s="4" t="s">
        <v>25</v>
      </c>
      <c r="D591" s="29" t="s">
        <v>43</v>
      </c>
      <c r="E591" s="28">
        <v>45930</v>
      </c>
      <c r="F591" s="4">
        <v>32</v>
      </c>
      <c r="G591" s="4">
        <v>4</v>
      </c>
      <c r="H591" s="6">
        <v>371714.79657350259</v>
      </c>
      <c r="I591" s="6">
        <v>41145.242939854164</v>
      </c>
      <c r="J591" s="6">
        <v>0</v>
      </c>
      <c r="K591" s="6">
        <v>0</v>
      </c>
      <c r="L591" s="6">
        <f t="shared" si="114"/>
        <v>0</v>
      </c>
      <c r="M591" s="7">
        <f t="shared" si="115"/>
        <v>1.0341666666666667E-2</v>
      </c>
      <c r="N591" s="7">
        <f t="shared" si="116"/>
        <v>2.1496195739223033E-2</v>
      </c>
      <c r="O591" s="7">
        <f t="shared" si="121"/>
        <v>1.0786007161214859</v>
      </c>
      <c r="P591" s="6">
        <f t="shared" si="122"/>
        <v>412860.03951335675</v>
      </c>
      <c r="Q591" s="6">
        <f t="shared" si="118"/>
        <v>1542356.1134144678</v>
      </c>
      <c r="R591" s="4">
        <f t="shared" ca="1" si="117"/>
        <v>-361</v>
      </c>
      <c r="S591" s="6"/>
      <c r="T591" s="5"/>
      <c r="U591" s="30" t="str">
        <f t="shared" si="119"/>
        <v>PENDIENTE</v>
      </c>
    </row>
    <row r="592" spans="1:21" x14ac:dyDescent="0.25">
      <c r="A592" s="4" t="str">
        <f t="shared" si="120"/>
        <v>202510</v>
      </c>
      <c r="B592" s="4" t="s">
        <v>24</v>
      </c>
      <c r="C592" s="4" t="s">
        <v>25</v>
      </c>
      <c r="D592" s="29" t="s">
        <v>43</v>
      </c>
      <c r="E592" s="28">
        <v>45960</v>
      </c>
      <c r="F592" s="4">
        <v>33</v>
      </c>
      <c r="G592" s="4">
        <v>3</v>
      </c>
      <c r="H592" s="6">
        <v>382264.06250025862</v>
      </c>
      <c r="I592" s="6">
        <v>33370.208444858399</v>
      </c>
      <c r="J592" s="6">
        <v>0</v>
      </c>
      <c r="K592" s="6">
        <v>0</v>
      </c>
      <c r="L592" s="6">
        <f t="shared" si="114"/>
        <v>0</v>
      </c>
      <c r="M592" s="7">
        <f t="shared" si="115"/>
        <v>1.0341666666666667E-2</v>
      </c>
      <c r="N592" s="7">
        <f t="shared" si="116"/>
        <v>2.1635864865853473E-2</v>
      </c>
      <c r="O592" s="7">
        <f t="shared" si="121"/>
        <v>1.092106191702189</v>
      </c>
      <c r="P592" s="6">
        <f t="shared" si="122"/>
        <v>415634.27094511699</v>
      </c>
      <c r="Q592" s="6">
        <f t="shared" si="118"/>
        <v>1160092.0509142091</v>
      </c>
      <c r="R592" s="4">
        <f t="shared" ca="1" si="117"/>
        <v>-392</v>
      </c>
      <c r="S592" s="6"/>
      <c r="T592" s="5"/>
      <c r="U592" s="30" t="str">
        <f t="shared" si="119"/>
        <v>PENDIENTE</v>
      </c>
    </row>
    <row r="593" spans="1:21" x14ac:dyDescent="0.25">
      <c r="A593" s="4" t="str">
        <f t="shared" si="120"/>
        <v>202511</v>
      </c>
      <c r="B593" s="4" t="s">
        <v>24</v>
      </c>
      <c r="C593" s="4" t="s">
        <v>25</v>
      </c>
      <c r="D593" s="29" t="s">
        <v>43</v>
      </c>
      <c r="E593" s="28">
        <v>45991</v>
      </c>
      <c r="F593" s="4">
        <v>34</v>
      </c>
      <c r="G593" s="4">
        <v>2</v>
      </c>
      <c r="H593" s="6">
        <v>393112.716594016</v>
      </c>
      <c r="I593" s="6">
        <v>25374.518470894654</v>
      </c>
      <c r="J593" s="6">
        <v>0</v>
      </c>
      <c r="K593" s="6">
        <v>0</v>
      </c>
      <c r="L593" s="6">
        <f t="shared" si="114"/>
        <v>0</v>
      </c>
      <c r="M593" s="7">
        <f t="shared" si="115"/>
        <v>1.0341666666666667E-2</v>
      </c>
      <c r="N593" s="7">
        <f t="shared" si="116"/>
        <v>2.1872849185457566E-2</v>
      </c>
      <c r="O593" s="7">
        <f t="shared" si="121"/>
        <v>1.115021677884696</v>
      </c>
      <c r="P593" s="6">
        <f t="shared" si="122"/>
        <v>418487.23506491067</v>
      </c>
      <c r="Q593" s="6">
        <f t="shared" si="118"/>
        <v>766979.33432019316</v>
      </c>
      <c r="R593" s="4">
        <f t="shared" ca="1" si="117"/>
        <v>-422</v>
      </c>
      <c r="S593" s="6"/>
      <c r="T593" s="5"/>
      <c r="U593" s="30" t="str">
        <f t="shared" si="119"/>
        <v>PENDIENTE</v>
      </c>
    </row>
    <row r="594" spans="1:21" x14ac:dyDescent="0.25">
      <c r="A594" s="4" t="str">
        <f t="shared" si="120"/>
        <v>202512</v>
      </c>
      <c r="B594" s="4" t="s">
        <v>24</v>
      </c>
      <c r="C594" s="4" t="s">
        <v>25</v>
      </c>
      <c r="D594" s="29" t="s">
        <v>43</v>
      </c>
      <c r="E594" s="28">
        <v>46021</v>
      </c>
      <c r="F594" s="4">
        <v>35</v>
      </c>
      <c r="G594" s="4">
        <v>1</v>
      </c>
      <c r="H594" s="6">
        <v>404269.25549095421</v>
      </c>
      <c r="I594" s="6">
        <v>17151.910815469819</v>
      </c>
      <c r="J594" s="6">
        <v>0</v>
      </c>
      <c r="K594" s="6">
        <v>0</v>
      </c>
      <c r="L594" s="6">
        <f t="shared" si="114"/>
        <v>0</v>
      </c>
      <c r="M594" s="7">
        <f t="shared" si="115"/>
        <v>1.0341666666666667E-2</v>
      </c>
      <c r="N594" s="7">
        <f t="shared" si="116"/>
        <v>2.2362937367370266E-2</v>
      </c>
      <c r="O594" s="7">
        <f t="shared" si="121"/>
        <v>1.1624113489802026</v>
      </c>
      <c r="P594" s="6">
        <f t="shared" si="122"/>
        <v>421421.16630642401</v>
      </c>
      <c r="Q594" s="6">
        <f t="shared" si="118"/>
        <v>362710.07882923895</v>
      </c>
      <c r="R594" s="4">
        <f t="shared" ca="1" si="117"/>
        <v>-453</v>
      </c>
      <c r="S594" s="6"/>
      <c r="T594" s="5"/>
      <c r="U594" s="30" t="str">
        <f t="shared" si="119"/>
        <v>PENDIENTE</v>
      </c>
    </row>
    <row r="595" spans="1:21" x14ac:dyDescent="0.25">
      <c r="A595" s="4" t="str">
        <f t="shared" si="120"/>
        <v>20261</v>
      </c>
      <c r="B595" s="4" t="s">
        <v>24</v>
      </c>
      <c r="C595" s="4" t="s">
        <v>25</v>
      </c>
      <c r="D595" s="29" t="s">
        <v>43</v>
      </c>
      <c r="E595" s="28">
        <v>46052</v>
      </c>
      <c r="F595" s="4">
        <v>36</v>
      </c>
      <c r="G595" s="4">
        <v>0</v>
      </c>
      <c r="H595" s="6">
        <v>415742.4169617875</v>
      </c>
      <c r="I595" s="6">
        <v>8695.945554784028</v>
      </c>
      <c r="J595" s="6">
        <v>0</v>
      </c>
      <c r="K595" s="6">
        <v>0</v>
      </c>
      <c r="L595" s="6">
        <f t="shared" si="114"/>
        <v>0</v>
      </c>
      <c r="M595" s="7">
        <f t="shared" si="115"/>
        <v>1.0341666666666667E-2</v>
      </c>
      <c r="N595" s="7">
        <f t="shared" si="116"/>
        <v>2.3974921190094669E-2</v>
      </c>
      <c r="O595" s="7">
        <f t="shared" si="121"/>
        <v>1.3182840796223689</v>
      </c>
      <c r="P595" s="6">
        <f t="shared" si="122"/>
        <v>424438.36251657153</v>
      </c>
      <c r="Q595" s="6">
        <f t="shared" si="118"/>
        <v>-53032.338132548553</v>
      </c>
      <c r="R595" s="4">
        <f t="shared" ca="1" si="117"/>
        <v>-483</v>
      </c>
      <c r="S595" s="6"/>
      <c r="T595" s="5"/>
      <c r="U595" s="30" t="str">
        <f t="shared" si="119"/>
        <v>PENDIENTE</v>
      </c>
    </row>
    <row r="596" spans="1:21" x14ac:dyDescent="0.25">
      <c r="A596" s="4" t="str">
        <f t="shared" si="120"/>
        <v>20231</v>
      </c>
      <c r="B596" s="4" t="s">
        <v>24</v>
      </c>
      <c r="C596" s="4" t="s">
        <v>21</v>
      </c>
      <c r="D596" s="29" t="s">
        <v>44</v>
      </c>
      <c r="E596" s="28">
        <v>44953</v>
      </c>
      <c r="F596" s="4">
        <v>0</v>
      </c>
      <c r="G596" s="4">
        <v>12</v>
      </c>
      <c r="H596" s="6">
        <v>0</v>
      </c>
      <c r="I596" s="6">
        <v>0</v>
      </c>
      <c r="J596" s="6">
        <v>0</v>
      </c>
      <c r="K596" s="6">
        <v>0</v>
      </c>
      <c r="L596" s="6">
        <f t="shared" si="114"/>
        <v>0</v>
      </c>
      <c r="M596" s="7">
        <f>0.23695916/12</f>
        <v>1.9746596666666668E-2</v>
      </c>
      <c r="N596" s="7">
        <f t="shared" si="116"/>
        <v>0</v>
      </c>
      <c r="O596" s="7">
        <f t="shared" si="121"/>
        <v>-1</v>
      </c>
      <c r="P596" s="6">
        <f t="shared" si="122"/>
        <v>0</v>
      </c>
      <c r="Q596" s="6">
        <v>20000000</v>
      </c>
      <c r="R596" s="4" t="s">
        <v>27</v>
      </c>
      <c r="S596" s="6">
        <v>0</v>
      </c>
      <c r="T596" s="5">
        <v>44957</v>
      </c>
      <c r="U596" s="30" t="str">
        <f t="shared" si="119"/>
        <v>PAGADO</v>
      </c>
    </row>
    <row r="597" spans="1:21" x14ac:dyDescent="0.25">
      <c r="A597" s="4" t="str">
        <f t="shared" si="120"/>
        <v>20232</v>
      </c>
      <c r="B597" s="4" t="s">
        <v>24</v>
      </c>
      <c r="C597" s="4" t="s">
        <v>21</v>
      </c>
      <c r="D597" s="29" t="s">
        <v>44</v>
      </c>
      <c r="E597" s="28">
        <v>44984</v>
      </c>
      <c r="F597" s="4">
        <v>1</v>
      </c>
      <c r="G597" s="4">
        <v>11</v>
      </c>
      <c r="H597" s="6">
        <v>1493318.05</v>
      </c>
      <c r="I597" s="6">
        <v>394931.93</v>
      </c>
      <c r="J597" s="6">
        <v>0</v>
      </c>
      <c r="K597" s="6">
        <v>0</v>
      </c>
      <c r="L597" s="6">
        <f t="shared" ref="L597:L660" si="123">IF(S596="",0,IF(S596&lt;=P596,P596-S596,0))</f>
        <v>0</v>
      </c>
      <c r="M597" s="7">
        <f t="shared" ref="M597:M608" si="124">0.23695916/12</f>
        <v>1.9746596666666668E-2</v>
      </c>
      <c r="N597" s="7">
        <f t="shared" si="116"/>
        <v>1.9746596499999998E-2</v>
      </c>
      <c r="O597" s="7">
        <f t="shared" si="121"/>
        <v>-8.4402731470589742E-9</v>
      </c>
      <c r="P597" s="6">
        <f t="shared" si="122"/>
        <v>1888249.98</v>
      </c>
      <c r="Q597" s="6">
        <f>Q596-H597</f>
        <v>18506681.949999999</v>
      </c>
      <c r="R597" s="4" t="str">
        <f t="shared" ref="R597:R608" ca="1" si="125">IF(B596="","",IF(T596="",TODAY()-E596,IF(T597="",TODAY()-E597,"OK")))</f>
        <v>OK</v>
      </c>
      <c r="S597" s="6">
        <v>1927518.82</v>
      </c>
      <c r="T597" s="5">
        <v>45009</v>
      </c>
      <c r="U597" s="30" t="str">
        <f t="shared" si="119"/>
        <v>PAGADO</v>
      </c>
    </row>
    <row r="598" spans="1:21" x14ac:dyDescent="0.25">
      <c r="A598" s="4" t="str">
        <f t="shared" si="120"/>
        <v>20233</v>
      </c>
      <c r="B598" s="4" t="s">
        <v>24</v>
      </c>
      <c r="C598" s="4" t="s">
        <v>21</v>
      </c>
      <c r="D598" s="29" t="s">
        <v>44</v>
      </c>
      <c r="E598" s="28">
        <v>45012</v>
      </c>
      <c r="F598" s="4">
        <v>2</v>
      </c>
      <c r="G598" s="4">
        <v>10</v>
      </c>
      <c r="H598" s="6">
        <v>1520620.72</v>
      </c>
      <c r="I598" s="6">
        <v>370659.8</v>
      </c>
      <c r="J598" s="6">
        <v>0</v>
      </c>
      <c r="K598" s="6">
        <v>0</v>
      </c>
      <c r="L598" s="6">
        <f t="shared" si="123"/>
        <v>0</v>
      </c>
      <c r="M598" s="7">
        <f t="shared" si="124"/>
        <v>1.9746596666666668E-2</v>
      </c>
      <c r="N598" s="7">
        <f t="shared" si="116"/>
        <v>2.0028430866290432E-2</v>
      </c>
      <c r="O598" s="7">
        <f t="shared" si="121"/>
        <v>1.4272545511577528E-2</v>
      </c>
      <c r="P598" s="6">
        <f t="shared" si="122"/>
        <v>1891280.52</v>
      </c>
      <c r="Q598" s="6">
        <f t="shared" ref="Q598:Q607" si="126">Q597-H598</f>
        <v>16986061.23</v>
      </c>
      <c r="R598" s="4" t="str">
        <f t="shared" ca="1" si="125"/>
        <v>OK</v>
      </c>
      <c r="S598" s="6">
        <v>1918570.25</v>
      </c>
      <c r="T598" s="5">
        <v>45029</v>
      </c>
      <c r="U598" s="30" t="str">
        <f t="shared" si="119"/>
        <v>PAGADO</v>
      </c>
    </row>
    <row r="599" spans="1:21" x14ac:dyDescent="0.25">
      <c r="A599" s="4" t="str">
        <f t="shared" si="120"/>
        <v>20234</v>
      </c>
      <c r="B599" s="4" t="s">
        <v>24</v>
      </c>
      <c r="C599" s="4" t="s">
        <v>21</v>
      </c>
      <c r="D599" s="29" t="s">
        <v>44</v>
      </c>
      <c r="E599" s="28">
        <v>45043</v>
      </c>
      <c r="F599" s="4">
        <v>3</v>
      </c>
      <c r="G599" s="4">
        <v>9</v>
      </c>
      <c r="H599" s="6">
        <v>1557292.69</v>
      </c>
      <c r="I599" s="6">
        <v>325339.03999999998</v>
      </c>
      <c r="J599" s="6">
        <v>0</v>
      </c>
      <c r="K599" s="6">
        <v>0</v>
      </c>
      <c r="L599" s="6">
        <f t="shared" si="123"/>
        <v>0</v>
      </c>
      <c r="M599" s="7">
        <f t="shared" si="124"/>
        <v>1.9746596666666668E-2</v>
      </c>
      <c r="N599" s="7">
        <f t="shared" si="116"/>
        <v>1.9153294904259564E-2</v>
      </c>
      <c r="O599" s="7">
        <f t="shared" si="121"/>
        <v>-3.0045773072816639E-2</v>
      </c>
      <c r="P599" s="6">
        <f t="shared" si="122"/>
        <v>1882631.73</v>
      </c>
      <c r="Q599" s="6">
        <f t="shared" si="126"/>
        <v>15428768.540000001</v>
      </c>
      <c r="R599" s="4" t="str">
        <f t="shared" ca="1" si="125"/>
        <v>OK</v>
      </c>
      <c r="S599" s="6">
        <v>1916653.67</v>
      </c>
      <c r="T599" s="5">
        <v>45064</v>
      </c>
      <c r="U599" s="30" t="str">
        <f t="shared" si="119"/>
        <v>PAGADO</v>
      </c>
    </row>
    <row r="600" spans="1:21" x14ac:dyDescent="0.25">
      <c r="A600" s="4" t="str">
        <f t="shared" si="120"/>
        <v>20235</v>
      </c>
      <c r="B600" s="4" t="s">
        <v>24</v>
      </c>
      <c r="C600" s="4" t="s">
        <v>21</v>
      </c>
      <c r="D600" s="29" t="s">
        <v>44</v>
      </c>
      <c r="E600" s="28">
        <v>45073</v>
      </c>
      <c r="F600" s="4">
        <v>4</v>
      </c>
      <c r="G600" s="4">
        <v>8</v>
      </c>
      <c r="H600" s="6">
        <v>1589997.74</v>
      </c>
      <c r="I600" s="6">
        <v>288607.65000000002</v>
      </c>
      <c r="J600" s="6">
        <v>0</v>
      </c>
      <c r="K600" s="6">
        <v>0</v>
      </c>
      <c r="L600" s="6">
        <f t="shared" si="123"/>
        <v>0</v>
      </c>
      <c r="M600" s="7">
        <f t="shared" si="124"/>
        <v>1.9746596666666668E-2</v>
      </c>
      <c r="N600" s="7">
        <f t="shared" si="116"/>
        <v>1.8705812408279215E-2</v>
      </c>
      <c r="O600" s="7">
        <f t="shared" si="121"/>
        <v>-5.2707019642749597E-2</v>
      </c>
      <c r="P600" s="6">
        <f t="shared" si="122"/>
        <v>1878605.3900000001</v>
      </c>
      <c r="Q600" s="6">
        <f t="shared" si="126"/>
        <v>13838770.800000001</v>
      </c>
      <c r="R600" s="4" t="str">
        <f t="shared" ca="1" si="125"/>
        <v>OK</v>
      </c>
      <c r="S600" s="6">
        <v>1878556.12</v>
      </c>
      <c r="T600" s="5">
        <v>45072</v>
      </c>
      <c r="U600" s="30" t="str">
        <f t="shared" si="119"/>
        <v>PAGADO</v>
      </c>
    </row>
    <row r="601" spans="1:21" x14ac:dyDescent="0.25">
      <c r="A601" s="4" t="str">
        <f t="shared" si="120"/>
        <v>20236</v>
      </c>
      <c r="B601" s="4" t="s">
        <v>24</v>
      </c>
      <c r="C601" s="4" t="s">
        <v>21</v>
      </c>
      <c r="D601" s="29" t="s">
        <v>44</v>
      </c>
      <c r="E601" s="28">
        <v>45104</v>
      </c>
      <c r="F601" s="4">
        <v>5</v>
      </c>
      <c r="G601" s="4">
        <v>7</v>
      </c>
      <c r="H601" s="6">
        <v>1647811.72</v>
      </c>
      <c r="I601" s="6">
        <v>234034.7</v>
      </c>
      <c r="J601" s="6">
        <v>0</v>
      </c>
      <c r="K601" s="6">
        <v>0</v>
      </c>
      <c r="L601" s="6">
        <f t="shared" si="123"/>
        <v>49.270000000018626</v>
      </c>
      <c r="M601" s="7">
        <f t="shared" si="124"/>
        <v>1.9746596666666668E-2</v>
      </c>
      <c r="N601" s="7">
        <f t="shared" si="116"/>
        <v>1.6911523673764434E-2</v>
      </c>
      <c r="O601" s="7">
        <f t="shared" si="121"/>
        <v>-0.14357274019213606</v>
      </c>
      <c r="P601" s="6">
        <f t="shared" si="122"/>
        <v>1881895.69</v>
      </c>
      <c r="Q601" s="6">
        <f t="shared" si="126"/>
        <v>12190959.08</v>
      </c>
      <c r="R601" s="4" t="str">
        <f t="shared" ca="1" si="125"/>
        <v>OK</v>
      </c>
      <c r="S601" s="6">
        <v>1926132.16</v>
      </c>
      <c r="T601" s="5">
        <v>45133</v>
      </c>
      <c r="U601" s="30" t="str">
        <f t="shared" si="119"/>
        <v>PAGADO</v>
      </c>
    </row>
    <row r="602" spans="1:21" x14ac:dyDescent="0.25">
      <c r="A602" s="4" t="str">
        <f t="shared" si="120"/>
        <v>20237</v>
      </c>
      <c r="B602" s="4" t="s">
        <v>24</v>
      </c>
      <c r="C602" s="4" t="s">
        <v>21</v>
      </c>
      <c r="D602" s="29" t="s">
        <v>44</v>
      </c>
      <c r="E602" s="28">
        <v>45134</v>
      </c>
      <c r="F602" s="4">
        <v>6</v>
      </c>
      <c r="G602" s="4">
        <v>6</v>
      </c>
      <c r="H602" s="6">
        <v>1646696.78</v>
      </c>
      <c r="I602" s="6">
        <v>241553.2</v>
      </c>
      <c r="J602" s="6">
        <v>0</v>
      </c>
      <c r="K602" s="6">
        <v>0</v>
      </c>
      <c r="L602" s="6">
        <f t="shared" si="123"/>
        <v>0</v>
      </c>
      <c r="M602" s="7">
        <f t="shared" si="124"/>
        <v>1.9746596666666668E-2</v>
      </c>
      <c r="N602" s="7">
        <f t="shared" si="116"/>
        <v>1.9814126059719332E-2</v>
      </c>
      <c r="O602" s="7">
        <f t="shared" si="121"/>
        <v>3.4197990769040398E-3</v>
      </c>
      <c r="P602" s="6">
        <f t="shared" si="122"/>
        <v>1888249.98</v>
      </c>
      <c r="Q602" s="6">
        <f t="shared" si="126"/>
        <v>10544262.300000001</v>
      </c>
      <c r="R602" s="4" t="str">
        <f t="shared" ca="1" si="125"/>
        <v>OK</v>
      </c>
      <c r="S602" s="6">
        <v>1929386.06</v>
      </c>
      <c r="T602" s="5">
        <v>45163</v>
      </c>
      <c r="U602" s="30" t="str">
        <f t="shared" si="119"/>
        <v>PAGADO</v>
      </c>
    </row>
    <row r="603" spans="1:21" x14ac:dyDescent="0.25">
      <c r="A603" s="4" t="str">
        <f t="shared" si="120"/>
        <v>20238</v>
      </c>
      <c r="B603" s="4" t="s">
        <v>24</v>
      </c>
      <c r="C603" s="4" t="s">
        <v>21</v>
      </c>
      <c r="D603" s="29" t="s">
        <v>44</v>
      </c>
      <c r="E603" s="28">
        <v>45165</v>
      </c>
      <c r="F603" s="4">
        <v>7</v>
      </c>
      <c r="G603" s="4">
        <v>5</v>
      </c>
      <c r="H603" s="6">
        <v>1677951.9</v>
      </c>
      <c r="I603" s="6">
        <v>206042.2</v>
      </c>
      <c r="J603" s="6">
        <v>0</v>
      </c>
      <c r="K603" s="6">
        <v>0</v>
      </c>
      <c r="L603" s="6">
        <f t="shared" si="123"/>
        <v>0</v>
      </c>
      <c r="M603" s="7">
        <f t="shared" si="124"/>
        <v>1.9746596666666668E-2</v>
      </c>
      <c r="N603" s="7">
        <f t="shared" si="116"/>
        <v>1.9540693709791342E-2</v>
      </c>
      <c r="O603" s="7">
        <f t="shared" si="121"/>
        <v>-1.0427263003902953E-2</v>
      </c>
      <c r="P603" s="6">
        <f t="shared" si="122"/>
        <v>1883994.0999999999</v>
      </c>
      <c r="Q603" s="6">
        <f t="shared" si="126"/>
        <v>8866310.4000000004</v>
      </c>
      <c r="R603" s="4" t="str">
        <f t="shared" ca="1" si="125"/>
        <v>OK</v>
      </c>
      <c r="S603" s="6">
        <v>1926487.42</v>
      </c>
      <c r="T603" s="5">
        <v>45191</v>
      </c>
      <c r="U603" s="30" t="str">
        <f t="shared" si="119"/>
        <v>PAGADO</v>
      </c>
    </row>
    <row r="604" spans="1:21" x14ac:dyDescent="0.25">
      <c r="A604" s="4" t="str">
        <f t="shared" si="120"/>
        <v>20239</v>
      </c>
      <c r="B604" s="4" t="s">
        <v>24</v>
      </c>
      <c r="C604" s="4" t="s">
        <v>21</v>
      </c>
      <c r="D604" s="29" t="s">
        <v>44</v>
      </c>
      <c r="E604" s="28">
        <v>45196</v>
      </c>
      <c r="F604" s="4">
        <v>8</v>
      </c>
      <c r="G604" s="4">
        <v>4</v>
      </c>
      <c r="H604" s="6">
        <v>1709851.03</v>
      </c>
      <c r="I604" s="6">
        <v>175432.44</v>
      </c>
      <c r="J604" s="6">
        <v>0</v>
      </c>
      <c r="K604" s="6">
        <v>0</v>
      </c>
      <c r="L604" s="6">
        <f t="shared" si="123"/>
        <v>0</v>
      </c>
      <c r="M604" s="7">
        <f t="shared" si="124"/>
        <v>1.9746596666666668E-2</v>
      </c>
      <c r="N604" s="7">
        <f t="shared" si="116"/>
        <v>1.9786408560656752E-2</v>
      </c>
      <c r="O604" s="7">
        <f t="shared" si="121"/>
        <v>2.0161395232876078E-3</v>
      </c>
      <c r="P604" s="6">
        <f t="shared" si="122"/>
        <v>1885283.47</v>
      </c>
      <c r="Q604" s="6">
        <f t="shared" si="126"/>
        <v>7156459.3700000001</v>
      </c>
      <c r="R604" s="4" t="str">
        <f t="shared" ca="1" si="125"/>
        <v>OK</v>
      </c>
      <c r="S604" s="6">
        <v>1931611.17</v>
      </c>
      <c r="T604" s="5">
        <v>45225</v>
      </c>
      <c r="U604" s="30" t="str">
        <f t="shared" si="119"/>
        <v>PAGADO</v>
      </c>
    </row>
    <row r="605" spans="1:21" x14ac:dyDescent="0.25">
      <c r="A605" s="4" t="str">
        <f t="shared" si="120"/>
        <v>202310</v>
      </c>
      <c r="B605" s="4" t="s">
        <v>24</v>
      </c>
      <c r="C605" s="4" t="s">
        <v>21</v>
      </c>
      <c r="D605" s="29" t="s">
        <v>44</v>
      </c>
      <c r="E605" s="28">
        <v>45226</v>
      </c>
      <c r="F605" s="4">
        <v>9</v>
      </c>
      <c r="G605" s="4">
        <v>3</v>
      </c>
      <c r="H605" s="6">
        <v>1746185.71</v>
      </c>
      <c r="I605" s="6">
        <v>142064.26999999999</v>
      </c>
      <c r="J605" s="6">
        <v>0</v>
      </c>
      <c r="K605" s="6">
        <v>0</v>
      </c>
      <c r="L605" s="6">
        <f t="shared" si="123"/>
        <v>0</v>
      </c>
      <c r="M605" s="7">
        <f t="shared" si="124"/>
        <v>1.9746596666666668E-2</v>
      </c>
      <c r="N605" s="7">
        <f t="shared" si="116"/>
        <v>1.9851194935240721E-2</v>
      </c>
      <c r="O605" s="7">
        <f t="shared" si="121"/>
        <v>5.2970276518899961E-3</v>
      </c>
      <c r="P605" s="6">
        <f t="shared" si="122"/>
        <v>1888249.98</v>
      </c>
      <c r="Q605" s="6">
        <f t="shared" si="126"/>
        <v>5410273.6600000001</v>
      </c>
      <c r="R605" s="4" t="str">
        <f t="shared" ca="1" si="125"/>
        <v>OK</v>
      </c>
      <c r="S605" s="6">
        <v>1950000</v>
      </c>
      <c r="T605" s="5">
        <v>45258</v>
      </c>
      <c r="U605" s="30" t="str">
        <f t="shared" si="119"/>
        <v>PAGADO</v>
      </c>
    </row>
    <row r="606" spans="1:21" x14ac:dyDescent="0.25">
      <c r="A606" s="4" t="str">
        <f t="shared" si="120"/>
        <v>202311</v>
      </c>
      <c r="B606" s="4" t="s">
        <v>24</v>
      </c>
      <c r="C606" s="4" t="s">
        <v>21</v>
      </c>
      <c r="D606" s="29" t="s">
        <v>44</v>
      </c>
      <c r="E606" s="28">
        <v>45257</v>
      </c>
      <c r="F606" s="4">
        <v>10</v>
      </c>
      <c r="G606" s="4">
        <v>2</v>
      </c>
      <c r="H606" s="6">
        <v>1780666.94</v>
      </c>
      <c r="I606" s="6">
        <v>107583.03999999999</v>
      </c>
      <c r="J606" s="6">
        <v>0</v>
      </c>
      <c r="K606" s="6">
        <v>0</v>
      </c>
      <c r="L606" s="6">
        <f t="shared" si="123"/>
        <v>0</v>
      </c>
      <c r="M606" s="7">
        <f t="shared" si="124"/>
        <v>1.9746596666666668E-2</v>
      </c>
      <c r="N606" s="7">
        <f t="shared" si="116"/>
        <v>1.9884953472020857E-2</v>
      </c>
      <c r="O606" s="7">
        <f t="shared" si="121"/>
        <v>7.0066152507051171E-3</v>
      </c>
      <c r="P606" s="6">
        <f t="shared" si="122"/>
        <v>1888249.98</v>
      </c>
      <c r="Q606" s="6">
        <f t="shared" si="126"/>
        <v>3629606.72</v>
      </c>
      <c r="R606" s="4" t="str">
        <f t="shared" ca="1" si="125"/>
        <v>OK</v>
      </c>
      <c r="S606" s="6">
        <v>1911304.83</v>
      </c>
      <c r="T606" s="5">
        <v>45286</v>
      </c>
      <c r="U606" s="30" t="str">
        <f t="shared" si="119"/>
        <v>PAGADO</v>
      </c>
    </row>
    <row r="607" spans="1:21" x14ac:dyDescent="0.25">
      <c r="A607" s="4" t="str">
        <f t="shared" si="120"/>
        <v>202312</v>
      </c>
      <c r="B607" s="4" t="s">
        <v>24</v>
      </c>
      <c r="C607" s="4" t="s">
        <v>21</v>
      </c>
      <c r="D607" s="29" t="s">
        <v>44</v>
      </c>
      <c r="E607" s="28">
        <v>45287</v>
      </c>
      <c r="F607" s="4">
        <v>11</v>
      </c>
      <c r="G607" s="4">
        <v>1</v>
      </c>
      <c r="H607" s="6">
        <v>1815829.05</v>
      </c>
      <c r="I607" s="6">
        <v>72420.929999999993</v>
      </c>
      <c r="J607" s="6">
        <v>0</v>
      </c>
      <c r="K607" s="6">
        <v>0</v>
      </c>
      <c r="L607" s="6">
        <f t="shared" si="123"/>
        <v>0</v>
      </c>
      <c r="M607" s="7">
        <f t="shared" si="124"/>
        <v>1.9746596666666668E-2</v>
      </c>
      <c r="N607" s="7">
        <f t="shared" si="116"/>
        <v>1.99528311430942E-2</v>
      </c>
      <c r="O607" s="7">
        <f t="shared" si="121"/>
        <v>1.0444051697053647E-2</v>
      </c>
      <c r="P607" s="6">
        <f t="shared" si="122"/>
        <v>1888249.98</v>
      </c>
      <c r="Q607" s="6">
        <f t="shared" si="126"/>
        <v>1813777.6700000002</v>
      </c>
      <c r="R607" s="4" t="str">
        <f t="shared" ca="1" si="125"/>
        <v>OK</v>
      </c>
      <c r="S607" s="6">
        <v>1927679.88</v>
      </c>
      <c r="T607" s="5">
        <v>45317</v>
      </c>
      <c r="U607" s="30" t="str">
        <f t="shared" si="119"/>
        <v>PAGADO</v>
      </c>
    </row>
    <row r="608" spans="1:21" x14ac:dyDescent="0.25">
      <c r="A608" s="4" t="str">
        <f t="shared" si="120"/>
        <v>20241</v>
      </c>
      <c r="B608" s="4" t="s">
        <v>24</v>
      </c>
      <c r="C608" s="4" t="s">
        <v>21</v>
      </c>
      <c r="D608" s="29" t="s">
        <v>44</v>
      </c>
      <c r="E608" s="28">
        <v>45318</v>
      </c>
      <c r="F608" s="4">
        <v>12</v>
      </c>
      <c r="G608" s="4">
        <v>0</v>
      </c>
      <c r="H608" s="6">
        <v>1842996.9100000032</v>
      </c>
      <c r="I608" s="6">
        <v>36564.49</v>
      </c>
      <c r="J608" s="6">
        <v>0</v>
      </c>
      <c r="K608" s="6">
        <v>0</v>
      </c>
      <c r="L608" s="6">
        <f t="shared" si="123"/>
        <v>0</v>
      </c>
      <c r="M608" s="7">
        <f t="shared" si="124"/>
        <v>1.9746596666666668E-2</v>
      </c>
      <c r="N608" s="7">
        <f t="shared" si="116"/>
        <v>2.0159301001869759E-2</v>
      </c>
      <c r="O608" s="7">
        <f t="shared" si="121"/>
        <v>2.0900023541766011E-2</v>
      </c>
      <c r="P608" s="6">
        <f t="shared" si="122"/>
        <v>1879561.4000000032</v>
      </c>
      <c r="Q608" s="6">
        <v>0</v>
      </c>
      <c r="R608" s="4" t="str">
        <f t="shared" ca="1" si="125"/>
        <v>OK</v>
      </c>
      <c r="S608" s="6">
        <v>1909520.32</v>
      </c>
      <c r="T608" s="5">
        <v>45336</v>
      </c>
      <c r="U608" s="30" t="str">
        <f t="shared" si="119"/>
        <v>PAGADO</v>
      </c>
    </row>
    <row r="609" spans="1:21" x14ac:dyDescent="0.25">
      <c r="A609" s="4" t="str">
        <f t="shared" si="120"/>
        <v>20231</v>
      </c>
      <c r="B609" s="4" t="s">
        <v>24</v>
      </c>
      <c r="C609" s="4" t="s">
        <v>25</v>
      </c>
      <c r="D609" s="29" t="s">
        <v>45</v>
      </c>
      <c r="E609" s="28">
        <v>44953</v>
      </c>
      <c r="F609" s="4">
        <v>0</v>
      </c>
      <c r="G609" s="4">
        <v>12</v>
      </c>
      <c r="H609" s="6">
        <v>0</v>
      </c>
      <c r="I609" s="6">
        <v>0</v>
      </c>
      <c r="J609" s="6">
        <v>0</v>
      </c>
      <c r="K609" s="6">
        <v>0</v>
      </c>
      <c r="L609" s="6">
        <f t="shared" si="123"/>
        <v>0</v>
      </c>
      <c r="M609" s="7">
        <f>0.2369/12</f>
        <v>1.9741666666666668E-2</v>
      </c>
      <c r="N609" s="7">
        <v>0</v>
      </c>
      <c r="O609" s="7">
        <f t="shared" si="121"/>
        <v>-1</v>
      </c>
      <c r="P609" s="6">
        <f t="shared" si="122"/>
        <v>0</v>
      </c>
      <c r="Q609" s="6">
        <v>20000000</v>
      </c>
      <c r="R609" s="4" t="s">
        <v>27</v>
      </c>
      <c r="S609" s="6">
        <v>0</v>
      </c>
      <c r="T609" s="5">
        <v>44953</v>
      </c>
      <c r="U609" s="30" t="str">
        <f t="shared" si="119"/>
        <v>PAGADO</v>
      </c>
    </row>
    <row r="610" spans="1:21" x14ac:dyDescent="0.25">
      <c r="A610" s="4" t="str">
        <f t="shared" si="120"/>
        <v>20232</v>
      </c>
      <c r="B610" s="4" t="s">
        <v>24</v>
      </c>
      <c r="C610" s="4" t="s">
        <v>25</v>
      </c>
      <c r="D610" s="29" t="s">
        <v>45</v>
      </c>
      <c r="E610" s="28">
        <v>44984</v>
      </c>
      <c r="F610" s="4">
        <v>1</v>
      </c>
      <c r="G610" s="4">
        <v>11</v>
      </c>
      <c r="H610" s="6">
        <v>1493318.05</v>
      </c>
      <c r="I610" s="6">
        <v>394931.93</v>
      </c>
      <c r="J610" s="6">
        <v>0</v>
      </c>
      <c r="K610" s="6">
        <v>0</v>
      </c>
      <c r="L610" s="6">
        <f t="shared" si="123"/>
        <v>0</v>
      </c>
      <c r="M610" s="7">
        <f t="shared" ref="M610:M621" si="127">0.2369/12</f>
        <v>1.9741666666666668E-2</v>
      </c>
      <c r="N610" s="7">
        <f t="shared" si="116"/>
        <v>1.9746596499999998E-2</v>
      </c>
      <c r="O610" s="7">
        <f t="shared" si="121"/>
        <v>2.497171802446907E-4</v>
      </c>
      <c r="P610" s="6">
        <f t="shared" si="122"/>
        <v>1888249.98</v>
      </c>
      <c r="Q610" s="6">
        <f>Q609-H610</f>
        <v>18506681.949999999</v>
      </c>
      <c r="R610" s="4" t="str">
        <f t="shared" ref="R610:R621" ca="1" si="128">IF(B609="","",IF(T609="",TODAY()-E609,IF(T610="",TODAY()-E610,"OK")))</f>
        <v>OK</v>
      </c>
      <c r="S610" s="6">
        <v>1927518.82</v>
      </c>
      <c r="T610" s="5">
        <v>45009</v>
      </c>
      <c r="U610" s="30" t="str">
        <f t="shared" si="119"/>
        <v>PAGADO</v>
      </c>
    </row>
    <row r="611" spans="1:21" x14ac:dyDescent="0.25">
      <c r="A611" s="4" t="str">
        <f t="shared" si="120"/>
        <v>20233</v>
      </c>
      <c r="B611" s="4" t="s">
        <v>24</v>
      </c>
      <c r="C611" s="4" t="s">
        <v>25</v>
      </c>
      <c r="D611" s="29" t="s">
        <v>45</v>
      </c>
      <c r="E611" s="28">
        <v>45012</v>
      </c>
      <c r="F611" s="4">
        <v>2</v>
      </c>
      <c r="G611" s="4">
        <v>10</v>
      </c>
      <c r="H611" s="6">
        <v>1520620.72</v>
      </c>
      <c r="I611" s="6">
        <v>370659.8</v>
      </c>
      <c r="J611" s="6">
        <v>0</v>
      </c>
      <c r="K611" s="6">
        <v>0</v>
      </c>
      <c r="L611" s="6">
        <f t="shared" si="123"/>
        <v>0</v>
      </c>
      <c r="M611" s="7">
        <f t="shared" si="127"/>
        <v>1.9741666666666668E-2</v>
      </c>
      <c r="N611" s="7">
        <f t="shared" si="116"/>
        <v>2.0028430866290432E-2</v>
      </c>
      <c r="O611" s="7">
        <f t="shared" si="121"/>
        <v>1.4525835354517458E-2</v>
      </c>
      <c r="P611" s="6">
        <f t="shared" si="122"/>
        <v>1891280.52</v>
      </c>
      <c r="Q611" s="6">
        <f t="shared" ref="Q611:Q621" si="129">Q610-H611</f>
        <v>16986061.23</v>
      </c>
      <c r="R611" s="4" t="str">
        <f t="shared" ca="1" si="128"/>
        <v>OK</v>
      </c>
      <c r="S611" s="6">
        <v>1925082.69</v>
      </c>
      <c r="T611" s="5">
        <v>45033</v>
      </c>
      <c r="U611" s="30" t="str">
        <f t="shared" si="119"/>
        <v>PAGADO</v>
      </c>
    </row>
    <row r="612" spans="1:21" x14ac:dyDescent="0.25">
      <c r="A612" s="4" t="str">
        <f t="shared" si="120"/>
        <v>20234</v>
      </c>
      <c r="B612" s="4" t="s">
        <v>24</v>
      </c>
      <c r="C612" s="4" t="s">
        <v>25</v>
      </c>
      <c r="D612" s="29" t="s">
        <v>45</v>
      </c>
      <c r="E612" s="28">
        <v>45043</v>
      </c>
      <c r="F612" s="4">
        <v>3</v>
      </c>
      <c r="G612" s="4">
        <v>9</v>
      </c>
      <c r="H612" s="6">
        <v>1557292.69</v>
      </c>
      <c r="I612" s="6">
        <v>325339.03999999998</v>
      </c>
      <c r="J612" s="6">
        <v>0</v>
      </c>
      <c r="K612" s="6">
        <v>0</v>
      </c>
      <c r="L612" s="6">
        <f t="shared" si="123"/>
        <v>0</v>
      </c>
      <c r="M612" s="7">
        <f t="shared" si="127"/>
        <v>1.9741666666666668E-2</v>
      </c>
      <c r="N612" s="7">
        <f t="shared" si="116"/>
        <v>1.9153294904259564E-2</v>
      </c>
      <c r="O612" s="7">
        <f t="shared" si="121"/>
        <v>-2.9803550649578847E-2</v>
      </c>
      <c r="P612" s="6">
        <f t="shared" si="122"/>
        <v>1882631.73</v>
      </c>
      <c r="Q612" s="6">
        <f t="shared" si="129"/>
        <v>15428768.540000001</v>
      </c>
      <c r="R612" s="4" t="str">
        <f t="shared" ca="1" si="128"/>
        <v>OK</v>
      </c>
      <c r="S612" s="6">
        <v>1916653.17</v>
      </c>
      <c r="T612" s="5">
        <v>45064</v>
      </c>
      <c r="U612" s="30" t="str">
        <f t="shared" si="119"/>
        <v>PAGADO</v>
      </c>
    </row>
    <row r="613" spans="1:21" x14ac:dyDescent="0.25">
      <c r="A613" s="4" t="str">
        <f t="shared" si="120"/>
        <v>20235</v>
      </c>
      <c r="B613" s="4" t="s">
        <v>24</v>
      </c>
      <c r="C613" s="4" t="s">
        <v>25</v>
      </c>
      <c r="D613" s="29" t="s">
        <v>45</v>
      </c>
      <c r="E613" s="28">
        <v>45073</v>
      </c>
      <c r="F613" s="4">
        <v>4</v>
      </c>
      <c r="G613" s="4">
        <v>8</v>
      </c>
      <c r="H613" s="6">
        <v>1589997.74</v>
      </c>
      <c r="I613" s="6">
        <v>288607.65000000002</v>
      </c>
      <c r="J613" s="6">
        <v>0</v>
      </c>
      <c r="K613" s="6">
        <v>0</v>
      </c>
      <c r="L613" s="6">
        <f t="shared" si="123"/>
        <v>0</v>
      </c>
      <c r="M613" s="7">
        <f t="shared" si="127"/>
        <v>1.9741666666666668E-2</v>
      </c>
      <c r="N613" s="7">
        <f t="shared" si="116"/>
        <v>1.8705812408279215E-2</v>
      </c>
      <c r="O613" s="7">
        <f t="shared" si="121"/>
        <v>-5.2470456313420955E-2</v>
      </c>
      <c r="P613" s="6">
        <f t="shared" si="122"/>
        <v>1878605.3900000001</v>
      </c>
      <c r="Q613" s="6">
        <f t="shared" si="129"/>
        <v>13838770.800000001</v>
      </c>
      <c r="R613" s="4" t="str">
        <f t="shared" ca="1" si="128"/>
        <v>OK</v>
      </c>
      <c r="S613" s="6">
        <v>1906142.17</v>
      </c>
      <c r="T613" s="5">
        <v>45090</v>
      </c>
      <c r="U613" s="30" t="str">
        <f t="shared" si="119"/>
        <v>PAGADO</v>
      </c>
    </row>
    <row r="614" spans="1:21" x14ac:dyDescent="0.25">
      <c r="A614" s="4" t="str">
        <f t="shared" si="120"/>
        <v>20236</v>
      </c>
      <c r="B614" s="4" t="s">
        <v>24</v>
      </c>
      <c r="C614" s="4" t="s">
        <v>25</v>
      </c>
      <c r="D614" s="29" t="s">
        <v>45</v>
      </c>
      <c r="E614" s="28">
        <v>45104</v>
      </c>
      <c r="F614" s="4">
        <v>5</v>
      </c>
      <c r="G614" s="4">
        <v>7</v>
      </c>
      <c r="H614" s="6">
        <v>1647811.72</v>
      </c>
      <c r="I614" s="6">
        <v>234034.7</v>
      </c>
      <c r="J614" s="6">
        <v>0</v>
      </c>
      <c r="K614" s="6">
        <v>0</v>
      </c>
      <c r="L614" s="6">
        <f t="shared" si="123"/>
        <v>0</v>
      </c>
      <c r="M614" s="7">
        <f t="shared" si="127"/>
        <v>1.9741666666666668E-2</v>
      </c>
      <c r="N614" s="7">
        <f t="shared" si="116"/>
        <v>1.6911523673764434E-2</v>
      </c>
      <c r="O614" s="7">
        <f t="shared" si="121"/>
        <v>-0.14335886836144707</v>
      </c>
      <c r="P614" s="6">
        <f t="shared" si="122"/>
        <v>1881846.42</v>
      </c>
      <c r="Q614" s="6">
        <f t="shared" si="129"/>
        <v>12190959.08</v>
      </c>
      <c r="R614" s="4" t="str">
        <f t="shared" ca="1" si="128"/>
        <v>OK</v>
      </c>
      <c r="S614" s="6">
        <f>1885000+75000</f>
        <v>1960000</v>
      </c>
      <c r="T614" s="5">
        <v>45136</v>
      </c>
      <c r="U614" s="30" t="str">
        <f t="shared" si="119"/>
        <v>PAGADO</v>
      </c>
    </row>
    <row r="615" spans="1:21" x14ac:dyDescent="0.25">
      <c r="A615" s="4" t="str">
        <f t="shared" si="120"/>
        <v>20237</v>
      </c>
      <c r="B615" s="4" t="s">
        <v>24</v>
      </c>
      <c r="C615" s="4" t="s">
        <v>25</v>
      </c>
      <c r="D615" s="29" t="s">
        <v>45</v>
      </c>
      <c r="E615" s="28">
        <v>45134</v>
      </c>
      <c r="F615" s="4">
        <v>6</v>
      </c>
      <c r="G615" s="4">
        <v>6</v>
      </c>
      <c r="H615" s="6">
        <f t="shared" ref="H615:H621" si="130">H614*1.02113</f>
        <v>1682629.9816436002</v>
      </c>
      <c r="I615" s="6">
        <v>241496.74076217492</v>
      </c>
      <c r="J615" s="6">
        <v>0</v>
      </c>
      <c r="K615" s="6">
        <v>0</v>
      </c>
      <c r="L615" s="6">
        <f t="shared" si="123"/>
        <v>0</v>
      </c>
      <c r="M615" s="7">
        <f t="shared" si="127"/>
        <v>1.9741666666666668E-2</v>
      </c>
      <c r="N615" s="7">
        <f t="shared" si="116"/>
        <v>1.9809494821319253E-2</v>
      </c>
      <c r="O615" s="7">
        <f t="shared" si="121"/>
        <v>3.4357866434402418E-3</v>
      </c>
      <c r="P615" s="6">
        <f t="shared" si="122"/>
        <v>1924126.722405775</v>
      </c>
      <c r="Q615" s="6">
        <f t="shared" si="129"/>
        <v>10508329.0983564</v>
      </c>
      <c r="R615" s="4" t="str">
        <f t="shared" ca="1" si="128"/>
        <v>OK</v>
      </c>
      <c r="S615" s="6">
        <v>1903848.08</v>
      </c>
      <c r="T615" s="5">
        <v>45163</v>
      </c>
      <c r="U615" s="30" t="str">
        <f t="shared" si="119"/>
        <v>PAGADO</v>
      </c>
    </row>
    <row r="616" spans="1:21" x14ac:dyDescent="0.25">
      <c r="A616" s="4" t="str">
        <f t="shared" si="120"/>
        <v>20238</v>
      </c>
      <c r="B616" s="4" t="s">
        <v>24</v>
      </c>
      <c r="C616" s="4" t="s">
        <v>25</v>
      </c>
      <c r="D616" s="29" t="s">
        <v>45</v>
      </c>
      <c r="E616" s="28">
        <v>45165</v>
      </c>
      <c r="F616" s="4">
        <v>7</v>
      </c>
      <c r="G616" s="4">
        <v>5</v>
      </c>
      <c r="H616" s="6">
        <v>1677951.9</v>
      </c>
      <c r="I616" s="6">
        <v>206042.2</v>
      </c>
      <c r="J616" s="6">
        <v>0</v>
      </c>
      <c r="K616" s="6">
        <v>0</v>
      </c>
      <c r="L616" s="6">
        <f t="shared" si="123"/>
        <v>20278.64240577491</v>
      </c>
      <c r="M616" s="7">
        <f t="shared" si="127"/>
        <v>1.9741666666666668E-2</v>
      </c>
      <c r="N616" s="7">
        <f t="shared" si="116"/>
        <v>1.9607513056688234E-2</v>
      </c>
      <c r="O616" s="7">
        <f t="shared" si="121"/>
        <v>-6.7954551276538933E-3</v>
      </c>
      <c r="P616" s="6">
        <f t="shared" si="122"/>
        <v>1904272.7424057748</v>
      </c>
      <c r="Q616" s="6">
        <f t="shared" si="129"/>
        <v>8830377.1983563993</v>
      </c>
      <c r="R616" s="4" t="str">
        <f t="shared" ca="1" si="128"/>
        <v>OK</v>
      </c>
      <c r="S616" s="6">
        <v>1926487.42</v>
      </c>
      <c r="T616" s="5">
        <v>45191</v>
      </c>
      <c r="U616" s="30" t="str">
        <f t="shared" si="119"/>
        <v>PAGADO</v>
      </c>
    </row>
    <row r="617" spans="1:21" x14ac:dyDescent="0.25">
      <c r="A617" s="4" t="str">
        <f t="shared" si="120"/>
        <v>20239</v>
      </c>
      <c r="B617" s="4" t="s">
        <v>24</v>
      </c>
      <c r="C617" s="4" t="s">
        <v>25</v>
      </c>
      <c r="D617" s="29" t="s">
        <v>45</v>
      </c>
      <c r="E617" s="28">
        <v>45196</v>
      </c>
      <c r="F617" s="4">
        <v>8</v>
      </c>
      <c r="G617" s="4">
        <v>4</v>
      </c>
      <c r="H617" s="6">
        <v>1709851.03</v>
      </c>
      <c r="I617" s="6">
        <v>175432.44</v>
      </c>
      <c r="J617" s="6">
        <v>0</v>
      </c>
      <c r="K617" s="6">
        <v>0</v>
      </c>
      <c r="L617" s="6">
        <f t="shared" si="123"/>
        <v>0</v>
      </c>
      <c r="M617" s="7">
        <f t="shared" si="127"/>
        <v>1.9741666666666668E-2</v>
      </c>
      <c r="N617" s="7">
        <f t="shared" si="116"/>
        <v>1.9866924827701957E-2</v>
      </c>
      <c r="O617" s="7">
        <f t="shared" si="121"/>
        <v>6.3448625260593694E-3</v>
      </c>
      <c r="P617" s="6">
        <f t="shared" si="122"/>
        <v>1885283.47</v>
      </c>
      <c r="Q617" s="6">
        <f t="shared" si="129"/>
        <v>7120526.1683563991</v>
      </c>
      <c r="R617" s="4" t="str">
        <f t="shared" ca="1" si="128"/>
        <v>OK</v>
      </c>
      <c r="S617" s="6">
        <v>1931611.17</v>
      </c>
      <c r="T617" s="5">
        <v>45225</v>
      </c>
      <c r="U617" s="30" t="str">
        <f t="shared" si="119"/>
        <v>PAGADO</v>
      </c>
    </row>
    <row r="618" spans="1:21" x14ac:dyDescent="0.25">
      <c r="A618" s="4" t="str">
        <f t="shared" si="120"/>
        <v>202310</v>
      </c>
      <c r="B618" s="4" t="s">
        <v>24</v>
      </c>
      <c r="C618" s="4" t="s">
        <v>25</v>
      </c>
      <c r="D618" s="29" t="s">
        <v>45</v>
      </c>
      <c r="E618" s="28">
        <v>45226</v>
      </c>
      <c r="F618" s="4">
        <v>9</v>
      </c>
      <c r="G618" s="4">
        <v>3</v>
      </c>
      <c r="H618" s="6">
        <f t="shared" si="130"/>
        <v>1745980.1822639003</v>
      </c>
      <c r="I618" s="6">
        <v>142309.45357342152</v>
      </c>
      <c r="J618" s="6">
        <v>0</v>
      </c>
      <c r="K618" s="6">
        <v>0</v>
      </c>
      <c r="L618" s="6">
        <f t="shared" si="123"/>
        <v>0</v>
      </c>
      <c r="M618" s="7">
        <f t="shared" si="127"/>
        <v>1.9741666666666668E-2</v>
      </c>
      <c r="N618" s="7">
        <f t="shared" si="116"/>
        <v>1.9985805853202868E-2</v>
      </c>
      <c r="O618" s="7">
        <f t="shared" si="121"/>
        <v>1.2366695814412854E-2</v>
      </c>
      <c r="P618" s="6">
        <f t="shared" si="122"/>
        <v>1888289.6358373219</v>
      </c>
      <c r="Q618" s="6">
        <f t="shared" si="129"/>
        <v>5374545.9860924985</v>
      </c>
      <c r="R618" s="4" t="str">
        <f t="shared" ca="1" si="128"/>
        <v>OK</v>
      </c>
      <c r="S618" s="6">
        <v>1950000</v>
      </c>
      <c r="T618" s="5">
        <v>45258</v>
      </c>
      <c r="U618" s="30" t="str">
        <f t="shared" si="119"/>
        <v>PAGADO</v>
      </c>
    </row>
    <row r="619" spans="1:21" x14ac:dyDescent="0.25">
      <c r="A619" s="4" t="str">
        <f t="shared" si="120"/>
        <v>202311</v>
      </c>
      <c r="B619" s="4" t="s">
        <v>24</v>
      </c>
      <c r="C619" s="4" t="s">
        <v>25</v>
      </c>
      <c r="D619" s="29" t="s">
        <v>45</v>
      </c>
      <c r="E619" s="28">
        <v>45257</v>
      </c>
      <c r="F619" s="4">
        <v>10</v>
      </c>
      <c r="G619" s="4">
        <v>2</v>
      </c>
      <c r="H619" s="6">
        <f t="shared" si="130"/>
        <v>1782872.7435151367</v>
      </c>
      <c r="I619" s="6">
        <v>107840.06842316547</v>
      </c>
      <c r="J619" s="6">
        <v>0</v>
      </c>
      <c r="K619" s="6">
        <v>0</v>
      </c>
      <c r="L619" s="6">
        <f t="shared" si="123"/>
        <v>0</v>
      </c>
      <c r="M619" s="7">
        <f t="shared" si="127"/>
        <v>1.9741666666666668E-2</v>
      </c>
      <c r="N619" s="7">
        <f t="shared" si="116"/>
        <v>2.006496338522714E-2</v>
      </c>
      <c r="O619" s="7">
        <f t="shared" si="121"/>
        <v>1.6376363962539831E-2</v>
      </c>
      <c r="P619" s="6">
        <f t="shared" si="122"/>
        <v>1890712.8119383021</v>
      </c>
      <c r="Q619" s="6">
        <f t="shared" si="129"/>
        <v>3591673.2425773619</v>
      </c>
      <c r="R619" s="4" t="str">
        <f t="shared" ca="1" si="128"/>
        <v>OK</v>
      </c>
      <c r="S619" s="6">
        <v>1911304.83</v>
      </c>
      <c r="T619" s="5">
        <v>45286</v>
      </c>
      <c r="U619" s="30" t="str">
        <f t="shared" si="119"/>
        <v>PAGADO</v>
      </c>
    </row>
    <row r="620" spans="1:21" x14ac:dyDescent="0.25">
      <c r="A620" s="4" t="str">
        <f t="shared" si="120"/>
        <v>202312</v>
      </c>
      <c r="B620" s="4" t="s">
        <v>24</v>
      </c>
      <c r="C620" s="4" t="s">
        <v>25</v>
      </c>
      <c r="D620" s="29" t="s">
        <v>45</v>
      </c>
      <c r="E620" s="28">
        <v>45287</v>
      </c>
      <c r="F620" s="4">
        <v>11</v>
      </c>
      <c r="G620" s="4">
        <v>1</v>
      </c>
      <c r="H620" s="6">
        <f t="shared" si="130"/>
        <v>1820544.8445856117</v>
      </c>
      <c r="I620" s="6">
        <v>72642.345164684535</v>
      </c>
      <c r="J620" s="6">
        <v>0</v>
      </c>
      <c r="K620" s="6">
        <v>0</v>
      </c>
      <c r="L620" s="6">
        <f t="shared" si="123"/>
        <v>0</v>
      </c>
      <c r="M620" s="7">
        <f t="shared" si="127"/>
        <v>1.9741666666666668E-2</v>
      </c>
      <c r="N620" s="7">
        <f t="shared" si="116"/>
        <v>2.022520988366883E-2</v>
      </c>
      <c r="O620" s="7">
        <f t="shared" si="121"/>
        <v>2.4493535686052947E-2</v>
      </c>
      <c r="P620" s="6">
        <f t="shared" si="122"/>
        <v>1893187.1897502963</v>
      </c>
      <c r="Q620" s="6">
        <f t="shared" si="129"/>
        <v>1771128.3979917502</v>
      </c>
      <c r="R620" s="4" t="str">
        <f t="shared" ca="1" si="128"/>
        <v>OK</v>
      </c>
      <c r="S620" s="6">
        <v>1927679.88</v>
      </c>
      <c r="T620" s="5">
        <v>45317</v>
      </c>
      <c r="U620" s="30" t="str">
        <f t="shared" si="119"/>
        <v>PAGADO</v>
      </c>
    </row>
    <row r="621" spans="1:21" x14ac:dyDescent="0.25">
      <c r="A621" s="4" t="str">
        <f t="shared" si="120"/>
        <v>20241</v>
      </c>
      <c r="B621" s="4" t="s">
        <v>24</v>
      </c>
      <c r="C621" s="4" t="s">
        <v>25</v>
      </c>
      <c r="D621" s="29" t="s">
        <v>45</v>
      </c>
      <c r="E621" s="28">
        <v>45318</v>
      </c>
      <c r="F621" s="4">
        <v>12</v>
      </c>
      <c r="G621" s="4">
        <v>0</v>
      </c>
      <c r="H621" s="6">
        <f t="shared" si="130"/>
        <v>1859012.9571517059</v>
      </c>
      <c r="I621" s="6">
        <v>36700.894013751895</v>
      </c>
      <c r="J621" s="6">
        <v>0</v>
      </c>
      <c r="K621" s="6">
        <v>0</v>
      </c>
      <c r="L621" s="6">
        <f t="shared" si="123"/>
        <v>0</v>
      </c>
      <c r="M621" s="7">
        <f t="shared" si="127"/>
        <v>1.9741666666666668E-2</v>
      </c>
      <c r="N621" s="7">
        <f t="shared" si="116"/>
        <v>2.0721757979470241E-2</v>
      </c>
      <c r="O621" s="7">
        <f t="shared" si="121"/>
        <v>4.9645824202798172E-2</v>
      </c>
      <c r="P621" s="6">
        <f t="shared" si="122"/>
        <v>1895713.8511654579</v>
      </c>
      <c r="Q621" s="6">
        <f t="shared" si="129"/>
        <v>-87884.559159955708</v>
      </c>
      <c r="R621" s="4" t="str">
        <f t="shared" ca="1" si="128"/>
        <v>OK</v>
      </c>
      <c r="S621" s="6">
        <v>1909520.32</v>
      </c>
      <c r="T621" s="5">
        <v>45336</v>
      </c>
      <c r="U621" s="30" t="str">
        <f t="shared" si="119"/>
        <v>PAGADO</v>
      </c>
    </row>
    <row r="622" spans="1:21" x14ac:dyDescent="0.25">
      <c r="A622" s="4" t="str">
        <f t="shared" si="120"/>
        <v>202210</v>
      </c>
      <c r="B622" s="4" t="s">
        <v>24</v>
      </c>
      <c r="C622" s="4" t="s">
        <v>40</v>
      </c>
      <c r="D622" s="29" t="s">
        <v>46</v>
      </c>
      <c r="E622" s="28">
        <v>44844</v>
      </c>
      <c r="F622" s="4">
        <v>7</v>
      </c>
      <c r="G622" s="4">
        <v>53</v>
      </c>
      <c r="H622" s="6">
        <v>302081.05</v>
      </c>
      <c r="I622" s="6">
        <v>538677.55000000005</v>
      </c>
      <c r="J622" s="6">
        <v>0</v>
      </c>
      <c r="K622" s="6">
        <v>18888.099999999999</v>
      </c>
      <c r="L622" s="6">
        <f t="shared" si="123"/>
        <v>0</v>
      </c>
      <c r="M622" s="7">
        <v>1.89E-2</v>
      </c>
      <c r="N622" s="7">
        <f>I622/28449526.25</f>
        <v>1.8934499831961174E-2</v>
      </c>
      <c r="O622" s="7">
        <f t="shared" si="121"/>
        <v>1.8253879344536372E-3</v>
      </c>
      <c r="P622" s="6">
        <f t="shared" si="122"/>
        <v>859646.70000000007</v>
      </c>
      <c r="Q622" s="6">
        <f>28449526.25-H622</f>
        <v>28147445.199999999</v>
      </c>
      <c r="R622" s="4" t="s">
        <v>27</v>
      </c>
      <c r="S622" s="6">
        <v>877606.38</v>
      </c>
      <c r="T622" s="5">
        <v>44858</v>
      </c>
      <c r="U622" s="30" t="str">
        <f t="shared" si="119"/>
        <v>PAGADO</v>
      </c>
    </row>
    <row r="623" spans="1:21" x14ac:dyDescent="0.25">
      <c r="A623" s="4" t="str">
        <f t="shared" si="120"/>
        <v>202211</v>
      </c>
      <c r="B623" s="4" t="s">
        <v>24</v>
      </c>
      <c r="C623" s="4" t="s">
        <v>40</v>
      </c>
      <c r="D623" s="29" t="s">
        <v>46</v>
      </c>
      <c r="E623" s="28">
        <v>44875</v>
      </c>
      <c r="F623" s="4">
        <v>8</v>
      </c>
      <c r="G623" s="4">
        <v>52</v>
      </c>
      <c r="H623" s="6">
        <v>306562</v>
      </c>
      <c r="I623" s="6">
        <v>536849.80000000005</v>
      </c>
      <c r="J623" s="6">
        <v>0</v>
      </c>
      <c r="K623" s="6">
        <v>18685.400000000001</v>
      </c>
      <c r="L623" s="6">
        <f t="shared" si="123"/>
        <v>0</v>
      </c>
      <c r="M623" s="7">
        <v>1.89E-2</v>
      </c>
      <c r="N623" s="7">
        <f t="shared" si="116"/>
        <v>1.9072771833658284E-2</v>
      </c>
      <c r="O623" s="7">
        <f t="shared" si="121"/>
        <v>9.1413668602267073E-3</v>
      </c>
      <c r="P623" s="6">
        <f t="shared" si="122"/>
        <v>862097.20000000007</v>
      </c>
      <c r="Q623" s="6">
        <f>Q622-H623</f>
        <v>27840883.199999999</v>
      </c>
      <c r="R623" s="4" t="str">
        <f t="shared" ref="R623:R675" ca="1" si="131">IF(B622="","",IF(T622="",TODAY()-E622,IF(T623="",TODAY()-E623,"OK")))</f>
        <v>OK</v>
      </c>
      <c r="S623" s="6">
        <v>880344.83</v>
      </c>
      <c r="T623" s="5">
        <v>44889</v>
      </c>
      <c r="U623" s="30" t="str">
        <f t="shared" si="119"/>
        <v>PAGADO</v>
      </c>
    </row>
    <row r="624" spans="1:21" x14ac:dyDescent="0.25">
      <c r="A624" s="4" t="str">
        <f t="shared" si="120"/>
        <v>202212</v>
      </c>
      <c r="B624" s="4" t="s">
        <v>24</v>
      </c>
      <c r="C624" s="4" t="s">
        <v>40</v>
      </c>
      <c r="D624" s="29" t="s">
        <v>46</v>
      </c>
      <c r="E624" s="28">
        <v>44905</v>
      </c>
      <c r="F624" s="4">
        <v>9</v>
      </c>
      <c r="G624" s="4">
        <v>51</v>
      </c>
      <c r="H624" s="6">
        <v>307108.37</v>
      </c>
      <c r="I624" s="6">
        <v>547257.61</v>
      </c>
      <c r="J624" s="6">
        <v>0</v>
      </c>
      <c r="K624" s="6">
        <v>18479.7</v>
      </c>
      <c r="L624" s="6">
        <f t="shared" si="123"/>
        <v>0</v>
      </c>
      <c r="M624" s="7">
        <v>1.89E-2</v>
      </c>
      <c r="N624" s="7">
        <f t="shared" ref="N624:N687" si="132">IF(I624="","",I624/Q623)</f>
        <v>1.9656618149240322E-2</v>
      </c>
      <c r="O624" s="7">
        <f t="shared" si="121"/>
        <v>4.003270630901179E-2</v>
      </c>
      <c r="P624" s="6">
        <f t="shared" si="122"/>
        <v>872845.67999999993</v>
      </c>
      <c r="Q624" s="6">
        <f t="shared" ref="Q624:Q675" si="133">Q623-H624</f>
        <v>27533774.829999998</v>
      </c>
      <c r="R624" s="4" t="str">
        <f t="shared" ca="1" si="131"/>
        <v>OK</v>
      </c>
      <c r="S624" s="6">
        <v>890665.17</v>
      </c>
      <c r="T624" s="5">
        <v>44916</v>
      </c>
      <c r="U624" s="30" t="str">
        <f t="shared" si="119"/>
        <v>PAGADO</v>
      </c>
    </row>
    <row r="625" spans="1:21" x14ac:dyDescent="0.25">
      <c r="A625" s="4" t="str">
        <f t="shared" si="120"/>
        <v>20231</v>
      </c>
      <c r="B625" s="4" t="s">
        <v>24</v>
      </c>
      <c r="C625" s="4" t="s">
        <v>40</v>
      </c>
      <c r="D625" s="29" t="s">
        <v>46</v>
      </c>
      <c r="E625" s="28">
        <v>44936</v>
      </c>
      <c r="F625" s="4">
        <v>10</v>
      </c>
      <c r="G625" s="4">
        <v>50</v>
      </c>
      <c r="H625" s="6">
        <v>306731.73</v>
      </c>
      <c r="I625" s="6">
        <v>560999.68000000005</v>
      </c>
      <c r="J625" s="6">
        <v>0</v>
      </c>
      <c r="K625" s="6">
        <v>18273.63</v>
      </c>
      <c r="L625" s="6">
        <f t="shared" si="123"/>
        <v>0</v>
      </c>
      <c r="M625" s="7">
        <v>1.89E-2</v>
      </c>
      <c r="N625" s="7">
        <f t="shared" si="132"/>
        <v>2.0374964328855889E-2</v>
      </c>
      <c r="O625" s="7">
        <f t="shared" si="121"/>
        <v>7.8040440680205769E-2</v>
      </c>
      <c r="P625" s="6">
        <f t="shared" si="122"/>
        <v>886005.04</v>
      </c>
      <c r="Q625" s="6">
        <f t="shared" si="133"/>
        <v>27227043.099999998</v>
      </c>
      <c r="R625" s="4" t="str">
        <f t="shared" ca="1" si="131"/>
        <v>OK</v>
      </c>
      <c r="S625" s="6">
        <v>904575.95</v>
      </c>
      <c r="T625" s="5">
        <v>44949</v>
      </c>
      <c r="U625" s="30" t="str">
        <f t="shared" si="119"/>
        <v>PAGADO</v>
      </c>
    </row>
    <row r="626" spans="1:21" x14ac:dyDescent="0.25">
      <c r="A626" s="4" t="str">
        <f t="shared" si="120"/>
        <v>20232</v>
      </c>
      <c r="B626" s="4" t="s">
        <v>24</v>
      </c>
      <c r="C626" s="4" t="s">
        <v>40</v>
      </c>
      <c r="D626" s="29" t="s">
        <v>46</v>
      </c>
      <c r="E626" s="28">
        <v>44967</v>
      </c>
      <c r="F626" s="4">
        <v>11</v>
      </c>
      <c r="G626" s="4">
        <v>49</v>
      </c>
      <c r="H626" s="6">
        <v>308693.75</v>
      </c>
      <c r="I626" s="6">
        <v>568092.92000000004</v>
      </c>
      <c r="J626" s="6">
        <v>0</v>
      </c>
      <c r="K626" s="6">
        <v>18067.810000000001</v>
      </c>
      <c r="L626" s="6">
        <f t="shared" si="123"/>
        <v>0</v>
      </c>
      <c r="M626" s="7">
        <v>1.89E-2</v>
      </c>
      <c r="N626" s="7">
        <f t="shared" si="132"/>
        <v>2.0865024450635261E-2</v>
      </c>
      <c r="O626" s="7">
        <f t="shared" si="121"/>
        <v>0.1039695476526592</v>
      </c>
      <c r="P626" s="6">
        <f t="shared" si="122"/>
        <v>894854.4800000001</v>
      </c>
      <c r="Q626" s="6">
        <f t="shared" si="133"/>
        <v>26918349.349999998</v>
      </c>
      <c r="R626" s="4" t="str">
        <f t="shared" ca="1" si="131"/>
        <v>OK</v>
      </c>
      <c r="S626" s="6">
        <v>918500</v>
      </c>
      <c r="T626" s="5">
        <v>44995</v>
      </c>
      <c r="U626" s="30" t="str">
        <f t="shared" si="119"/>
        <v>PAGADO</v>
      </c>
    </row>
    <row r="627" spans="1:21" x14ac:dyDescent="0.25">
      <c r="A627" s="4" t="str">
        <f t="shared" si="120"/>
        <v>20233</v>
      </c>
      <c r="B627" s="4" t="s">
        <v>24</v>
      </c>
      <c r="C627" s="4" t="s">
        <v>40</v>
      </c>
      <c r="D627" s="29" t="s">
        <v>46</v>
      </c>
      <c r="E627" s="28">
        <v>44995</v>
      </c>
      <c r="F627" s="4">
        <v>12</v>
      </c>
      <c r="G627" s="4">
        <v>48</v>
      </c>
      <c r="H627" s="6">
        <v>314517.83</v>
      </c>
      <c r="I627" s="6">
        <v>563694.88</v>
      </c>
      <c r="J627" s="6">
        <v>0</v>
      </c>
      <c r="K627" s="6">
        <v>17860.830000000002</v>
      </c>
      <c r="L627" s="6">
        <f t="shared" si="123"/>
        <v>0</v>
      </c>
      <c r="M627" s="7">
        <v>1.89E-2</v>
      </c>
      <c r="N627" s="7">
        <f t="shared" si="132"/>
        <v>2.0940915532029085E-2</v>
      </c>
      <c r="O627" s="7">
        <f t="shared" si="121"/>
        <v>0.10798494878460763</v>
      </c>
      <c r="P627" s="6">
        <f t="shared" si="122"/>
        <v>896073.53999999992</v>
      </c>
      <c r="Q627" s="6">
        <f t="shared" si="133"/>
        <v>26603831.52</v>
      </c>
      <c r="R627" s="4" t="str">
        <f t="shared" ca="1" si="131"/>
        <v>OK</v>
      </c>
      <c r="S627" s="6">
        <v>929390.14</v>
      </c>
      <c r="T627" s="5">
        <v>45009</v>
      </c>
      <c r="U627" s="30" t="str">
        <f t="shared" si="119"/>
        <v>PAGADO</v>
      </c>
    </row>
    <row r="628" spans="1:21" x14ac:dyDescent="0.25">
      <c r="A628" s="4" t="str">
        <f t="shared" si="120"/>
        <v>20234</v>
      </c>
      <c r="B628" s="4" t="s">
        <v>24</v>
      </c>
      <c r="C628" s="4" t="s">
        <v>40</v>
      </c>
      <c r="D628" s="29" t="s">
        <v>46</v>
      </c>
      <c r="E628" s="28">
        <v>45026</v>
      </c>
      <c r="F628" s="4">
        <v>13</v>
      </c>
      <c r="G628" s="4">
        <v>47</v>
      </c>
      <c r="H628" s="6">
        <v>318053.74</v>
      </c>
      <c r="I628" s="6">
        <v>566589.31999999995</v>
      </c>
      <c r="J628" s="6">
        <v>0</v>
      </c>
      <c r="K628" s="6">
        <v>31564.18</v>
      </c>
      <c r="L628" s="6">
        <f t="shared" si="123"/>
        <v>0</v>
      </c>
      <c r="M628" s="7">
        <v>1.89E-2</v>
      </c>
      <c r="N628" s="7">
        <f t="shared" si="132"/>
        <v>2.1297282670507605E-2</v>
      </c>
      <c r="O628" s="7">
        <f t="shared" si="121"/>
        <v>0.12684035293691021</v>
      </c>
      <c r="P628" s="6">
        <f t="shared" si="122"/>
        <v>916207.24</v>
      </c>
      <c r="Q628" s="6">
        <f t="shared" si="133"/>
        <v>26285777.780000001</v>
      </c>
      <c r="R628" s="4" t="str">
        <f t="shared" ca="1" si="131"/>
        <v>OK</v>
      </c>
      <c r="S628" s="6">
        <v>937288.28</v>
      </c>
      <c r="T628" s="5">
        <v>45045</v>
      </c>
      <c r="U628" s="30" t="str">
        <f t="shared" si="119"/>
        <v>PAGADO</v>
      </c>
    </row>
    <row r="629" spans="1:21" x14ac:dyDescent="0.25">
      <c r="A629" s="4" t="str">
        <f t="shared" si="120"/>
        <v>20235</v>
      </c>
      <c r="B629" s="4" t="s">
        <v>24</v>
      </c>
      <c r="C629" s="4" t="s">
        <v>40</v>
      </c>
      <c r="D629" s="29" t="s">
        <v>46</v>
      </c>
      <c r="E629" s="28">
        <v>45056</v>
      </c>
      <c r="F629" s="4">
        <v>14</v>
      </c>
      <c r="G629" s="4">
        <v>46</v>
      </c>
      <c r="H629" s="6">
        <v>337287.21</v>
      </c>
      <c r="I629" s="6">
        <v>522626.44</v>
      </c>
      <c r="J629" s="6">
        <v>0</v>
      </c>
      <c r="K629" s="6">
        <v>31182.52</v>
      </c>
      <c r="L629" s="6">
        <f t="shared" si="123"/>
        <v>0</v>
      </c>
      <c r="M629" s="7">
        <v>1.89E-2</v>
      </c>
      <c r="N629" s="7">
        <f t="shared" si="132"/>
        <v>1.9882479581701765E-2</v>
      </c>
      <c r="O629" s="7">
        <f t="shared" si="121"/>
        <v>5.1983046650887044E-2</v>
      </c>
      <c r="P629" s="6">
        <f t="shared" si="122"/>
        <v>891096.17</v>
      </c>
      <c r="Q629" s="6">
        <f t="shared" si="133"/>
        <v>25948490.57</v>
      </c>
      <c r="R629" s="4" t="str">
        <f t="shared" ca="1" si="131"/>
        <v>OK</v>
      </c>
      <c r="S629" s="6">
        <v>910762.93</v>
      </c>
      <c r="T629" s="5">
        <v>45066</v>
      </c>
      <c r="U629" s="30" t="str">
        <f t="shared" si="119"/>
        <v>PAGADO</v>
      </c>
    </row>
    <row r="630" spans="1:21" x14ac:dyDescent="0.25">
      <c r="A630" s="4" t="str">
        <f t="shared" si="120"/>
        <v>20236</v>
      </c>
      <c r="B630" s="4" t="s">
        <v>24</v>
      </c>
      <c r="C630" s="4" t="s">
        <v>40</v>
      </c>
      <c r="D630" s="29" t="s">
        <v>46</v>
      </c>
      <c r="E630" s="28">
        <v>45087</v>
      </c>
      <c r="F630" s="4">
        <v>15</v>
      </c>
      <c r="G630" s="4">
        <v>45</v>
      </c>
      <c r="H630" s="6">
        <v>343368.3</v>
      </c>
      <c r="I630" s="6">
        <v>517902.22</v>
      </c>
      <c r="J630" s="6">
        <v>0</v>
      </c>
      <c r="K630" s="6">
        <v>30777.77</v>
      </c>
      <c r="L630" s="6">
        <f t="shared" si="123"/>
        <v>0</v>
      </c>
      <c r="M630" s="7">
        <v>1.89E-2</v>
      </c>
      <c r="N630" s="7">
        <f t="shared" si="132"/>
        <v>1.9958857283157952E-2</v>
      </c>
      <c r="O630" s="7">
        <f t="shared" si="121"/>
        <v>5.6024194876082012E-2</v>
      </c>
      <c r="P630" s="6">
        <f t="shared" si="122"/>
        <v>892048.29</v>
      </c>
      <c r="Q630" s="6">
        <f t="shared" si="133"/>
        <v>25605122.27</v>
      </c>
      <c r="R630" s="4" t="str">
        <f t="shared" ca="1" si="131"/>
        <v>OK</v>
      </c>
      <c r="S630" s="6">
        <v>917169.04</v>
      </c>
      <c r="T630" s="5">
        <v>45114</v>
      </c>
      <c r="U630" s="30" t="str">
        <f t="shared" si="119"/>
        <v>PAGADO</v>
      </c>
    </row>
    <row r="631" spans="1:21" x14ac:dyDescent="0.25">
      <c r="A631" s="4" t="str">
        <f t="shared" si="120"/>
        <v>20237</v>
      </c>
      <c r="B631" s="4" t="s">
        <v>24</v>
      </c>
      <c r="C631" s="4" t="s">
        <v>40</v>
      </c>
      <c r="D631" s="29" t="s">
        <v>46</v>
      </c>
      <c r="E631" s="28">
        <v>45117</v>
      </c>
      <c r="F631" s="4">
        <v>16</v>
      </c>
      <c r="G631" s="4">
        <v>44</v>
      </c>
      <c r="H631" s="6">
        <v>348157.73</v>
      </c>
      <c r="I631" s="6">
        <v>517222.49</v>
      </c>
      <c r="J631" s="6">
        <v>0</v>
      </c>
      <c r="K631" s="6">
        <v>30365.73</v>
      </c>
      <c r="L631" s="6">
        <f t="shared" si="123"/>
        <v>0</v>
      </c>
      <c r="M631" s="7">
        <v>1.89E-2</v>
      </c>
      <c r="N631" s="7">
        <f t="shared" si="132"/>
        <v>2.0199961732110097E-2</v>
      </c>
      <c r="O631" s="7">
        <f t="shared" si="121"/>
        <v>6.8781044026989369E-2</v>
      </c>
      <c r="P631" s="6">
        <f t="shared" si="122"/>
        <v>895745.95</v>
      </c>
      <c r="Q631" s="6">
        <f t="shared" si="133"/>
        <v>25256964.539999999</v>
      </c>
      <c r="R631" s="4" t="str">
        <f t="shared" ca="1" si="131"/>
        <v>OK</v>
      </c>
      <c r="S631" s="6">
        <v>871268.79</v>
      </c>
      <c r="T631" s="5">
        <v>45150</v>
      </c>
      <c r="U631" s="30" t="str">
        <f t="shared" si="119"/>
        <v>PAGADO</v>
      </c>
    </row>
    <row r="632" spans="1:21" x14ac:dyDescent="0.25">
      <c r="A632" s="4" t="str">
        <f t="shared" si="120"/>
        <v>20238</v>
      </c>
      <c r="B632" s="4" t="s">
        <v>24</v>
      </c>
      <c r="C632" s="4" t="s">
        <v>40</v>
      </c>
      <c r="D632" s="29" t="s">
        <v>46</v>
      </c>
      <c r="E632" s="28">
        <v>45148</v>
      </c>
      <c r="F632" s="4">
        <v>17</v>
      </c>
      <c r="G632" s="4">
        <v>43</v>
      </c>
      <c r="H632" s="6">
        <v>352190.41</v>
      </c>
      <c r="I632" s="6">
        <v>519078.38</v>
      </c>
      <c r="J632" s="6">
        <v>0</v>
      </c>
      <c r="K632" s="6">
        <v>29947.94</v>
      </c>
      <c r="L632" s="6">
        <f t="shared" si="123"/>
        <v>24477.159999999916</v>
      </c>
      <c r="M632" s="7">
        <v>1.89E-2</v>
      </c>
      <c r="N632" s="7">
        <f t="shared" si="132"/>
        <v>2.0551890912224403E-2</v>
      </c>
      <c r="O632" s="7">
        <f t="shared" si="121"/>
        <v>8.7401635567428748E-2</v>
      </c>
      <c r="P632" s="6">
        <f t="shared" si="122"/>
        <v>925693.8899999999</v>
      </c>
      <c r="Q632" s="6">
        <f t="shared" si="133"/>
        <v>24904774.129999999</v>
      </c>
      <c r="R632" s="4" t="str">
        <f t="shared" ca="1" si="131"/>
        <v>OK</v>
      </c>
      <c r="S632" s="6">
        <v>927509.6</v>
      </c>
      <c r="T632" s="5">
        <v>45175</v>
      </c>
      <c r="U632" s="30" t="str">
        <f t="shared" si="119"/>
        <v>PAGADO</v>
      </c>
    </row>
    <row r="633" spans="1:21" x14ac:dyDescent="0.25">
      <c r="A633" s="4" t="str">
        <f t="shared" si="120"/>
        <v>20239</v>
      </c>
      <c r="B633" s="4" t="s">
        <v>24</v>
      </c>
      <c r="C633" s="4" t="s">
        <v>40</v>
      </c>
      <c r="D633" s="29" t="s">
        <v>46</v>
      </c>
      <c r="E633" s="28">
        <v>45179</v>
      </c>
      <c r="F633" s="4">
        <v>18</v>
      </c>
      <c r="G633" s="4">
        <v>42</v>
      </c>
      <c r="H633" s="6">
        <v>359064.33</v>
      </c>
      <c r="I633" s="6">
        <v>513060.61</v>
      </c>
      <c r="J633" s="6">
        <v>0</v>
      </c>
      <c r="K633" s="6">
        <v>29525.31</v>
      </c>
      <c r="L633" s="6">
        <f t="shared" si="123"/>
        <v>0</v>
      </c>
      <c r="M633" s="7">
        <v>1.89E-2</v>
      </c>
      <c r="N633" s="7">
        <f t="shared" si="132"/>
        <v>2.0600893921859473E-2</v>
      </c>
      <c r="O633" s="7">
        <f t="shared" si="121"/>
        <v>8.9994387399972009E-2</v>
      </c>
      <c r="P633" s="6">
        <f t="shared" si="122"/>
        <v>901650.25</v>
      </c>
      <c r="Q633" s="6">
        <f t="shared" si="133"/>
        <v>24545709.800000001</v>
      </c>
      <c r="R633" s="4" t="str">
        <f t="shared" ca="1" si="131"/>
        <v>OK</v>
      </c>
      <c r="S633" s="6">
        <v>928407</v>
      </c>
      <c r="T633" s="5">
        <v>45208</v>
      </c>
      <c r="U633" s="30" t="str">
        <f t="shared" si="119"/>
        <v>PAGADO</v>
      </c>
    </row>
    <row r="634" spans="1:21" x14ac:dyDescent="0.25">
      <c r="A634" s="4" t="str">
        <f t="shared" si="120"/>
        <v>202310</v>
      </c>
      <c r="B634" s="4" t="s">
        <v>24</v>
      </c>
      <c r="C634" s="4" t="s">
        <v>40</v>
      </c>
      <c r="D634" s="29" t="s">
        <v>46</v>
      </c>
      <c r="E634" s="28">
        <v>45209</v>
      </c>
      <c r="F634" s="4">
        <v>19</v>
      </c>
      <c r="G634" s="4">
        <v>41</v>
      </c>
      <c r="H634" s="6">
        <v>410927.53725088149</v>
      </c>
      <c r="I634" s="6">
        <f t="shared" ref="I634:I675" si="134">Q633*M634</f>
        <v>463913.91522000002</v>
      </c>
      <c r="J634" s="6">
        <v>0</v>
      </c>
      <c r="K634" s="6">
        <v>0</v>
      </c>
      <c r="L634" s="6">
        <f t="shared" si="123"/>
        <v>0</v>
      </c>
      <c r="M634" s="7">
        <v>1.89E-2</v>
      </c>
      <c r="N634" s="7">
        <f t="shared" si="132"/>
        <v>1.89E-2</v>
      </c>
      <c r="O634" s="7">
        <f t="shared" si="121"/>
        <v>0</v>
      </c>
      <c r="P634" s="6">
        <f t="shared" si="122"/>
        <v>874841.45247088152</v>
      </c>
      <c r="Q634" s="6">
        <f t="shared" si="133"/>
        <v>24134782.262749121</v>
      </c>
      <c r="R634" s="4" t="str">
        <f t="shared" ca="1" si="131"/>
        <v>OK</v>
      </c>
      <c r="S634" s="6">
        <v>931384.34</v>
      </c>
      <c r="T634" s="5">
        <v>45239</v>
      </c>
      <c r="U634" s="30" t="str">
        <f t="shared" si="119"/>
        <v>PAGADO</v>
      </c>
    </row>
    <row r="635" spans="1:21" x14ac:dyDescent="0.25">
      <c r="A635" s="4" t="str">
        <f t="shared" si="120"/>
        <v>202311</v>
      </c>
      <c r="B635" s="4" t="s">
        <v>24</v>
      </c>
      <c r="C635" s="4" t="s">
        <v>40</v>
      </c>
      <c r="D635" s="29" t="s">
        <v>46</v>
      </c>
      <c r="E635" s="28">
        <v>45240</v>
      </c>
      <c r="F635" s="4">
        <v>20</v>
      </c>
      <c r="G635" s="4">
        <v>40</v>
      </c>
      <c r="H635" s="6">
        <v>417522.92422375811</v>
      </c>
      <c r="I635" s="6">
        <f t="shared" si="134"/>
        <v>456147.38476595836</v>
      </c>
      <c r="J635" s="6">
        <v>0</v>
      </c>
      <c r="K635" s="6">
        <v>0</v>
      </c>
      <c r="L635" s="6">
        <f t="shared" si="123"/>
        <v>0</v>
      </c>
      <c r="M635" s="7">
        <v>1.89E-2</v>
      </c>
      <c r="N635" s="7">
        <f t="shared" si="132"/>
        <v>1.89E-2</v>
      </c>
      <c r="O635" s="7">
        <f t="shared" si="121"/>
        <v>0</v>
      </c>
      <c r="P635" s="6">
        <f t="shared" si="122"/>
        <v>873670.30898971646</v>
      </c>
      <c r="Q635" s="6">
        <f t="shared" si="133"/>
        <v>23717259.338525362</v>
      </c>
      <c r="R635" s="4" t="str">
        <f t="shared" ca="1" si="131"/>
        <v>OK</v>
      </c>
      <c r="S635" s="6">
        <v>1000000</v>
      </c>
      <c r="T635" s="5">
        <v>45271</v>
      </c>
      <c r="U635" s="30" t="str">
        <f t="shared" si="119"/>
        <v>PAGADO</v>
      </c>
    </row>
    <row r="636" spans="1:21" x14ac:dyDescent="0.25">
      <c r="A636" s="4" t="str">
        <f t="shared" si="120"/>
        <v>202312</v>
      </c>
      <c r="B636" s="4" t="s">
        <v>24</v>
      </c>
      <c r="C636" s="4" t="s">
        <v>40</v>
      </c>
      <c r="D636" s="29" t="s">
        <v>46</v>
      </c>
      <c r="E636" s="28">
        <v>45270</v>
      </c>
      <c r="F636" s="4">
        <v>21</v>
      </c>
      <c r="G636" s="4">
        <v>39</v>
      </c>
      <c r="H636" s="6">
        <v>424224.16715754935</v>
      </c>
      <c r="I636" s="6">
        <f t="shared" si="134"/>
        <v>448256.20149812935</v>
      </c>
      <c r="J636" s="6">
        <v>0</v>
      </c>
      <c r="K636" s="6">
        <v>0</v>
      </c>
      <c r="L636" s="6">
        <f t="shared" si="123"/>
        <v>0</v>
      </c>
      <c r="M636" s="7">
        <v>1.89E-2</v>
      </c>
      <c r="N636" s="7">
        <f t="shared" si="132"/>
        <v>1.89E-2</v>
      </c>
      <c r="O636" s="7">
        <f t="shared" si="121"/>
        <v>0</v>
      </c>
      <c r="P636" s="6">
        <f t="shared" si="122"/>
        <v>872480.3686556787</v>
      </c>
      <c r="Q636" s="6">
        <f t="shared" si="133"/>
        <v>23293035.171367813</v>
      </c>
      <c r="R636" s="4" t="str">
        <f t="shared" ca="1" si="131"/>
        <v>OK</v>
      </c>
      <c r="S636" s="6">
        <v>829310.48</v>
      </c>
      <c r="T636" s="5">
        <v>45301</v>
      </c>
      <c r="U636" s="30" t="str">
        <f t="shared" si="119"/>
        <v>PAGADO</v>
      </c>
    </row>
    <row r="637" spans="1:21" x14ac:dyDescent="0.25">
      <c r="A637" s="4" t="str">
        <f t="shared" si="120"/>
        <v>20241</v>
      </c>
      <c r="B637" s="4" t="s">
        <v>24</v>
      </c>
      <c r="C637" s="4" t="s">
        <v>40</v>
      </c>
      <c r="D637" s="29" t="s">
        <v>46</v>
      </c>
      <c r="E637" s="28">
        <v>45301</v>
      </c>
      <c r="F637" s="4">
        <v>22</v>
      </c>
      <c r="G637" s="4">
        <v>38</v>
      </c>
      <c r="H637" s="6">
        <v>431032.96504042798</v>
      </c>
      <c r="I637" s="6">
        <f t="shared" si="134"/>
        <v>440238.36473885167</v>
      </c>
      <c r="J637" s="6">
        <v>0</v>
      </c>
      <c r="K637" s="6">
        <v>0</v>
      </c>
      <c r="L637" s="6">
        <f t="shared" si="123"/>
        <v>43169.888655678718</v>
      </c>
      <c r="M637" s="7">
        <v>1.89E-2</v>
      </c>
      <c r="N637" s="7">
        <f t="shared" si="132"/>
        <v>1.89E-2</v>
      </c>
      <c r="O637" s="7">
        <f t="shared" si="121"/>
        <v>0</v>
      </c>
      <c r="P637" s="6">
        <f t="shared" si="122"/>
        <v>914441.21843495837</v>
      </c>
      <c r="Q637" s="6">
        <f t="shared" si="133"/>
        <v>22862002.206327386</v>
      </c>
      <c r="R637" s="4" t="str">
        <f t="shared" ca="1" si="131"/>
        <v>OK</v>
      </c>
      <c r="S637" s="6">
        <v>1000000</v>
      </c>
      <c r="T637" s="5">
        <v>45332</v>
      </c>
      <c r="U637" s="30" t="str">
        <f t="shared" si="119"/>
        <v>PAGADO</v>
      </c>
    </row>
    <row r="638" spans="1:21" x14ac:dyDescent="0.25">
      <c r="A638" s="4" t="str">
        <f t="shared" si="120"/>
        <v>20242</v>
      </c>
      <c r="B638" s="4" t="s">
        <v>24</v>
      </c>
      <c r="C638" s="4" t="s">
        <v>40</v>
      </c>
      <c r="D638" s="29" t="s">
        <v>46</v>
      </c>
      <c r="E638" s="28">
        <v>45332</v>
      </c>
      <c r="F638" s="4">
        <v>23</v>
      </c>
      <c r="G638" s="4">
        <v>37</v>
      </c>
      <c r="H638" s="6">
        <v>437951.04412932682</v>
      </c>
      <c r="I638" s="6">
        <f t="shared" si="134"/>
        <v>432091.84169958759</v>
      </c>
      <c r="J638" s="6">
        <v>0</v>
      </c>
      <c r="K638" s="6">
        <v>0</v>
      </c>
      <c r="L638" s="6">
        <f t="shared" si="123"/>
        <v>0</v>
      </c>
      <c r="M638" s="7">
        <v>1.89E-2</v>
      </c>
      <c r="N638" s="7">
        <f t="shared" si="132"/>
        <v>1.89E-2</v>
      </c>
      <c r="O638" s="7">
        <f t="shared" si="121"/>
        <v>0</v>
      </c>
      <c r="P638" s="6">
        <f t="shared" si="122"/>
        <v>870042.88582891435</v>
      </c>
      <c r="Q638" s="6">
        <f t="shared" si="133"/>
        <v>22424051.162198059</v>
      </c>
      <c r="R638" s="4" t="str">
        <f t="shared" ca="1" si="131"/>
        <v>OK</v>
      </c>
      <c r="S638" s="6">
        <v>851966</v>
      </c>
      <c r="T638" s="5">
        <v>45359</v>
      </c>
      <c r="U638" s="30" t="str">
        <f t="shared" si="119"/>
        <v>PAGADO</v>
      </c>
    </row>
    <row r="639" spans="1:21" x14ac:dyDescent="0.25">
      <c r="A639" s="4" t="str">
        <f t="shared" si="120"/>
        <v>20243</v>
      </c>
      <c r="B639" s="4" t="s">
        <v>24</v>
      </c>
      <c r="C639" s="4" t="s">
        <v>40</v>
      </c>
      <c r="D639" s="29" t="s">
        <v>46</v>
      </c>
      <c r="E639" s="28">
        <v>45361</v>
      </c>
      <c r="F639" s="4">
        <v>24</v>
      </c>
      <c r="G639" s="4">
        <v>36</v>
      </c>
      <c r="H639" s="6">
        <v>444980.15838760248</v>
      </c>
      <c r="I639" s="6">
        <f t="shared" si="134"/>
        <v>423814.56696554332</v>
      </c>
      <c r="J639" s="6">
        <v>0</v>
      </c>
      <c r="K639" s="6">
        <v>0</v>
      </c>
      <c r="L639" s="6">
        <f t="shared" si="123"/>
        <v>18076.885828914354</v>
      </c>
      <c r="M639" s="7">
        <v>1.89E-2</v>
      </c>
      <c r="N639" s="7">
        <f t="shared" si="132"/>
        <v>1.89E-2</v>
      </c>
      <c r="O639" s="7">
        <f t="shared" si="121"/>
        <v>0</v>
      </c>
      <c r="P639" s="6">
        <f t="shared" si="122"/>
        <v>886871.61118206009</v>
      </c>
      <c r="Q639" s="6">
        <f t="shared" si="133"/>
        <v>21979071.003810458</v>
      </c>
      <c r="R639" s="4" t="str">
        <f t="shared" ca="1" si="131"/>
        <v>OK</v>
      </c>
      <c r="S639" s="6">
        <v>936129</v>
      </c>
      <c r="T639" s="5">
        <v>45392</v>
      </c>
      <c r="U639" s="30" t="str">
        <f t="shared" si="119"/>
        <v>PAGADO</v>
      </c>
    </row>
    <row r="640" spans="1:21" x14ac:dyDescent="0.25">
      <c r="A640" s="4" t="str">
        <f t="shared" si="120"/>
        <v>20244</v>
      </c>
      <c r="B640" s="4" t="s">
        <v>24</v>
      </c>
      <c r="C640" s="4" t="s">
        <v>40</v>
      </c>
      <c r="D640" s="29" t="s">
        <v>46</v>
      </c>
      <c r="E640" s="28">
        <v>45392</v>
      </c>
      <c r="F640" s="4">
        <v>25</v>
      </c>
      <c r="G640" s="4">
        <v>35</v>
      </c>
      <c r="H640" s="6">
        <v>452122.08992972347</v>
      </c>
      <c r="I640" s="6">
        <f t="shared" si="134"/>
        <v>415404.44197201764</v>
      </c>
      <c r="J640" s="6">
        <v>0</v>
      </c>
      <c r="K640" s="6">
        <v>0</v>
      </c>
      <c r="L640" s="6">
        <f t="shared" si="123"/>
        <v>0</v>
      </c>
      <c r="M640" s="7">
        <v>1.89E-2</v>
      </c>
      <c r="N640" s="7">
        <f t="shared" si="132"/>
        <v>1.89E-2</v>
      </c>
      <c r="O640" s="7">
        <f t="shared" si="121"/>
        <v>0</v>
      </c>
      <c r="P640" s="6">
        <f t="shared" si="122"/>
        <v>867526.53190174117</v>
      </c>
      <c r="Q640" s="6">
        <f t="shared" si="133"/>
        <v>21526948.913880736</v>
      </c>
      <c r="R640" s="4" t="str">
        <f t="shared" ca="1" si="131"/>
        <v>OK</v>
      </c>
      <c r="S640" s="6">
        <v>950000</v>
      </c>
      <c r="T640" s="5">
        <v>45427</v>
      </c>
      <c r="U640" s="30" t="str">
        <f t="shared" si="119"/>
        <v>PAGADO</v>
      </c>
    </row>
    <row r="641" spans="1:21" x14ac:dyDescent="0.25">
      <c r="A641" s="4" t="str">
        <f t="shared" si="120"/>
        <v>20245</v>
      </c>
      <c r="B641" s="4" t="s">
        <v>24</v>
      </c>
      <c r="C641" s="4" t="s">
        <v>40</v>
      </c>
      <c r="D641" s="29" t="s">
        <v>46</v>
      </c>
      <c r="E641" s="28">
        <v>45422</v>
      </c>
      <c r="F641" s="4">
        <v>26</v>
      </c>
      <c r="G641" s="4">
        <v>34</v>
      </c>
      <c r="H641" s="6">
        <v>459378.64947309549</v>
      </c>
      <c r="I641" s="6">
        <f>Q640*M641</f>
        <v>406859.33447234589</v>
      </c>
      <c r="J641" s="6">
        <v>0</v>
      </c>
      <c r="K641" s="6">
        <v>0</v>
      </c>
      <c r="L641" s="6">
        <f t="shared" si="123"/>
        <v>0</v>
      </c>
      <c r="M641" s="7">
        <v>1.89E-2</v>
      </c>
      <c r="N641" s="7">
        <f t="shared" si="132"/>
        <v>1.89E-2</v>
      </c>
      <c r="O641" s="7">
        <f t="shared" si="121"/>
        <v>0</v>
      </c>
      <c r="P641" s="6">
        <f t="shared" si="122"/>
        <v>866237.98394544143</v>
      </c>
      <c r="Q641" s="6">
        <f t="shared" si="133"/>
        <v>21067570.264407638</v>
      </c>
      <c r="R641" s="4" t="str">
        <f t="shared" ca="1" si="131"/>
        <v>OK</v>
      </c>
      <c r="S641" s="6">
        <v>0</v>
      </c>
      <c r="T641" s="5">
        <v>45427</v>
      </c>
      <c r="U641" s="30" t="str">
        <f t="shared" si="119"/>
        <v>PAGADO</v>
      </c>
    </row>
    <row r="642" spans="1:21" x14ac:dyDescent="0.25">
      <c r="A642" s="4" t="str">
        <f t="shared" si="120"/>
        <v>20246</v>
      </c>
      <c r="B642" s="4" t="s">
        <v>24</v>
      </c>
      <c r="C642" s="4" t="s">
        <v>40</v>
      </c>
      <c r="D642" s="29" t="s">
        <v>46</v>
      </c>
      <c r="E642" s="28">
        <v>45453</v>
      </c>
      <c r="F642" s="4">
        <v>27</v>
      </c>
      <c r="G642" s="4">
        <v>33</v>
      </c>
      <c r="H642" s="6">
        <v>466751.67679713864</v>
      </c>
      <c r="I642" s="6">
        <f t="shared" si="134"/>
        <v>398177.07799730438</v>
      </c>
      <c r="J642" s="6">
        <v>0</v>
      </c>
      <c r="K642" s="6">
        <v>0</v>
      </c>
      <c r="L642" s="6">
        <f t="shared" si="123"/>
        <v>866237.98394544143</v>
      </c>
      <c r="M642" s="7">
        <v>1.89E-2</v>
      </c>
      <c r="N642" s="7">
        <f t="shared" si="132"/>
        <v>1.89E-2</v>
      </c>
      <c r="O642" s="7">
        <f t="shared" si="121"/>
        <v>0</v>
      </c>
      <c r="P642" s="6">
        <f t="shared" si="122"/>
        <v>1731166.7387398845</v>
      </c>
      <c r="Q642" s="6">
        <f t="shared" si="133"/>
        <v>20600818.587610498</v>
      </c>
      <c r="R642" s="4" t="str">
        <f t="shared" ca="1" si="131"/>
        <v>OK</v>
      </c>
      <c r="S642" s="6">
        <v>1750514</v>
      </c>
      <c r="T642" s="5">
        <v>45456</v>
      </c>
      <c r="U642" s="30" t="str">
        <f t="shared" ref="U642:U705" si="135">IF(AND(S642="",T642=""),"PENDIENTE",IF(AND(S642&lt;&gt;"",T642&lt;&gt;""),"PAGADO","ABONADO"))</f>
        <v>PAGADO</v>
      </c>
    </row>
    <row r="643" spans="1:21" x14ac:dyDescent="0.25">
      <c r="A643" s="4" t="str">
        <f t="shared" ref="A643:A706" si="136">CONCATENATE(YEAR($E643),MONTH($E643))</f>
        <v>20247</v>
      </c>
      <c r="B643" s="4" t="s">
        <v>24</v>
      </c>
      <c r="C643" s="4" t="s">
        <v>40</v>
      </c>
      <c r="D643" s="29" t="s">
        <v>46</v>
      </c>
      <c r="E643" s="28">
        <v>45483</v>
      </c>
      <c r="F643" s="4">
        <v>28</v>
      </c>
      <c r="G643" s="4">
        <v>32</v>
      </c>
      <c r="H643" s="6">
        <v>474243.04120973265</v>
      </c>
      <c r="I643" s="6">
        <f t="shared" si="134"/>
        <v>389355.47130583844</v>
      </c>
      <c r="J643" s="6">
        <v>0</v>
      </c>
      <c r="K643" s="6">
        <v>0</v>
      </c>
      <c r="L643" s="6">
        <f t="shared" si="123"/>
        <v>0</v>
      </c>
      <c r="M643" s="7">
        <v>1.89E-2</v>
      </c>
      <c r="N643" s="7">
        <f t="shared" si="132"/>
        <v>1.89E-2</v>
      </c>
      <c r="O643" s="7">
        <f t="shared" si="121"/>
        <v>0</v>
      </c>
      <c r="P643" s="6">
        <f t="shared" si="122"/>
        <v>863598.51251557108</v>
      </c>
      <c r="Q643" s="6">
        <f t="shared" si="133"/>
        <v>20126575.546400767</v>
      </c>
      <c r="R643" s="4" t="str">
        <f t="shared" ca="1" si="131"/>
        <v>OK</v>
      </c>
      <c r="S643" s="6">
        <v>916775.01</v>
      </c>
      <c r="T643" s="5">
        <v>45505</v>
      </c>
      <c r="U643" s="30" t="str">
        <f t="shared" si="135"/>
        <v>PAGADO</v>
      </c>
    </row>
    <row r="644" spans="1:21" x14ac:dyDescent="0.25">
      <c r="A644" s="4" t="str">
        <f t="shared" si="136"/>
        <v>20248</v>
      </c>
      <c r="B644" s="4" t="s">
        <v>24</v>
      </c>
      <c r="C644" s="4" t="s">
        <v>40</v>
      </c>
      <c r="D644" s="29" t="s">
        <v>46</v>
      </c>
      <c r="E644" s="28">
        <v>45514</v>
      </c>
      <c r="F644" s="4">
        <v>29</v>
      </c>
      <c r="G644" s="4">
        <v>31</v>
      </c>
      <c r="H644" s="6">
        <v>481854.64202114881</v>
      </c>
      <c r="I644" s="6">
        <f t="shared" si="134"/>
        <v>380392.27782697452</v>
      </c>
      <c r="J644" s="6">
        <v>0</v>
      </c>
      <c r="K644" s="6">
        <v>0</v>
      </c>
      <c r="L644" s="6">
        <f t="shared" si="123"/>
        <v>0</v>
      </c>
      <c r="M644" s="7">
        <v>1.89E-2</v>
      </c>
      <c r="N644" s="7">
        <f t="shared" si="132"/>
        <v>1.89E-2</v>
      </c>
      <c r="O644" s="7">
        <f t="shared" si="121"/>
        <v>0</v>
      </c>
      <c r="P644" s="6">
        <f t="shared" si="122"/>
        <v>862246.91984812333</v>
      </c>
      <c r="Q644" s="6">
        <f t="shared" si="133"/>
        <v>19644720.904379617</v>
      </c>
      <c r="R644" s="4">
        <f t="shared" ca="1" si="131"/>
        <v>24</v>
      </c>
      <c r="S644" s="6"/>
      <c r="T644" s="5"/>
      <c r="U644" s="30" t="str">
        <f t="shared" si="135"/>
        <v>PENDIENTE</v>
      </c>
    </row>
    <row r="645" spans="1:21" x14ac:dyDescent="0.25">
      <c r="A645" s="4" t="str">
        <f t="shared" si="136"/>
        <v>20249</v>
      </c>
      <c r="B645" s="4" t="s">
        <v>24</v>
      </c>
      <c r="C645" s="4" t="s">
        <v>40</v>
      </c>
      <c r="D645" s="29" t="s">
        <v>46</v>
      </c>
      <c r="E645" s="28">
        <v>45545</v>
      </c>
      <c r="F645" s="4">
        <v>30</v>
      </c>
      <c r="G645" s="4">
        <v>30</v>
      </c>
      <c r="H645" s="6">
        <v>489588.40902558819</v>
      </c>
      <c r="I645" s="6">
        <f t="shared" si="134"/>
        <v>371285.22509277478</v>
      </c>
      <c r="J645" s="6">
        <v>0</v>
      </c>
      <c r="K645" s="6">
        <v>0</v>
      </c>
      <c r="L645" s="6">
        <f t="shared" si="123"/>
        <v>0</v>
      </c>
      <c r="M645" s="7">
        <v>1.89E-2</v>
      </c>
      <c r="N645" s="7">
        <f t="shared" si="132"/>
        <v>1.89E-2</v>
      </c>
      <c r="O645" s="7">
        <f t="shared" si="121"/>
        <v>0</v>
      </c>
      <c r="P645" s="6">
        <f t="shared" si="122"/>
        <v>860873.63411836303</v>
      </c>
      <c r="Q645" s="6">
        <f t="shared" si="133"/>
        <v>19155132.49535403</v>
      </c>
      <c r="R645" s="4">
        <f t="shared" ca="1" si="131"/>
        <v>24</v>
      </c>
      <c r="S645" s="6"/>
      <c r="T645" s="5"/>
      <c r="U645" s="30" t="str">
        <f t="shared" si="135"/>
        <v>PENDIENTE</v>
      </c>
    </row>
    <row r="646" spans="1:21" x14ac:dyDescent="0.25">
      <c r="A646" s="4" t="str">
        <f t="shared" si="136"/>
        <v>202410</v>
      </c>
      <c r="B646" s="4" t="s">
        <v>24</v>
      </c>
      <c r="C646" s="4" t="s">
        <v>40</v>
      </c>
      <c r="D646" s="29" t="s">
        <v>46</v>
      </c>
      <c r="E646" s="28">
        <v>45575</v>
      </c>
      <c r="F646" s="4">
        <v>31</v>
      </c>
      <c r="G646" s="4">
        <v>29</v>
      </c>
      <c r="H646" s="6">
        <v>497446.30299044884</v>
      </c>
      <c r="I646" s="6">
        <f t="shared" si="134"/>
        <v>362032.00416219118</v>
      </c>
      <c r="J646" s="6">
        <v>0</v>
      </c>
      <c r="K646" s="6">
        <v>0</v>
      </c>
      <c r="L646" s="6">
        <f t="shared" si="123"/>
        <v>0</v>
      </c>
      <c r="M646" s="7">
        <v>1.89E-2</v>
      </c>
      <c r="N646" s="7">
        <f t="shared" si="132"/>
        <v>1.89E-2</v>
      </c>
      <c r="O646" s="7">
        <f t="shared" si="121"/>
        <v>0</v>
      </c>
      <c r="P646" s="6">
        <f t="shared" si="122"/>
        <v>859478.30715264007</v>
      </c>
      <c r="Q646" s="6">
        <f t="shared" si="133"/>
        <v>18657686.192363583</v>
      </c>
      <c r="R646" s="4">
        <f t="shared" ca="1" si="131"/>
        <v>-7</v>
      </c>
      <c r="S646" s="6"/>
      <c r="T646" s="5"/>
      <c r="U646" s="30" t="str">
        <f t="shared" si="135"/>
        <v>PENDIENTE</v>
      </c>
    </row>
    <row r="647" spans="1:21" x14ac:dyDescent="0.25">
      <c r="A647" s="4" t="str">
        <f t="shared" si="136"/>
        <v>202411</v>
      </c>
      <c r="B647" s="4" t="s">
        <v>24</v>
      </c>
      <c r="C647" s="4" t="s">
        <v>40</v>
      </c>
      <c r="D647" s="29" t="s">
        <v>46</v>
      </c>
      <c r="E647" s="28">
        <v>45606</v>
      </c>
      <c r="F647" s="4">
        <v>32</v>
      </c>
      <c r="G647" s="4">
        <v>28</v>
      </c>
      <c r="H647" s="6">
        <v>505430.31615344551</v>
      </c>
      <c r="I647" s="6">
        <f t="shared" si="134"/>
        <v>352630.26903567172</v>
      </c>
      <c r="J647" s="6">
        <v>0</v>
      </c>
      <c r="K647" s="6">
        <v>0</v>
      </c>
      <c r="L647" s="6">
        <f t="shared" si="123"/>
        <v>0</v>
      </c>
      <c r="M647" s="7">
        <v>1.89E-2</v>
      </c>
      <c r="N647" s="7">
        <f t="shared" si="132"/>
        <v>1.89E-2</v>
      </c>
      <c r="O647" s="7">
        <f t="shared" si="121"/>
        <v>0</v>
      </c>
      <c r="P647" s="6">
        <f t="shared" si="122"/>
        <v>858060.58518911724</v>
      </c>
      <c r="Q647" s="6">
        <f t="shared" si="133"/>
        <v>18152255.876210138</v>
      </c>
      <c r="R647" s="4">
        <f t="shared" ca="1" si="131"/>
        <v>-37</v>
      </c>
      <c r="S647" s="6"/>
      <c r="T647" s="5"/>
      <c r="U647" s="30" t="str">
        <f t="shared" si="135"/>
        <v>PENDIENTE</v>
      </c>
    </row>
    <row r="648" spans="1:21" x14ac:dyDescent="0.25">
      <c r="A648" s="4" t="str">
        <f t="shared" si="136"/>
        <v>202412</v>
      </c>
      <c r="B648" s="4" t="s">
        <v>24</v>
      </c>
      <c r="C648" s="4" t="s">
        <v>40</v>
      </c>
      <c r="D648" s="29" t="s">
        <v>46</v>
      </c>
      <c r="E648" s="28">
        <v>45636</v>
      </c>
      <c r="F648" s="4">
        <v>33</v>
      </c>
      <c r="G648" s="4">
        <v>27</v>
      </c>
      <c r="H648" s="6">
        <v>513542.47272770829</v>
      </c>
      <c r="I648" s="6">
        <f t="shared" si="134"/>
        <v>343077.63606037159</v>
      </c>
      <c r="J648" s="6">
        <v>0</v>
      </c>
      <c r="K648" s="6">
        <v>0</v>
      </c>
      <c r="L648" s="6">
        <f t="shared" si="123"/>
        <v>0</v>
      </c>
      <c r="M648" s="7">
        <v>1.89E-2</v>
      </c>
      <c r="N648" s="7">
        <f t="shared" si="132"/>
        <v>1.89E-2</v>
      </c>
      <c r="O648" s="7">
        <f t="shared" si="121"/>
        <v>0</v>
      </c>
      <c r="P648" s="6">
        <f t="shared" si="122"/>
        <v>856620.10878807981</v>
      </c>
      <c r="Q648" s="6">
        <f t="shared" si="133"/>
        <v>17638713.40348243</v>
      </c>
      <c r="R648" s="4">
        <f t="shared" ca="1" si="131"/>
        <v>-68</v>
      </c>
      <c r="S648" s="6"/>
      <c r="T648" s="5"/>
      <c r="U648" s="30" t="str">
        <f t="shared" si="135"/>
        <v>PENDIENTE</v>
      </c>
    </row>
    <row r="649" spans="1:21" x14ac:dyDescent="0.25">
      <c r="A649" s="4" t="str">
        <f t="shared" si="136"/>
        <v>20251</v>
      </c>
      <c r="B649" s="4" t="s">
        <v>24</v>
      </c>
      <c r="C649" s="4" t="s">
        <v>40</v>
      </c>
      <c r="D649" s="29" t="s">
        <v>46</v>
      </c>
      <c r="E649" s="28">
        <v>45667</v>
      </c>
      <c r="F649" s="4">
        <v>34</v>
      </c>
      <c r="G649" s="4">
        <v>26</v>
      </c>
      <c r="H649" s="6">
        <v>521784.82941498794</v>
      </c>
      <c r="I649" s="6">
        <f t="shared" si="134"/>
        <v>333371.68332581792</v>
      </c>
      <c r="J649" s="6">
        <v>0</v>
      </c>
      <c r="K649" s="6">
        <v>0</v>
      </c>
      <c r="L649" s="6">
        <f t="shared" si="123"/>
        <v>0</v>
      </c>
      <c r="M649" s="7">
        <v>1.89E-2</v>
      </c>
      <c r="N649" s="7">
        <f t="shared" si="132"/>
        <v>1.89E-2</v>
      </c>
      <c r="O649" s="7">
        <f t="shared" si="121"/>
        <v>0</v>
      </c>
      <c r="P649" s="6">
        <f t="shared" si="122"/>
        <v>855156.51274080586</v>
      </c>
      <c r="Q649" s="6">
        <f t="shared" si="133"/>
        <v>17116928.574067444</v>
      </c>
      <c r="R649" s="4">
        <f t="shared" ca="1" si="131"/>
        <v>-98</v>
      </c>
      <c r="S649" s="6"/>
      <c r="T649" s="5"/>
      <c r="U649" s="30" t="str">
        <f t="shared" si="135"/>
        <v>PENDIENTE</v>
      </c>
    </row>
    <row r="650" spans="1:21" x14ac:dyDescent="0.25">
      <c r="A650" s="4" t="str">
        <f t="shared" si="136"/>
        <v>20252</v>
      </c>
      <c r="B650" s="4" t="s">
        <v>24</v>
      </c>
      <c r="C650" s="4" t="s">
        <v>40</v>
      </c>
      <c r="D650" s="29" t="s">
        <v>46</v>
      </c>
      <c r="E650" s="28">
        <v>45698</v>
      </c>
      <c r="F650" s="4">
        <v>35</v>
      </c>
      <c r="G650" s="4">
        <v>25</v>
      </c>
      <c r="H650" s="6">
        <v>530159.47592709842</v>
      </c>
      <c r="I650" s="6">
        <f t="shared" si="134"/>
        <v>323509.95004987466</v>
      </c>
      <c r="J650" s="6">
        <v>0</v>
      </c>
      <c r="K650" s="6">
        <v>0</v>
      </c>
      <c r="L650" s="6">
        <f t="shared" si="123"/>
        <v>0</v>
      </c>
      <c r="M650" s="7">
        <v>1.89E-2</v>
      </c>
      <c r="N650" s="7">
        <f t="shared" si="132"/>
        <v>1.89E-2</v>
      </c>
      <c r="O650" s="7">
        <f t="shared" ref="O650:O713" si="137">IF(N650="","",(N650/M650)-1)</f>
        <v>0</v>
      </c>
      <c r="P650" s="6">
        <f t="shared" ref="P650:P713" si="138">IFERROR(H650+I650+J650+K650+L650,"")</f>
        <v>853669.42597697303</v>
      </c>
      <c r="Q650" s="6">
        <f t="shared" si="133"/>
        <v>16586769.098140346</v>
      </c>
      <c r="R650" s="4">
        <f t="shared" ca="1" si="131"/>
        <v>-129</v>
      </c>
      <c r="S650" s="6"/>
      <c r="T650" s="5"/>
      <c r="U650" s="30" t="str">
        <f t="shared" si="135"/>
        <v>PENDIENTE</v>
      </c>
    </row>
    <row r="651" spans="1:21" x14ac:dyDescent="0.25">
      <c r="A651" s="4" t="str">
        <f t="shared" si="136"/>
        <v>20253</v>
      </c>
      <c r="B651" s="4" t="s">
        <v>24</v>
      </c>
      <c r="C651" s="4" t="s">
        <v>40</v>
      </c>
      <c r="D651" s="29" t="s">
        <v>46</v>
      </c>
      <c r="E651" s="28">
        <v>45726</v>
      </c>
      <c r="F651" s="4">
        <v>36</v>
      </c>
      <c r="G651" s="4">
        <v>24</v>
      </c>
      <c r="H651" s="6">
        <v>538668.53551572829</v>
      </c>
      <c r="I651" s="6">
        <f t="shared" si="134"/>
        <v>313489.93595485255</v>
      </c>
      <c r="J651" s="6">
        <v>0</v>
      </c>
      <c r="K651" s="6">
        <v>0</v>
      </c>
      <c r="L651" s="6">
        <f t="shared" si="123"/>
        <v>0</v>
      </c>
      <c r="M651" s="7">
        <v>1.89E-2</v>
      </c>
      <c r="N651" s="7">
        <f t="shared" si="132"/>
        <v>1.89E-2</v>
      </c>
      <c r="O651" s="7">
        <f t="shared" si="137"/>
        <v>0</v>
      </c>
      <c r="P651" s="6">
        <f t="shared" si="138"/>
        <v>852158.4714705809</v>
      </c>
      <c r="Q651" s="6">
        <f t="shared" si="133"/>
        <v>16048100.562624618</v>
      </c>
      <c r="R651" s="4">
        <f t="shared" ca="1" si="131"/>
        <v>-160</v>
      </c>
      <c r="S651" s="6"/>
      <c r="T651" s="5"/>
      <c r="U651" s="30" t="str">
        <f t="shared" si="135"/>
        <v>PENDIENTE</v>
      </c>
    </row>
    <row r="652" spans="1:21" x14ac:dyDescent="0.25">
      <c r="A652" s="4" t="str">
        <f t="shared" si="136"/>
        <v>20254</v>
      </c>
      <c r="B652" s="4" t="s">
        <v>24</v>
      </c>
      <c r="C652" s="4" t="s">
        <v>40</v>
      </c>
      <c r="D652" s="29" t="s">
        <v>46</v>
      </c>
      <c r="E652" s="28">
        <v>45757</v>
      </c>
      <c r="F652" s="4">
        <v>37</v>
      </c>
      <c r="G652" s="4">
        <v>23</v>
      </c>
      <c r="H652" s="6">
        <v>547314.16551075573</v>
      </c>
      <c r="I652" s="6">
        <f t="shared" si="134"/>
        <v>303309.10063360527</v>
      </c>
      <c r="J652" s="6">
        <v>0</v>
      </c>
      <c r="K652" s="6">
        <v>0</v>
      </c>
      <c r="L652" s="6">
        <f t="shared" si="123"/>
        <v>0</v>
      </c>
      <c r="M652" s="7">
        <v>1.89E-2</v>
      </c>
      <c r="N652" s="7">
        <f t="shared" si="132"/>
        <v>1.89E-2</v>
      </c>
      <c r="O652" s="7">
        <f t="shared" si="137"/>
        <v>0</v>
      </c>
      <c r="P652" s="6">
        <f t="shared" si="138"/>
        <v>850623.266144361</v>
      </c>
      <c r="Q652" s="6">
        <f t="shared" si="133"/>
        <v>15500786.397113863</v>
      </c>
      <c r="R652" s="4">
        <f t="shared" ca="1" si="131"/>
        <v>-188</v>
      </c>
      <c r="S652" s="6"/>
      <c r="T652" s="5"/>
      <c r="U652" s="30" t="str">
        <f t="shared" si="135"/>
        <v>PENDIENTE</v>
      </c>
    </row>
    <row r="653" spans="1:21" x14ac:dyDescent="0.25">
      <c r="A653" s="4" t="str">
        <f t="shared" si="136"/>
        <v>20255</v>
      </c>
      <c r="B653" s="4" t="s">
        <v>24</v>
      </c>
      <c r="C653" s="4" t="s">
        <v>40</v>
      </c>
      <c r="D653" s="29" t="s">
        <v>46</v>
      </c>
      <c r="E653" s="28">
        <v>45787</v>
      </c>
      <c r="F653" s="4">
        <v>38</v>
      </c>
      <c r="G653" s="4">
        <v>22</v>
      </c>
      <c r="H653" s="6">
        <v>556098.55786720326</v>
      </c>
      <c r="I653" s="6">
        <f t="shared" si="134"/>
        <v>292964.86290545203</v>
      </c>
      <c r="J653" s="6">
        <v>0</v>
      </c>
      <c r="K653" s="6">
        <v>0</v>
      </c>
      <c r="L653" s="6">
        <f t="shared" si="123"/>
        <v>0</v>
      </c>
      <c r="M653" s="7">
        <v>1.89E-2</v>
      </c>
      <c r="N653" s="7">
        <f t="shared" si="132"/>
        <v>1.89E-2</v>
      </c>
      <c r="O653" s="7">
        <f t="shared" si="137"/>
        <v>0</v>
      </c>
      <c r="P653" s="6">
        <f t="shared" si="138"/>
        <v>849063.42077265528</v>
      </c>
      <c r="Q653" s="6">
        <f t="shared" si="133"/>
        <v>14944687.83924666</v>
      </c>
      <c r="R653" s="4">
        <f t="shared" ca="1" si="131"/>
        <v>-219</v>
      </c>
      <c r="S653" s="6"/>
      <c r="T653" s="5"/>
      <c r="U653" s="30" t="str">
        <f t="shared" si="135"/>
        <v>PENDIENTE</v>
      </c>
    </row>
    <row r="654" spans="1:21" x14ac:dyDescent="0.25">
      <c r="A654" s="4" t="str">
        <f t="shared" si="136"/>
        <v>20256</v>
      </c>
      <c r="B654" s="4" t="s">
        <v>24</v>
      </c>
      <c r="C654" s="4" t="s">
        <v>40</v>
      </c>
      <c r="D654" s="29" t="s">
        <v>46</v>
      </c>
      <c r="E654" s="28">
        <v>45818</v>
      </c>
      <c r="F654" s="4">
        <v>39</v>
      </c>
      <c r="G654" s="4">
        <v>21</v>
      </c>
      <c r="H654" s="6">
        <v>565023.93972097186</v>
      </c>
      <c r="I654" s="6">
        <f t="shared" si="134"/>
        <v>282454.60016176186</v>
      </c>
      <c r="J654" s="6">
        <v>0</v>
      </c>
      <c r="K654" s="6">
        <v>0</v>
      </c>
      <c r="L654" s="6">
        <f t="shared" si="123"/>
        <v>0</v>
      </c>
      <c r="M654" s="7">
        <v>1.89E-2</v>
      </c>
      <c r="N654" s="7">
        <f t="shared" si="132"/>
        <v>1.89E-2</v>
      </c>
      <c r="O654" s="7">
        <f t="shared" si="137"/>
        <v>0</v>
      </c>
      <c r="P654" s="6">
        <f t="shared" si="138"/>
        <v>847478.53988273372</v>
      </c>
      <c r="Q654" s="6">
        <f t="shared" si="133"/>
        <v>14379663.899525689</v>
      </c>
      <c r="R654" s="4">
        <f t="shared" ca="1" si="131"/>
        <v>-249</v>
      </c>
      <c r="S654" s="6"/>
      <c r="T654" s="5"/>
      <c r="U654" s="30" t="str">
        <f t="shared" si="135"/>
        <v>PENDIENTE</v>
      </c>
    </row>
    <row r="655" spans="1:21" x14ac:dyDescent="0.25">
      <c r="A655" s="4" t="str">
        <f t="shared" si="136"/>
        <v>20257</v>
      </c>
      <c r="B655" s="4" t="s">
        <v>24</v>
      </c>
      <c r="C655" s="4" t="s">
        <v>40</v>
      </c>
      <c r="D655" s="29" t="s">
        <v>46</v>
      </c>
      <c r="E655" s="28">
        <v>45848</v>
      </c>
      <c r="F655" s="4">
        <v>40</v>
      </c>
      <c r="G655" s="4">
        <v>20</v>
      </c>
      <c r="H655" s="6">
        <v>574092.57395349338</v>
      </c>
      <c r="I655" s="6">
        <f t="shared" si="134"/>
        <v>271775.64770103554</v>
      </c>
      <c r="J655" s="6">
        <v>0</v>
      </c>
      <c r="K655" s="6">
        <v>0</v>
      </c>
      <c r="L655" s="6">
        <f t="shared" si="123"/>
        <v>0</v>
      </c>
      <c r="M655" s="7">
        <v>1.89E-2</v>
      </c>
      <c r="N655" s="7">
        <f t="shared" si="132"/>
        <v>1.89E-2</v>
      </c>
      <c r="O655" s="7">
        <f t="shared" si="137"/>
        <v>0</v>
      </c>
      <c r="P655" s="6">
        <f t="shared" si="138"/>
        <v>845868.22165452898</v>
      </c>
      <c r="Q655" s="6">
        <f t="shared" si="133"/>
        <v>13805571.325572196</v>
      </c>
      <c r="R655" s="4">
        <f t="shared" ca="1" si="131"/>
        <v>-280</v>
      </c>
      <c r="S655" s="6"/>
      <c r="T655" s="5"/>
      <c r="U655" s="30" t="str">
        <f t="shared" si="135"/>
        <v>PENDIENTE</v>
      </c>
    </row>
    <row r="656" spans="1:21" x14ac:dyDescent="0.25">
      <c r="A656" s="4" t="str">
        <f t="shared" si="136"/>
        <v>20258</v>
      </c>
      <c r="B656" s="4" t="s">
        <v>24</v>
      </c>
      <c r="C656" s="4" t="s">
        <v>40</v>
      </c>
      <c r="D656" s="29" t="s">
        <v>46</v>
      </c>
      <c r="E656" s="28">
        <v>45879</v>
      </c>
      <c r="F656" s="4">
        <v>41</v>
      </c>
      <c r="G656" s="4">
        <v>19</v>
      </c>
      <c r="H656" s="6">
        <v>583306.75976544688</v>
      </c>
      <c r="I656" s="6">
        <f t="shared" si="134"/>
        <v>260925.2980533145</v>
      </c>
      <c r="J656" s="6">
        <v>0</v>
      </c>
      <c r="K656" s="6">
        <v>0</v>
      </c>
      <c r="L656" s="6">
        <f t="shared" si="123"/>
        <v>0</v>
      </c>
      <c r="M656" s="7">
        <v>1.89E-2</v>
      </c>
      <c r="N656" s="7">
        <f t="shared" si="132"/>
        <v>1.89E-2</v>
      </c>
      <c r="O656" s="7">
        <f t="shared" si="137"/>
        <v>0</v>
      </c>
      <c r="P656" s="6">
        <f t="shared" si="138"/>
        <v>844232.05781876133</v>
      </c>
      <c r="Q656" s="6">
        <f t="shared" si="133"/>
        <v>13222264.56580675</v>
      </c>
      <c r="R656" s="4">
        <f t="shared" ca="1" si="131"/>
        <v>-310</v>
      </c>
      <c r="S656" s="6"/>
      <c r="T656" s="5"/>
      <c r="U656" s="30" t="str">
        <f t="shared" si="135"/>
        <v>PENDIENTE</v>
      </c>
    </row>
    <row r="657" spans="1:21" x14ac:dyDescent="0.25">
      <c r="A657" s="4" t="str">
        <f t="shared" si="136"/>
        <v>20259</v>
      </c>
      <c r="B657" s="4" t="s">
        <v>24</v>
      </c>
      <c r="C657" s="4" t="s">
        <v>40</v>
      </c>
      <c r="D657" s="29" t="s">
        <v>46</v>
      </c>
      <c r="E657" s="28">
        <v>45910</v>
      </c>
      <c r="F657" s="4">
        <v>42</v>
      </c>
      <c r="G657" s="4">
        <v>18</v>
      </c>
      <c r="H657" s="6">
        <v>592668.83325968229</v>
      </c>
      <c r="I657" s="6">
        <f t="shared" si="134"/>
        <v>249900.80029374757</v>
      </c>
      <c r="J657" s="6">
        <v>0</v>
      </c>
      <c r="K657" s="6">
        <v>0</v>
      </c>
      <c r="L657" s="6">
        <f t="shared" si="123"/>
        <v>0</v>
      </c>
      <c r="M657" s="7">
        <v>1.89E-2</v>
      </c>
      <c r="N657" s="7">
        <f t="shared" si="132"/>
        <v>1.89E-2</v>
      </c>
      <c r="O657" s="7">
        <f t="shared" si="137"/>
        <v>0</v>
      </c>
      <c r="P657" s="6">
        <f t="shared" si="138"/>
        <v>842569.63355342986</v>
      </c>
      <c r="Q657" s="6">
        <f t="shared" si="133"/>
        <v>12629595.732547067</v>
      </c>
      <c r="R657" s="4">
        <f t="shared" ca="1" si="131"/>
        <v>-341</v>
      </c>
      <c r="S657" s="6"/>
      <c r="T657" s="5"/>
      <c r="U657" s="30" t="str">
        <f t="shared" si="135"/>
        <v>PENDIENTE</v>
      </c>
    </row>
    <row r="658" spans="1:21" x14ac:dyDescent="0.25">
      <c r="A658" s="4" t="str">
        <f t="shared" si="136"/>
        <v>202510</v>
      </c>
      <c r="B658" s="4" t="s">
        <v>24</v>
      </c>
      <c r="C658" s="4" t="s">
        <v>40</v>
      </c>
      <c r="D658" s="29" t="s">
        <v>46</v>
      </c>
      <c r="E658" s="28">
        <v>45940</v>
      </c>
      <c r="F658" s="4">
        <v>43</v>
      </c>
      <c r="G658" s="4">
        <v>17</v>
      </c>
      <c r="H658" s="6">
        <v>602181.16803350009</v>
      </c>
      <c r="I658" s="6">
        <f t="shared" si="134"/>
        <v>238699.35934513956</v>
      </c>
      <c r="J658" s="6">
        <v>0</v>
      </c>
      <c r="K658" s="6">
        <v>0</v>
      </c>
      <c r="L658" s="6">
        <f t="shared" si="123"/>
        <v>0</v>
      </c>
      <c r="M658" s="7">
        <v>1.89E-2</v>
      </c>
      <c r="N658" s="7">
        <f t="shared" si="132"/>
        <v>1.89E-2</v>
      </c>
      <c r="O658" s="7">
        <f t="shared" si="137"/>
        <v>0</v>
      </c>
      <c r="P658" s="6">
        <f t="shared" si="138"/>
        <v>840880.52737863967</v>
      </c>
      <c r="Q658" s="6">
        <f t="shared" si="133"/>
        <v>12027414.564513568</v>
      </c>
      <c r="R658" s="4">
        <f t="shared" ca="1" si="131"/>
        <v>-372</v>
      </c>
      <c r="S658" s="6"/>
      <c r="T658" s="5"/>
      <c r="U658" s="30" t="str">
        <f t="shared" si="135"/>
        <v>PENDIENTE</v>
      </c>
    </row>
    <row r="659" spans="1:21" x14ac:dyDescent="0.25">
      <c r="A659" s="4" t="str">
        <f t="shared" si="136"/>
        <v>202511</v>
      </c>
      <c r="B659" s="4" t="s">
        <v>24</v>
      </c>
      <c r="C659" s="4" t="s">
        <v>40</v>
      </c>
      <c r="D659" s="29" t="s">
        <v>46</v>
      </c>
      <c r="E659" s="28">
        <v>45971</v>
      </c>
      <c r="F659" s="4">
        <v>44</v>
      </c>
      <c r="G659" s="4">
        <v>16</v>
      </c>
      <c r="H659" s="6">
        <v>611846.17578043765</v>
      </c>
      <c r="I659" s="6">
        <f t="shared" si="134"/>
        <v>227318.13526930643</v>
      </c>
      <c r="J659" s="6">
        <v>0</v>
      </c>
      <c r="K659" s="6">
        <v>0</v>
      </c>
      <c r="L659" s="6">
        <f t="shared" si="123"/>
        <v>0</v>
      </c>
      <c r="M659" s="7">
        <v>1.89E-2</v>
      </c>
      <c r="N659" s="7">
        <f t="shared" si="132"/>
        <v>1.89E-2</v>
      </c>
      <c r="O659" s="7">
        <f t="shared" si="137"/>
        <v>0</v>
      </c>
      <c r="P659" s="6">
        <f t="shared" si="138"/>
        <v>839164.31104974402</v>
      </c>
      <c r="Q659" s="6">
        <f t="shared" si="133"/>
        <v>11415568.38873313</v>
      </c>
      <c r="R659" s="4">
        <f t="shared" ca="1" si="131"/>
        <v>-402</v>
      </c>
      <c r="S659" s="6"/>
      <c r="T659" s="5"/>
      <c r="U659" s="30" t="str">
        <f t="shared" si="135"/>
        <v>PENDIENTE</v>
      </c>
    </row>
    <row r="660" spans="1:21" x14ac:dyDescent="0.25">
      <c r="A660" s="4" t="str">
        <f t="shared" si="136"/>
        <v>202512</v>
      </c>
      <c r="B660" s="4" t="s">
        <v>24</v>
      </c>
      <c r="C660" s="4" t="s">
        <v>40</v>
      </c>
      <c r="D660" s="29" t="s">
        <v>46</v>
      </c>
      <c r="E660" s="28">
        <v>46001</v>
      </c>
      <c r="F660" s="4">
        <v>45</v>
      </c>
      <c r="G660" s="4">
        <v>15</v>
      </c>
      <c r="H660" s="6">
        <v>621666.3069017136</v>
      </c>
      <c r="I660" s="6">
        <f t="shared" si="134"/>
        <v>215754.24254705617</v>
      </c>
      <c r="J660" s="6">
        <v>0</v>
      </c>
      <c r="K660" s="6">
        <v>0</v>
      </c>
      <c r="L660" s="6">
        <f t="shared" si="123"/>
        <v>0</v>
      </c>
      <c r="M660" s="7">
        <v>1.89E-2</v>
      </c>
      <c r="N660" s="7">
        <f t="shared" si="132"/>
        <v>1.89E-2</v>
      </c>
      <c r="O660" s="7">
        <f t="shared" si="137"/>
        <v>0</v>
      </c>
      <c r="P660" s="6">
        <f t="shared" si="138"/>
        <v>837420.54944876977</v>
      </c>
      <c r="Q660" s="6">
        <f t="shared" si="133"/>
        <v>10793902.081831416</v>
      </c>
      <c r="R660" s="4">
        <f t="shared" ca="1" si="131"/>
        <v>-433</v>
      </c>
      <c r="S660" s="6"/>
      <c r="T660" s="5"/>
      <c r="U660" s="30" t="str">
        <f t="shared" si="135"/>
        <v>PENDIENTE</v>
      </c>
    </row>
    <row r="661" spans="1:21" x14ac:dyDescent="0.25">
      <c r="A661" s="4" t="str">
        <f t="shared" si="136"/>
        <v>20261</v>
      </c>
      <c r="B661" s="4" t="s">
        <v>24</v>
      </c>
      <c r="C661" s="4" t="s">
        <v>40</v>
      </c>
      <c r="D661" s="29" t="s">
        <v>46</v>
      </c>
      <c r="E661" s="28">
        <v>46032</v>
      </c>
      <c r="F661" s="4">
        <v>46</v>
      </c>
      <c r="G661" s="4">
        <v>14</v>
      </c>
      <c r="H661" s="6">
        <v>631644.05112748605</v>
      </c>
      <c r="I661" s="6">
        <f t="shared" si="134"/>
        <v>204004.74934661377</v>
      </c>
      <c r="J661" s="6">
        <v>0</v>
      </c>
      <c r="K661" s="6">
        <v>0</v>
      </c>
      <c r="L661" s="6">
        <f t="shared" ref="L661:L724" si="139">IF(S660="",0,IF(S660&lt;=P660,P660-S660,0))</f>
        <v>0</v>
      </c>
      <c r="M661" s="7">
        <v>1.89E-2</v>
      </c>
      <c r="N661" s="7">
        <f t="shared" si="132"/>
        <v>1.89E-2</v>
      </c>
      <c r="O661" s="7">
        <f t="shared" si="137"/>
        <v>0</v>
      </c>
      <c r="P661" s="6">
        <f t="shared" si="138"/>
        <v>835648.80047409981</v>
      </c>
      <c r="Q661" s="6">
        <f t="shared" si="133"/>
        <v>10162258.03070393</v>
      </c>
      <c r="R661" s="4">
        <f t="shared" ca="1" si="131"/>
        <v>-463</v>
      </c>
      <c r="S661" s="6"/>
      <c r="T661" s="5"/>
      <c r="U661" s="30" t="str">
        <f t="shared" si="135"/>
        <v>PENDIENTE</v>
      </c>
    </row>
    <row r="662" spans="1:21" x14ac:dyDescent="0.25">
      <c r="A662" s="4" t="str">
        <f t="shared" si="136"/>
        <v>20262</v>
      </c>
      <c r="B662" s="4" t="s">
        <v>24</v>
      </c>
      <c r="C662" s="4" t="s">
        <v>40</v>
      </c>
      <c r="D662" s="29" t="s">
        <v>46</v>
      </c>
      <c r="E662" s="28">
        <v>46063</v>
      </c>
      <c r="F662" s="4">
        <v>47</v>
      </c>
      <c r="G662" s="4">
        <v>13</v>
      </c>
      <c r="H662" s="6">
        <v>641781.93814808212</v>
      </c>
      <c r="I662" s="6">
        <f t="shared" si="134"/>
        <v>192066.67678030429</v>
      </c>
      <c r="J662" s="6">
        <v>0</v>
      </c>
      <c r="K662" s="6">
        <v>0</v>
      </c>
      <c r="L662" s="6">
        <f t="shared" si="139"/>
        <v>0</v>
      </c>
      <c r="M662" s="7">
        <v>1.89E-2</v>
      </c>
      <c r="N662" s="7">
        <f t="shared" si="132"/>
        <v>1.89E-2</v>
      </c>
      <c r="O662" s="7">
        <f t="shared" si="137"/>
        <v>0</v>
      </c>
      <c r="P662" s="6">
        <f t="shared" si="138"/>
        <v>833848.61492838641</v>
      </c>
      <c r="Q662" s="6">
        <f t="shared" si="133"/>
        <v>9520476.0925558489</v>
      </c>
      <c r="R662" s="4">
        <f t="shared" ca="1" si="131"/>
        <v>-494</v>
      </c>
      <c r="S662" s="6"/>
      <c r="T662" s="5"/>
      <c r="U662" s="30" t="str">
        <f t="shared" si="135"/>
        <v>PENDIENTE</v>
      </c>
    </row>
    <row r="663" spans="1:21" x14ac:dyDescent="0.25">
      <c r="A663" s="4" t="str">
        <f t="shared" si="136"/>
        <v>20263</v>
      </c>
      <c r="B663" s="4" t="s">
        <v>24</v>
      </c>
      <c r="C663" s="4" t="s">
        <v>40</v>
      </c>
      <c r="D663" s="29" t="s">
        <v>46</v>
      </c>
      <c r="E663" s="28">
        <v>46091</v>
      </c>
      <c r="F663" s="4">
        <v>48</v>
      </c>
      <c r="G663" s="4">
        <v>12</v>
      </c>
      <c r="H663" s="6">
        <v>652082.53825535881</v>
      </c>
      <c r="I663" s="6">
        <f t="shared" si="134"/>
        <v>179936.99814930555</v>
      </c>
      <c r="J663" s="6">
        <v>0</v>
      </c>
      <c r="K663" s="6">
        <v>0</v>
      </c>
      <c r="L663" s="6">
        <f t="shared" si="139"/>
        <v>0</v>
      </c>
      <c r="M663" s="7">
        <v>1.89E-2</v>
      </c>
      <c r="N663" s="7">
        <f t="shared" si="132"/>
        <v>1.89E-2</v>
      </c>
      <c r="O663" s="7">
        <f t="shared" si="137"/>
        <v>0</v>
      </c>
      <c r="P663" s="6">
        <f t="shared" si="138"/>
        <v>832019.5364046644</v>
      </c>
      <c r="Q663" s="6">
        <f t="shared" si="133"/>
        <v>8868393.5543004908</v>
      </c>
      <c r="R663" s="4">
        <f t="shared" ca="1" si="131"/>
        <v>-525</v>
      </c>
      <c r="S663" s="6"/>
      <c r="T663" s="5"/>
      <c r="U663" s="30" t="str">
        <f t="shared" si="135"/>
        <v>PENDIENTE</v>
      </c>
    </row>
    <row r="664" spans="1:21" x14ac:dyDescent="0.25">
      <c r="A664" s="4" t="str">
        <f t="shared" si="136"/>
        <v>20264</v>
      </c>
      <c r="B664" s="4" t="s">
        <v>24</v>
      </c>
      <c r="C664" s="4" t="s">
        <v>40</v>
      </c>
      <c r="D664" s="29" t="s">
        <v>46</v>
      </c>
      <c r="E664" s="28">
        <v>46122</v>
      </c>
      <c r="F664" s="4">
        <v>49</v>
      </c>
      <c r="G664" s="4">
        <v>11</v>
      </c>
      <c r="H664" s="6">
        <v>662548.46299435722</v>
      </c>
      <c r="I664" s="6">
        <f t="shared" si="134"/>
        <v>167612.63817627929</v>
      </c>
      <c r="J664" s="6">
        <v>0</v>
      </c>
      <c r="K664" s="6">
        <v>0</v>
      </c>
      <c r="L664" s="6">
        <f t="shared" si="139"/>
        <v>0</v>
      </c>
      <c r="M664" s="7">
        <v>1.89E-2</v>
      </c>
      <c r="N664" s="7">
        <f t="shared" si="132"/>
        <v>1.89E-2</v>
      </c>
      <c r="O664" s="7">
        <f t="shared" si="137"/>
        <v>0</v>
      </c>
      <c r="P664" s="6">
        <f t="shared" si="138"/>
        <v>830161.10117063648</v>
      </c>
      <c r="Q664" s="6">
        <f t="shared" si="133"/>
        <v>8205845.0913061332</v>
      </c>
      <c r="R664" s="4">
        <f t="shared" ca="1" si="131"/>
        <v>-553</v>
      </c>
      <c r="S664" s="6"/>
      <c r="T664" s="5"/>
      <c r="U664" s="30" t="str">
        <f t="shared" si="135"/>
        <v>PENDIENTE</v>
      </c>
    </row>
    <row r="665" spans="1:21" x14ac:dyDescent="0.25">
      <c r="A665" s="4" t="str">
        <f t="shared" si="136"/>
        <v>20265</v>
      </c>
      <c r="B665" s="4" t="s">
        <v>24</v>
      </c>
      <c r="C665" s="4" t="s">
        <v>40</v>
      </c>
      <c r="D665" s="29" t="s">
        <v>46</v>
      </c>
      <c r="E665" s="28">
        <v>46152</v>
      </c>
      <c r="F665" s="4">
        <v>50</v>
      </c>
      <c r="G665" s="4">
        <v>10</v>
      </c>
      <c r="H665" s="6">
        <v>673182.36582541664</v>
      </c>
      <c r="I665" s="6">
        <f t="shared" si="134"/>
        <v>155090.47222568592</v>
      </c>
      <c r="J665" s="6">
        <v>0</v>
      </c>
      <c r="K665" s="6">
        <v>0</v>
      </c>
      <c r="L665" s="6">
        <f t="shared" si="139"/>
        <v>0</v>
      </c>
      <c r="M665" s="7">
        <v>1.89E-2</v>
      </c>
      <c r="N665" s="7">
        <f t="shared" si="132"/>
        <v>1.89E-2</v>
      </c>
      <c r="O665" s="7">
        <f t="shared" si="137"/>
        <v>0</v>
      </c>
      <c r="P665" s="6">
        <f t="shared" si="138"/>
        <v>828272.83805110259</v>
      </c>
      <c r="Q665" s="6">
        <f t="shared" si="133"/>
        <v>7532662.7254807167</v>
      </c>
      <c r="R665" s="4">
        <f t="shared" ca="1" si="131"/>
        <v>-584</v>
      </c>
      <c r="S665" s="6"/>
      <c r="T665" s="5"/>
      <c r="U665" s="30" t="str">
        <f t="shared" si="135"/>
        <v>PENDIENTE</v>
      </c>
    </row>
    <row r="666" spans="1:21" x14ac:dyDescent="0.25">
      <c r="A666" s="4" t="str">
        <f t="shared" si="136"/>
        <v>20266</v>
      </c>
      <c r="B666" s="4" t="s">
        <v>24</v>
      </c>
      <c r="C666" s="4" t="s">
        <v>40</v>
      </c>
      <c r="D666" s="29" t="s">
        <v>46</v>
      </c>
      <c r="E666" s="28">
        <v>46183</v>
      </c>
      <c r="F666" s="4">
        <v>51</v>
      </c>
      <c r="G666" s="4">
        <v>9</v>
      </c>
      <c r="H666" s="6">
        <v>683986.94279691449</v>
      </c>
      <c r="I666" s="6">
        <f t="shared" si="134"/>
        <v>142367.32551158554</v>
      </c>
      <c r="J666" s="6">
        <v>0</v>
      </c>
      <c r="K666" s="6">
        <v>0</v>
      </c>
      <c r="L666" s="6">
        <f t="shared" si="139"/>
        <v>0</v>
      </c>
      <c r="M666" s="7">
        <v>1.89E-2</v>
      </c>
      <c r="N666" s="7">
        <f t="shared" si="132"/>
        <v>1.89E-2</v>
      </c>
      <c r="O666" s="7">
        <f t="shared" si="137"/>
        <v>0</v>
      </c>
      <c r="P666" s="6">
        <f t="shared" si="138"/>
        <v>826354.26830850006</v>
      </c>
      <c r="Q666" s="6">
        <f t="shared" si="133"/>
        <v>6848675.7826838018</v>
      </c>
      <c r="R666" s="4">
        <f t="shared" ca="1" si="131"/>
        <v>-614</v>
      </c>
      <c r="S666" s="6"/>
      <c r="T666" s="5"/>
      <c r="U666" s="30" t="str">
        <f t="shared" si="135"/>
        <v>PENDIENTE</v>
      </c>
    </row>
    <row r="667" spans="1:21" x14ac:dyDescent="0.25">
      <c r="A667" s="4" t="str">
        <f t="shared" si="136"/>
        <v>20267</v>
      </c>
      <c r="B667" s="4" t="s">
        <v>24</v>
      </c>
      <c r="C667" s="4" t="s">
        <v>40</v>
      </c>
      <c r="D667" s="29" t="s">
        <v>46</v>
      </c>
      <c r="E667" s="28">
        <v>46213</v>
      </c>
      <c r="F667" s="4">
        <v>52</v>
      </c>
      <c r="G667" s="4">
        <v>8</v>
      </c>
      <c r="H667" s="6">
        <v>694964.93322880485</v>
      </c>
      <c r="I667" s="6">
        <f t="shared" si="134"/>
        <v>129439.97229272386</v>
      </c>
      <c r="J667" s="6">
        <v>0</v>
      </c>
      <c r="K667" s="6">
        <v>0</v>
      </c>
      <c r="L667" s="6">
        <f t="shared" si="139"/>
        <v>0</v>
      </c>
      <c r="M667" s="7">
        <v>1.89E-2</v>
      </c>
      <c r="N667" s="7">
        <f t="shared" si="132"/>
        <v>1.89E-2</v>
      </c>
      <c r="O667" s="7">
        <f t="shared" si="137"/>
        <v>0</v>
      </c>
      <c r="P667" s="6">
        <f t="shared" si="138"/>
        <v>824404.90552152868</v>
      </c>
      <c r="Q667" s="6">
        <f t="shared" si="133"/>
        <v>6153710.8494549971</v>
      </c>
      <c r="R667" s="4">
        <f t="shared" ca="1" si="131"/>
        <v>-645</v>
      </c>
      <c r="S667" s="6"/>
      <c r="T667" s="5"/>
      <c r="U667" s="30" t="str">
        <f t="shared" si="135"/>
        <v>PENDIENTE</v>
      </c>
    </row>
    <row r="668" spans="1:21" x14ac:dyDescent="0.25">
      <c r="A668" s="4" t="str">
        <f t="shared" si="136"/>
        <v>20268</v>
      </c>
      <c r="B668" s="4" t="s">
        <v>24</v>
      </c>
      <c r="C668" s="4" t="s">
        <v>40</v>
      </c>
      <c r="D668" s="29" t="s">
        <v>46</v>
      </c>
      <c r="E668" s="28">
        <v>46244</v>
      </c>
      <c r="F668" s="4">
        <v>53</v>
      </c>
      <c r="G668" s="4">
        <v>7</v>
      </c>
      <c r="H668" s="6">
        <v>706119.12040712708</v>
      </c>
      <c r="I668" s="6">
        <f t="shared" si="134"/>
        <v>116305.13505469945</v>
      </c>
      <c r="J668" s="6">
        <v>0</v>
      </c>
      <c r="K668" s="6">
        <v>0</v>
      </c>
      <c r="L668" s="6">
        <f t="shared" si="139"/>
        <v>0</v>
      </c>
      <c r="M668" s="7">
        <v>1.89E-2</v>
      </c>
      <c r="N668" s="7">
        <f t="shared" si="132"/>
        <v>1.89E-2</v>
      </c>
      <c r="O668" s="7">
        <f t="shared" si="137"/>
        <v>0</v>
      </c>
      <c r="P668" s="6">
        <f t="shared" si="138"/>
        <v>822424.25546182657</v>
      </c>
      <c r="Q668" s="6">
        <f t="shared" si="133"/>
        <v>5447591.7290478703</v>
      </c>
      <c r="R668" s="4">
        <f t="shared" ca="1" si="131"/>
        <v>-675</v>
      </c>
      <c r="S668" s="6"/>
      <c r="T668" s="5"/>
      <c r="U668" s="30" t="str">
        <f t="shared" si="135"/>
        <v>PENDIENTE</v>
      </c>
    </row>
    <row r="669" spans="1:21" x14ac:dyDescent="0.25">
      <c r="A669" s="4" t="str">
        <f t="shared" si="136"/>
        <v>20269</v>
      </c>
      <c r="B669" s="4" t="s">
        <v>24</v>
      </c>
      <c r="C669" s="4" t="s">
        <v>40</v>
      </c>
      <c r="D669" s="29" t="s">
        <v>46</v>
      </c>
      <c r="E669" s="28">
        <v>46275</v>
      </c>
      <c r="F669" s="4">
        <v>54</v>
      </c>
      <c r="G669" s="4">
        <v>6</v>
      </c>
      <c r="H669" s="6">
        <v>717452.3322896614</v>
      </c>
      <c r="I669" s="6">
        <f t="shared" si="134"/>
        <v>102959.48367900476</v>
      </c>
      <c r="J669" s="6">
        <v>0</v>
      </c>
      <c r="K669" s="6">
        <v>0</v>
      </c>
      <c r="L669" s="6">
        <f t="shared" si="139"/>
        <v>0</v>
      </c>
      <c r="M669" s="7">
        <v>1.89E-2</v>
      </c>
      <c r="N669" s="7">
        <f t="shared" si="132"/>
        <v>1.89E-2</v>
      </c>
      <c r="O669" s="7">
        <f t="shared" si="137"/>
        <v>0</v>
      </c>
      <c r="P669" s="6">
        <f t="shared" si="138"/>
        <v>820411.81596866611</v>
      </c>
      <c r="Q669" s="6">
        <f t="shared" si="133"/>
        <v>4730139.396758209</v>
      </c>
      <c r="R669" s="4">
        <f t="shared" ca="1" si="131"/>
        <v>-706</v>
      </c>
      <c r="S669" s="6"/>
      <c r="T669" s="5"/>
      <c r="U669" s="30" t="str">
        <f t="shared" si="135"/>
        <v>PENDIENTE</v>
      </c>
    </row>
    <row r="670" spans="1:21" x14ac:dyDescent="0.25">
      <c r="A670" s="4" t="str">
        <f t="shared" si="136"/>
        <v>202610</v>
      </c>
      <c r="B670" s="4" t="s">
        <v>24</v>
      </c>
      <c r="C670" s="4" t="s">
        <v>40</v>
      </c>
      <c r="D670" s="29" t="s">
        <v>46</v>
      </c>
      <c r="E670" s="28">
        <v>46305</v>
      </c>
      <c r="F670" s="4">
        <v>55</v>
      </c>
      <c r="G670" s="4">
        <v>5</v>
      </c>
      <c r="H670" s="6">
        <v>728967.44222291035</v>
      </c>
      <c r="I670" s="6">
        <f t="shared" si="134"/>
        <v>89399.634598730147</v>
      </c>
      <c r="J670" s="6">
        <v>0</v>
      </c>
      <c r="K670" s="6">
        <v>0</v>
      </c>
      <c r="L670" s="6">
        <f t="shared" si="139"/>
        <v>0</v>
      </c>
      <c r="M670" s="7">
        <v>1.89E-2</v>
      </c>
      <c r="N670" s="7">
        <f t="shared" si="132"/>
        <v>1.89E-2</v>
      </c>
      <c r="O670" s="7">
        <f t="shared" si="137"/>
        <v>0</v>
      </c>
      <c r="P670" s="6">
        <f t="shared" si="138"/>
        <v>818367.07682164048</v>
      </c>
      <c r="Q670" s="6">
        <f t="shared" si="133"/>
        <v>4001171.9545352985</v>
      </c>
      <c r="R670" s="4">
        <f t="shared" ca="1" si="131"/>
        <v>-737</v>
      </c>
      <c r="S670" s="6"/>
      <c r="T670" s="5"/>
      <c r="U670" s="30" t="str">
        <f t="shared" si="135"/>
        <v>PENDIENTE</v>
      </c>
    </row>
    <row r="671" spans="1:21" x14ac:dyDescent="0.25">
      <c r="A671" s="4" t="str">
        <f t="shared" si="136"/>
        <v>202611</v>
      </c>
      <c r="B671" s="4" t="s">
        <v>24</v>
      </c>
      <c r="C671" s="4" t="s">
        <v>40</v>
      </c>
      <c r="D671" s="29" t="s">
        <v>46</v>
      </c>
      <c r="E671" s="28">
        <v>46336</v>
      </c>
      <c r="F671" s="4">
        <v>56</v>
      </c>
      <c r="G671" s="4">
        <v>4</v>
      </c>
      <c r="H671" s="6">
        <v>740667.36967058794</v>
      </c>
      <c r="I671" s="6">
        <f t="shared" si="134"/>
        <v>75622.149940717136</v>
      </c>
      <c r="J671" s="6">
        <v>0</v>
      </c>
      <c r="K671" s="6">
        <v>0</v>
      </c>
      <c r="L671" s="6">
        <f t="shared" si="139"/>
        <v>0</v>
      </c>
      <c r="M671" s="7">
        <v>1.89E-2</v>
      </c>
      <c r="N671" s="7">
        <f t="shared" si="132"/>
        <v>1.89E-2</v>
      </c>
      <c r="O671" s="7">
        <f t="shared" si="137"/>
        <v>0</v>
      </c>
      <c r="P671" s="6">
        <f t="shared" si="138"/>
        <v>816289.51961130509</v>
      </c>
      <c r="Q671" s="6">
        <f t="shared" si="133"/>
        <v>3260504.5848647105</v>
      </c>
      <c r="R671" s="4">
        <f t="shared" ca="1" si="131"/>
        <v>-767</v>
      </c>
      <c r="S671" s="6"/>
      <c r="T671" s="5"/>
      <c r="U671" s="30" t="str">
        <f t="shared" si="135"/>
        <v>PENDIENTE</v>
      </c>
    </row>
    <row r="672" spans="1:21" x14ac:dyDescent="0.25">
      <c r="A672" s="4" t="str">
        <f t="shared" si="136"/>
        <v>202612</v>
      </c>
      <c r="B672" s="4" t="s">
        <v>24</v>
      </c>
      <c r="C672" s="4" t="s">
        <v>40</v>
      </c>
      <c r="D672" s="29" t="s">
        <v>46</v>
      </c>
      <c r="E672" s="28">
        <v>46366</v>
      </c>
      <c r="F672" s="4">
        <v>57</v>
      </c>
      <c r="G672" s="4">
        <v>3</v>
      </c>
      <c r="H672" s="6">
        <v>752555.08095380082</v>
      </c>
      <c r="I672" s="6">
        <f t="shared" si="134"/>
        <v>61623.536653943025</v>
      </c>
      <c r="J672" s="6">
        <v>0</v>
      </c>
      <c r="K672" s="6">
        <v>0</v>
      </c>
      <c r="L672" s="6">
        <f t="shared" si="139"/>
        <v>0</v>
      </c>
      <c r="M672" s="7">
        <v>1.89E-2</v>
      </c>
      <c r="N672" s="7">
        <f t="shared" si="132"/>
        <v>1.89E-2</v>
      </c>
      <c r="O672" s="7">
        <f t="shared" si="137"/>
        <v>0</v>
      </c>
      <c r="P672" s="6">
        <f t="shared" si="138"/>
        <v>814178.61760774383</v>
      </c>
      <c r="Q672" s="6">
        <f t="shared" si="133"/>
        <v>2507949.5039109094</v>
      </c>
      <c r="R672" s="4">
        <f t="shared" ca="1" si="131"/>
        <v>-798</v>
      </c>
      <c r="S672" s="6"/>
      <c r="T672" s="5"/>
      <c r="U672" s="30" t="str">
        <f t="shared" si="135"/>
        <v>PENDIENTE</v>
      </c>
    </row>
    <row r="673" spans="1:21" x14ac:dyDescent="0.25">
      <c r="A673" s="4" t="str">
        <f t="shared" si="136"/>
        <v>20271</v>
      </c>
      <c r="B673" s="4" t="s">
        <v>24</v>
      </c>
      <c r="C673" s="4" t="s">
        <v>40</v>
      </c>
      <c r="D673" s="29" t="s">
        <v>46</v>
      </c>
      <c r="E673" s="28">
        <v>46397</v>
      </c>
      <c r="F673" s="4">
        <v>58</v>
      </c>
      <c r="G673" s="4">
        <v>2</v>
      </c>
      <c r="H673" s="6">
        <v>764633.59000310919</v>
      </c>
      <c r="I673" s="6">
        <f t="shared" si="134"/>
        <v>47400.245623916191</v>
      </c>
      <c r="J673" s="6">
        <v>0</v>
      </c>
      <c r="K673" s="6">
        <v>0</v>
      </c>
      <c r="L673" s="6">
        <f t="shared" si="139"/>
        <v>0</v>
      </c>
      <c r="M673" s="7">
        <v>1.89E-2</v>
      </c>
      <c r="N673" s="7">
        <f t="shared" si="132"/>
        <v>1.89E-2</v>
      </c>
      <c r="O673" s="7">
        <f t="shared" si="137"/>
        <v>0</v>
      </c>
      <c r="P673" s="6">
        <f t="shared" si="138"/>
        <v>812033.83562702534</v>
      </c>
      <c r="Q673" s="6">
        <f t="shared" si="133"/>
        <v>1743315.9139078003</v>
      </c>
      <c r="R673" s="4">
        <f t="shared" ca="1" si="131"/>
        <v>-828</v>
      </c>
      <c r="S673" s="6"/>
      <c r="T673" s="5"/>
      <c r="U673" s="30" t="str">
        <f t="shared" si="135"/>
        <v>PENDIENTE</v>
      </c>
    </row>
    <row r="674" spans="1:21" x14ac:dyDescent="0.25">
      <c r="A674" s="4" t="str">
        <f t="shared" si="136"/>
        <v>20272</v>
      </c>
      <c r="B674" s="4" t="s">
        <v>24</v>
      </c>
      <c r="C674" s="4" t="s">
        <v>40</v>
      </c>
      <c r="D674" s="29" t="s">
        <v>46</v>
      </c>
      <c r="E674" s="28">
        <v>46428</v>
      </c>
      <c r="F674" s="4">
        <v>59</v>
      </c>
      <c r="G674" s="4">
        <v>1</v>
      </c>
      <c r="H674" s="6">
        <v>776905.95912265906</v>
      </c>
      <c r="I674" s="6">
        <f t="shared" si="134"/>
        <v>32948.670772857426</v>
      </c>
      <c r="J674" s="6">
        <v>0</v>
      </c>
      <c r="K674" s="6">
        <v>0</v>
      </c>
      <c r="L674" s="6">
        <f t="shared" si="139"/>
        <v>0</v>
      </c>
      <c r="M674" s="7">
        <v>1.89E-2</v>
      </c>
      <c r="N674" s="7">
        <f t="shared" si="132"/>
        <v>1.89E-2</v>
      </c>
      <c r="O674" s="7">
        <f t="shared" si="137"/>
        <v>0</v>
      </c>
      <c r="P674" s="6">
        <f t="shared" si="138"/>
        <v>809854.62989551644</v>
      </c>
      <c r="Q674" s="6">
        <f t="shared" si="133"/>
        <v>966409.95478514128</v>
      </c>
      <c r="R674" s="4">
        <f t="shared" ca="1" si="131"/>
        <v>-859</v>
      </c>
      <c r="S674" s="6"/>
      <c r="T674" s="5"/>
      <c r="U674" s="30" t="str">
        <f t="shared" si="135"/>
        <v>PENDIENTE</v>
      </c>
    </row>
    <row r="675" spans="1:21" x14ac:dyDescent="0.25">
      <c r="A675" s="4" t="str">
        <f t="shared" si="136"/>
        <v>20273</v>
      </c>
      <c r="B675" s="4" t="s">
        <v>24</v>
      </c>
      <c r="C675" s="4" t="s">
        <v>40</v>
      </c>
      <c r="D675" s="29" t="s">
        <v>46</v>
      </c>
      <c r="E675" s="28">
        <v>46456</v>
      </c>
      <c r="F675" s="4">
        <v>60</v>
      </c>
      <c r="G675" s="4">
        <v>0</v>
      </c>
      <c r="H675" s="6">
        <v>789375.29976657766</v>
      </c>
      <c r="I675" s="6">
        <f t="shared" si="134"/>
        <v>18265.148145439169</v>
      </c>
      <c r="J675" s="6">
        <v>0</v>
      </c>
      <c r="K675" s="6">
        <v>0</v>
      </c>
      <c r="L675" s="6">
        <f t="shared" si="139"/>
        <v>0</v>
      </c>
      <c r="M675" s="7">
        <v>1.89E-2</v>
      </c>
      <c r="N675" s="7">
        <f t="shared" si="132"/>
        <v>1.89E-2</v>
      </c>
      <c r="O675" s="7">
        <f t="shared" si="137"/>
        <v>0</v>
      </c>
      <c r="P675" s="6">
        <f t="shared" si="138"/>
        <v>807640.44791201688</v>
      </c>
      <c r="Q675" s="6">
        <f t="shared" si="133"/>
        <v>177034.65501856362</v>
      </c>
      <c r="R675" s="4">
        <f t="shared" ca="1" si="131"/>
        <v>-890</v>
      </c>
      <c r="S675" s="6"/>
      <c r="T675" s="5"/>
      <c r="U675" s="30" t="str">
        <f t="shared" si="135"/>
        <v>PENDIENTE</v>
      </c>
    </row>
    <row r="676" spans="1:21" x14ac:dyDescent="0.25">
      <c r="A676" s="4" t="str">
        <f t="shared" si="136"/>
        <v>202212</v>
      </c>
      <c r="B676" s="4" t="s">
        <v>24</v>
      </c>
      <c r="C676" s="4" t="s">
        <v>40</v>
      </c>
      <c r="D676" s="29" t="s">
        <v>47</v>
      </c>
      <c r="E676" s="28">
        <v>44900</v>
      </c>
      <c r="F676" s="4">
        <v>0</v>
      </c>
      <c r="G676" s="4">
        <v>48</v>
      </c>
      <c r="H676" s="6">
        <v>366371</v>
      </c>
      <c r="I676" s="6">
        <v>131330</v>
      </c>
      <c r="J676" s="6">
        <v>0</v>
      </c>
      <c r="K676" s="6">
        <v>22900</v>
      </c>
      <c r="L676" s="6">
        <f t="shared" si="139"/>
        <v>0</v>
      </c>
      <c r="M676" s="7">
        <f>0.0073</f>
        <v>7.3000000000000001E-3</v>
      </c>
      <c r="N676" s="7">
        <f>I676/18081451</f>
        <v>7.2632445261168474E-3</v>
      </c>
      <c r="O676" s="7">
        <f t="shared" si="137"/>
        <v>-5.0349964223497246E-3</v>
      </c>
      <c r="P676" s="6">
        <f t="shared" si="138"/>
        <v>520601</v>
      </c>
      <c r="Q676" s="6">
        <f>18081451-H676</f>
        <v>17715080</v>
      </c>
      <c r="R676" s="4" t="s">
        <v>27</v>
      </c>
      <c r="S676" s="6">
        <v>550000</v>
      </c>
      <c r="T676" s="5">
        <v>44916</v>
      </c>
      <c r="U676" s="30" t="str">
        <f t="shared" si="135"/>
        <v>PAGADO</v>
      </c>
    </row>
    <row r="677" spans="1:21" x14ac:dyDescent="0.25">
      <c r="A677" s="4" t="str">
        <f t="shared" si="136"/>
        <v>20231</v>
      </c>
      <c r="B677" s="4" t="s">
        <v>24</v>
      </c>
      <c r="C677" s="4" t="s">
        <v>40</v>
      </c>
      <c r="D677" s="29" t="s">
        <v>47</v>
      </c>
      <c r="E677" s="28">
        <v>44931</v>
      </c>
      <c r="F677" s="4">
        <v>1</v>
      </c>
      <c r="G677" s="4">
        <v>47</v>
      </c>
      <c r="H677" s="6">
        <v>369119</v>
      </c>
      <c r="I677" s="6">
        <v>128582</v>
      </c>
      <c r="J677" s="6">
        <v>0</v>
      </c>
      <c r="K677" s="6">
        <v>22900</v>
      </c>
      <c r="L677" s="6">
        <f t="shared" si="139"/>
        <v>0</v>
      </c>
      <c r="M677" s="7">
        <f t="shared" ref="M677:M724" si="140">0.0073</f>
        <v>7.3000000000000001E-3</v>
      </c>
      <c r="N677" s="7">
        <f t="shared" si="132"/>
        <v>7.2583358359092935E-3</v>
      </c>
      <c r="O677" s="7">
        <f t="shared" si="137"/>
        <v>-5.7074197384529013E-3</v>
      </c>
      <c r="P677" s="6">
        <f t="shared" si="138"/>
        <v>520601</v>
      </c>
      <c r="Q677" s="6">
        <f>Q676-H677</f>
        <v>17345961</v>
      </c>
      <c r="R677" s="4" t="str">
        <f t="shared" ref="R677:R724" ca="1" si="141">IF(B676="","",IF(T676="",TODAY()-E676,IF(T677="",TODAY()-E677,"OK")))</f>
        <v>OK</v>
      </c>
      <c r="S677" s="6">
        <v>0</v>
      </c>
      <c r="T677" s="5">
        <v>44916</v>
      </c>
      <c r="U677" s="30" t="str">
        <f t="shared" si="135"/>
        <v>PAGADO</v>
      </c>
    </row>
    <row r="678" spans="1:21" x14ac:dyDescent="0.25">
      <c r="A678" s="4" t="str">
        <f t="shared" si="136"/>
        <v>20232</v>
      </c>
      <c r="B678" s="4" t="s">
        <v>24</v>
      </c>
      <c r="C678" s="4" t="s">
        <v>40</v>
      </c>
      <c r="D678" s="29" t="s">
        <v>47</v>
      </c>
      <c r="E678" s="28">
        <v>44962</v>
      </c>
      <c r="F678" s="4">
        <v>2</v>
      </c>
      <c r="G678" s="4">
        <v>46</v>
      </c>
      <c r="H678" s="6">
        <v>371887</v>
      </c>
      <c r="I678" s="6">
        <v>125814</v>
      </c>
      <c r="J678" s="6">
        <v>0</v>
      </c>
      <c r="K678" s="6">
        <f>25900+21424+4071</f>
        <v>51395</v>
      </c>
      <c r="L678" s="6">
        <f t="shared" si="139"/>
        <v>520601</v>
      </c>
      <c r="M678" s="7">
        <f t="shared" si="140"/>
        <v>7.3000000000000001E-3</v>
      </c>
      <c r="N678" s="7">
        <f t="shared" si="132"/>
        <v>7.2532158927372196E-3</v>
      </c>
      <c r="O678" s="7">
        <f t="shared" si="137"/>
        <v>-6.4087818168192534E-3</v>
      </c>
      <c r="P678" s="6">
        <f t="shared" si="138"/>
        <v>1069697</v>
      </c>
      <c r="Q678" s="6">
        <f t="shared" ref="Q678:Q724" si="142">Q677-H678</f>
        <v>16974074</v>
      </c>
      <c r="R678" s="4" t="str">
        <f t="shared" ca="1" si="141"/>
        <v>OK</v>
      </c>
      <c r="S678" s="6">
        <v>1092893</v>
      </c>
      <c r="T678" s="5">
        <v>44949</v>
      </c>
      <c r="U678" s="30" t="str">
        <f t="shared" si="135"/>
        <v>PAGADO</v>
      </c>
    </row>
    <row r="679" spans="1:21" x14ac:dyDescent="0.25">
      <c r="A679" s="4" t="str">
        <f t="shared" si="136"/>
        <v>20233</v>
      </c>
      <c r="B679" s="4" t="s">
        <v>24</v>
      </c>
      <c r="C679" s="4" t="s">
        <v>40</v>
      </c>
      <c r="D679" s="29" t="s">
        <v>47</v>
      </c>
      <c r="E679" s="28">
        <v>44990</v>
      </c>
      <c r="F679" s="4">
        <v>3</v>
      </c>
      <c r="G679" s="4">
        <v>45</v>
      </c>
      <c r="H679" s="6">
        <f>374677</f>
        <v>374677</v>
      </c>
      <c r="I679" s="6">
        <v>123024</v>
      </c>
      <c r="J679" s="6">
        <v>0</v>
      </c>
      <c r="K679" s="6">
        <v>25900</v>
      </c>
      <c r="L679" s="6">
        <f t="shared" si="139"/>
        <v>0</v>
      </c>
      <c r="M679" s="7">
        <f t="shared" si="140"/>
        <v>7.3000000000000001E-3</v>
      </c>
      <c r="N679" s="7">
        <f t="shared" si="132"/>
        <v>7.247759141382322E-3</v>
      </c>
      <c r="O679" s="7">
        <f t="shared" si="137"/>
        <v>-7.1562820024216878E-3</v>
      </c>
      <c r="P679" s="6">
        <f t="shared" si="138"/>
        <v>523601</v>
      </c>
      <c r="Q679" s="6">
        <f t="shared" si="142"/>
        <v>16599397</v>
      </c>
      <c r="R679" s="4" t="str">
        <f t="shared" ca="1" si="141"/>
        <v>OK</v>
      </c>
      <c r="S679" s="6">
        <v>0</v>
      </c>
      <c r="T679" s="5">
        <v>44949</v>
      </c>
      <c r="U679" s="30" t="str">
        <f t="shared" si="135"/>
        <v>PAGADO</v>
      </c>
    </row>
    <row r="680" spans="1:21" x14ac:dyDescent="0.25">
      <c r="A680" s="4" t="str">
        <f t="shared" si="136"/>
        <v>20234</v>
      </c>
      <c r="B680" s="4" t="s">
        <v>24</v>
      </c>
      <c r="C680" s="4" t="s">
        <v>40</v>
      </c>
      <c r="D680" s="29" t="s">
        <v>47</v>
      </c>
      <c r="E680" s="28">
        <v>45021</v>
      </c>
      <c r="F680" s="4">
        <v>4</v>
      </c>
      <c r="G680" s="4">
        <v>44</v>
      </c>
      <c r="H680" s="6">
        <v>377487</v>
      </c>
      <c r="I680" s="6">
        <v>120214</v>
      </c>
      <c r="J680" s="6">
        <v>0</v>
      </c>
      <c r="K680" s="6">
        <v>25900</v>
      </c>
      <c r="L680" s="6">
        <f t="shared" si="139"/>
        <v>523601</v>
      </c>
      <c r="M680" s="7">
        <f t="shared" si="140"/>
        <v>7.3000000000000001E-3</v>
      </c>
      <c r="N680" s="7">
        <f t="shared" si="132"/>
        <v>7.2420702993006309E-3</v>
      </c>
      <c r="O680" s="7">
        <f t="shared" si="137"/>
        <v>-7.9355754382697263E-3</v>
      </c>
      <c r="P680" s="6">
        <f t="shared" si="138"/>
        <v>1047202</v>
      </c>
      <c r="Q680" s="6">
        <f t="shared" si="142"/>
        <v>16221910</v>
      </c>
      <c r="R680" s="4" t="str">
        <f t="shared" ca="1" si="141"/>
        <v>OK</v>
      </c>
      <c r="S680" s="6">
        <v>683000</v>
      </c>
      <c r="T680" s="5">
        <v>45045</v>
      </c>
      <c r="U680" s="30" t="str">
        <f t="shared" si="135"/>
        <v>PAGADO</v>
      </c>
    </row>
    <row r="681" spans="1:21" x14ac:dyDescent="0.25">
      <c r="A681" s="4" t="str">
        <f t="shared" si="136"/>
        <v>20235</v>
      </c>
      <c r="B681" s="4" t="s">
        <v>24</v>
      </c>
      <c r="C681" s="4" t="s">
        <v>40</v>
      </c>
      <c r="D681" s="29" t="s">
        <v>47</v>
      </c>
      <c r="E681" s="28">
        <v>45051</v>
      </c>
      <c r="F681" s="4">
        <v>5</v>
      </c>
      <c r="G681" s="4">
        <v>43</v>
      </c>
      <c r="H681" s="6">
        <v>380318</v>
      </c>
      <c r="I681" s="6">
        <v>117383</v>
      </c>
      <c r="J681" s="6">
        <v>0</v>
      </c>
      <c r="K681" s="6">
        <v>25900</v>
      </c>
      <c r="L681" s="6">
        <f t="shared" si="139"/>
        <v>364202</v>
      </c>
      <c r="M681" s="7">
        <f t="shared" si="140"/>
        <v>7.3000000000000001E-3</v>
      </c>
      <c r="N681" s="7">
        <f t="shared" si="132"/>
        <v>7.2360776258775942E-3</v>
      </c>
      <c r="O681" s="7">
        <f t="shared" si="137"/>
        <v>-8.7564896058089925E-3</v>
      </c>
      <c r="P681" s="6">
        <f t="shared" si="138"/>
        <v>887803</v>
      </c>
      <c r="Q681" s="6">
        <f t="shared" si="142"/>
        <v>15841592</v>
      </c>
      <c r="R681" s="4" t="str">
        <f t="shared" ca="1" si="141"/>
        <v>OK</v>
      </c>
      <c r="S681" s="6">
        <v>0</v>
      </c>
      <c r="T681" s="5">
        <v>45045</v>
      </c>
      <c r="U681" s="30" t="str">
        <f t="shared" si="135"/>
        <v>PAGADO</v>
      </c>
    </row>
    <row r="682" spans="1:21" x14ac:dyDescent="0.25">
      <c r="A682" s="4" t="str">
        <f t="shared" si="136"/>
        <v>20236</v>
      </c>
      <c r="B682" s="4" t="s">
        <v>24</v>
      </c>
      <c r="C682" s="4" t="s">
        <v>40</v>
      </c>
      <c r="D682" s="29" t="s">
        <v>47</v>
      </c>
      <c r="E682" s="28">
        <v>45082</v>
      </c>
      <c r="F682" s="4">
        <v>6</v>
      </c>
      <c r="G682" s="4">
        <v>42</v>
      </c>
      <c r="H682" s="6">
        <v>383170</v>
      </c>
      <c r="I682" s="6">
        <v>114531</v>
      </c>
      <c r="J682" s="6">
        <v>0</v>
      </c>
      <c r="K682" s="6">
        <v>25900</v>
      </c>
      <c r="L682" s="6">
        <f t="shared" si="139"/>
        <v>887803</v>
      </c>
      <c r="M682" s="7">
        <f t="shared" si="140"/>
        <v>7.3000000000000001E-3</v>
      </c>
      <c r="N682" s="7">
        <f t="shared" si="132"/>
        <v>7.2297657962659308E-3</v>
      </c>
      <c r="O682" s="7">
        <f t="shared" si="137"/>
        <v>-9.6211237991875587E-3</v>
      </c>
      <c r="P682" s="6">
        <f t="shared" si="138"/>
        <v>1411404</v>
      </c>
      <c r="Q682" s="6">
        <f t="shared" si="142"/>
        <v>15458422</v>
      </c>
      <c r="R682" s="4" t="str">
        <f t="shared" ca="1" si="141"/>
        <v>OK</v>
      </c>
      <c r="S682" s="6">
        <v>0</v>
      </c>
      <c r="T682" s="5">
        <v>45045</v>
      </c>
      <c r="U682" s="30" t="str">
        <f t="shared" si="135"/>
        <v>PAGADO</v>
      </c>
    </row>
    <row r="683" spans="1:21" x14ac:dyDescent="0.25">
      <c r="A683" s="4" t="str">
        <f t="shared" si="136"/>
        <v>20237</v>
      </c>
      <c r="B683" s="4" t="s">
        <v>24</v>
      </c>
      <c r="C683" s="4" t="s">
        <v>40</v>
      </c>
      <c r="D683" s="29" t="s">
        <v>47</v>
      </c>
      <c r="E683" s="28">
        <v>45112</v>
      </c>
      <c r="F683" s="4">
        <v>7</v>
      </c>
      <c r="G683" s="4">
        <v>41</v>
      </c>
      <c r="H683" s="6">
        <v>314507.61998641962</v>
      </c>
      <c r="I683" s="6">
        <f>Q682*0.0072</f>
        <v>111300.6384</v>
      </c>
      <c r="J683" s="6">
        <v>0</v>
      </c>
      <c r="K683" s="6">
        <v>25900</v>
      </c>
      <c r="L683" s="6">
        <f t="shared" si="139"/>
        <v>1411404</v>
      </c>
      <c r="M683" s="7">
        <f t="shared" si="140"/>
        <v>7.3000000000000001E-3</v>
      </c>
      <c r="N683" s="7">
        <f t="shared" si="132"/>
        <v>7.1999999999999998E-3</v>
      </c>
      <c r="O683" s="7">
        <f t="shared" si="137"/>
        <v>-1.3698630136986356E-2</v>
      </c>
      <c r="P683" s="6">
        <f t="shared" si="138"/>
        <v>1863112.2583864196</v>
      </c>
      <c r="Q683" s="6">
        <f t="shared" si="142"/>
        <v>15143914.38001358</v>
      </c>
      <c r="R683" s="4" t="str">
        <f t="shared" ca="1" si="141"/>
        <v>OK</v>
      </c>
      <c r="S683" s="6">
        <v>1800000</v>
      </c>
      <c r="T683" s="5">
        <v>45112</v>
      </c>
      <c r="U683" s="30" t="str">
        <f t="shared" si="135"/>
        <v>PAGADO</v>
      </c>
    </row>
    <row r="684" spans="1:21" x14ac:dyDescent="0.25">
      <c r="A684" s="4" t="str">
        <f t="shared" si="136"/>
        <v>20238</v>
      </c>
      <c r="B684" s="4" t="s">
        <v>24</v>
      </c>
      <c r="C684" s="4" t="s">
        <v>40</v>
      </c>
      <c r="D684" s="29" t="s">
        <v>47</v>
      </c>
      <c r="E684" s="28">
        <v>45143</v>
      </c>
      <c r="F684" s="4">
        <v>8</v>
      </c>
      <c r="G684" s="4">
        <v>40</v>
      </c>
      <c r="H684" s="6">
        <f t="shared" ref="H684:H724" si="143">H683*1.007498</f>
        <v>316865.79812107782</v>
      </c>
      <c r="I684" s="6">
        <v>168747.94349250256</v>
      </c>
      <c r="J684" s="6">
        <v>0</v>
      </c>
      <c r="K684" s="6">
        <v>25900</v>
      </c>
      <c r="L684" s="6">
        <f t="shared" si="139"/>
        <v>63112.25838641962</v>
      </c>
      <c r="M684" s="7">
        <f t="shared" si="140"/>
        <v>7.3000000000000001E-3</v>
      </c>
      <c r="N684" s="7">
        <f t="shared" si="132"/>
        <v>1.1142954143692884E-2</v>
      </c>
      <c r="O684" s="7">
        <f t="shared" si="137"/>
        <v>0.52643207447847717</v>
      </c>
      <c r="P684" s="6">
        <f t="shared" si="138"/>
        <v>574626</v>
      </c>
      <c r="Q684" s="6">
        <f t="shared" si="142"/>
        <v>14827048.581892502</v>
      </c>
      <c r="R684" s="4" t="str">
        <f t="shared" ca="1" si="141"/>
        <v>OK</v>
      </c>
      <c r="S684" s="6">
        <v>0</v>
      </c>
      <c r="T684" s="5">
        <v>45143</v>
      </c>
      <c r="U684" s="30" t="str">
        <f t="shared" si="135"/>
        <v>PAGADO</v>
      </c>
    </row>
    <row r="685" spans="1:21" x14ac:dyDescent="0.25">
      <c r="A685" s="4" t="str">
        <f t="shared" si="136"/>
        <v>20239</v>
      </c>
      <c r="B685" s="4" t="s">
        <v>24</v>
      </c>
      <c r="C685" s="4" t="s">
        <v>40</v>
      </c>
      <c r="D685" s="29" t="s">
        <v>47</v>
      </c>
      <c r="E685" s="28">
        <v>45174</v>
      </c>
      <c r="F685" s="4">
        <v>9</v>
      </c>
      <c r="G685" s="4">
        <v>39</v>
      </c>
      <c r="H685" s="6">
        <v>422910</v>
      </c>
      <c r="I685" s="6">
        <v>105816</v>
      </c>
      <c r="J685" s="6">
        <f>20000+2121</f>
        <v>22121</v>
      </c>
      <c r="K685" s="6">
        <v>26900</v>
      </c>
      <c r="L685" s="6">
        <f t="shared" si="139"/>
        <v>574626</v>
      </c>
      <c r="M685" s="7">
        <f t="shared" si="140"/>
        <v>7.3000000000000001E-3</v>
      </c>
      <c r="N685" s="7">
        <f t="shared" si="132"/>
        <v>7.1366866720344833E-3</v>
      </c>
      <c r="O685" s="7">
        <f t="shared" si="137"/>
        <v>-2.2371688762399589E-2</v>
      </c>
      <c r="P685" s="6">
        <f>IFERROR(H685+I685+J685+K685+L685,"")</f>
        <v>1152373</v>
      </c>
      <c r="Q685" s="6">
        <f t="shared" si="142"/>
        <v>14404138.581892502</v>
      </c>
      <c r="R685" s="4" t="str">
        <f t="shared" ca="1" si="141"/>
        <v>OK</v>
      </c>
      <c r="S685" s="6">
        <v>0</v>
      </c>
      <c r="T685" s="5">
        <v>45174</v>
      </c>
      <c r="U685" s="30" t="str">
        <f t="shared" si="135"/>
        <v>PAGADO</v>
      </c>
    </row>
    <row r="686" spans="1:21" x14ac:dyDescent="0.25">
      <c r="A686" s="4" t="str">
        <f t="shared" si="136"/>
        <v>202310</v>
      </c>
      <c r="B686" s="4" t="s">
        <v>24</v>
      </c>
      <c r="C686" s="4" t="s">
        <v>40</v>
      </c>
      <c r="D686" s="29" t="s">
        <v>47</v>
      </c>
      <c r="E686" s="28">
        <v>45204</v>
      </c>
      <c r="F686" s="4">
        <v>10</v>
      </c>
      <c r="G686" s="4">
        <v>38</v>
      </c>
      <c r="H686" s="6">
        <f t="shared" si="143"/>
        <v>426080.97918000002</v>
      </c>
      <c r="I686" s="6">
        <f t="shared" ref="I686:I724" si="144">Q685*0.0072</f>
        <v>103709.79778962601</v>
      </c>
      <c r="J686" s="6">
        <v>0</v>
      </c>
      <c r="K686" s="6">
        <v>26900</v>
      </c>
      <c r="L686" s="6">
        <f t="shared" si="139"/>
        <v>1152373</v>
      </c>
      <c r="M686" s="7">
        <f t="shared" si="140"/>
        <v>7.3000000000000001E-3</v>
      </c>
      <c r="N686" s="7">
        <f t="shared" si="132"/>
        <v>7.1999999999999998E-3</v>
      </c>
      <c r="O686" s="7">
        <f t="shared" si="137"/>
        <v>-1.3698630136986356E-2</v>
      </c>
      <c r="P686" s="6">
        <f t="shared" si="138"/>
        <v>1709063.7769696261</v>
      </c>
      <c r="Q686" s="6">
        <f t="shared" si="142"/>
        <v>13978057.602712501</v>
      </c>
      <c r="R686" s="4" t="str">
        <f t="shared" ca="1" si="141"/>
        <v>OK</v>
      </c>
      <c r="S686" s="6">
        <v>1709063.7769696261</v>
      </c>
      <c r="T686" s="5">
        <v>45234</v>
      </c>
      <c r="U686" s="30" t="str">
        <f t="shared" si="135"/>
        <v>PAGADO</v>
      </c>
    </row>
    <row r="687" spans="1:21" x14ac:dyDescent="0.25">
      <c r="A687" s="4" t="str">
        <f t="shared" si="136"/>
        <v>202311</v>
      </c>
      <c r="B687" s="4" t="s">
        <v>24</v>
      </c>
      <c r="C687" s="4" t="s">
        <v>40</v>
      </c>
      <c r="D687" s="29" t="s">
        <v>47</v>
      </c>
      <c r="E687" s="28">
        <v>45235</v>
      </c>
      <c r="F687" s="4">
        <v>11</v>
      </c>
      <c r="G687" s="4">
        <v>37</v>
      </c>
      <c r="H687" s="6">
        <f t="shared" si="143"/>
        <v>429275.73436189169</v>
      </c>
      <c r="I687" s="6">
        <f t="shared" si="144"/>
        <v>100642.01473953</v>
      </c>
      <c r="J687" s="6">
        <v>0</v>
      </c>
      <c r="K687" s="6">
        <v>25900</v>
      </c>
      <c r="L687" s="6">
        <f t="shared" si="139"/>
        <v>0</v>
      </c>
      <c r="M687" s="7">
        <f t="shared" si="140"/>
        <v>7.3000000000000001E-3</v>
      </c>
      <c r="N687" s="7">
        <f t="shared" si="132"/>
        <v>7.1999999999999998E-3</v>
      </c>
      <c r="O687" s="7">
        <f t="shared" si="137"/>
        <v>-1.3698630136986356E-2</v>
      </c>
      <c r="P687" s="6">
        <f t="shared" si="138"/>
        <v>555817.74910142168</v>
      </c>
      <c r="Q687" s="6">
        <f t="shared" si="142"/>
        <v>13548781.868350608</v>
      </c>
      <c r="R687" s="4" t="str">
        <f t="shared" ca="1" si="141"/>
        <v>OK</v>
      </c>
      <c r="S687" s="6">
        <v>638828.22303037392</v>
      </c>
      <c r="T687" s="5">
        <v>45234</v>
      </c>
      <c r="U687" s="30" t="str">
        <f t="shared" si="135"/>
        <v>PAGADO</v>
      </c>
    </row>
    <row r="688" spans="1:21" x14ac:dyDescent="0.25">
      <c r="A688" s="4" t="str">
        <f t="shared" si="136"/>
        <v>202312</v>
      </c>
      <c r="B688" s="4" t="s">
        <v>24</v>
      </c>
      <c r="C688" s="4" t="s">
        <v>40</v>
      </c>
      <c r="D688" s="29" t="s">
        <v>47</v>
      </c>
      <c r="E688" s="28">
        <v>45265</v>
      </c>
      <c r="F688" s="4">
        <v>12</v>
      </c>
      <c r="G688" s="4">
        <v>36</v>
      </c>
      <c r="H688" s="6">
        <f t="shared" si="143"/>
        <v>432494.44381813717</v>
      </c>
      <c r="I688" s="6">
        <f t="shared" si="144"/>
        <v>97551.229452124375</v>
      </c>
      <c r="J688" s="6">
        <v>0</v>
      </c>
      <c r="K688" s="6">
        <v>25900</v>
      </c>
      <c r="L688" s="6">
        <f t="shared" si="139"/>
        <v>0</v>
      </c>
      <c r="M688" s="7">
        <f t="shared" si="140"/>
        <v>7.3000000000000001E-3</v>
      </c>
      <c r="N688" s="7">
        <f t="shared" ref="N688:N751" si="145">IF(I688="","",I688/Q687)</f>
        <v>7.1999999999999998E-3</v>
      </c>
      <c r="O688" s="7">
        <f t="shared" si="137"/>
        <v>-1.3698630136986356E-2</v>
      </c>
      <c r="P688" s="6">
        <f t="shared" si="138"/>
        <v>555945.6732702615</v>
      </c>
      <c r="Q688" s="6">
        <f t="shared" si="142"/>
        <v>13116287.424532471</v>
      </c>
      <c r="R688" s="4" t="str">
        <f t="shared" ca="1" si="141"/>
        <v>OK</v>
      </c>
      <c r="S688" s="6">
        <v>652300</v>
      </c>
      <c r="T688" s="5">
        <v>45264</v>
      </c>
      <c r="U688" s="30" t="str">
        <f t="shared" si="135"/>
        <v>PAGADO</v>
      </c>
    </row>
    <row r="689" spans="1:21" x14ac:dyDescent="0.25">
      <c r="A689" s="4" t="str">
        <f t="shared" si="136"/>
        <v>20241</v>
      </c>
      <c r="B689" s="4" t="s">
        <v>24</v>
      </c>
      <c r="C689" s="4" t="s">
        <v>40</v>
      </c>
      <c r="D689" s="29" t="s">
        <v>47</v>
      </c>
      <c r="E689" s="28">
        <v>45296</v>
      </c>
      <c r="F689" s="4">
        <v>13</v>
      </c>
      <c r="G689" s="4">
        <v>35</v>
      </c>
      <c r="H689" s="6">
        <f t="shared" si="143"/>
        <v>435737.28715788556</v>
      </c>
      <c r="I689" s="6">
        <f t="shared" si="144"/>
        <v>94437.269456633789</v>
      </c>
      <c r="J689" s="6">
        <v>0</v>
      </c>
      <c r="K689" s="6">
        <v>25900</v>
      </c>
      <c r="L689" s="6">
        <f t="shared" si="139"/>
        <v>0</v>
      </c>
      <c r="M689" s="7">
        <f t="shared" si="140"/>
        <v>7.3000000000000001E-3</v>
      </c>
      <c r="N689" s="7">
        <f t="shared" si="145"/>
        <v>7.1999999999999998E-3</v>
      </c>
      <c r="O689" s="7">
        <f t="shared" si="137"/>
        <v>-1.3698630136986356E-2</v>
      </c>
      <c r="P689" s="6">
        <f t="shared" si="138"/>
        <v>556074.55661451933</v>
      </c>
      <c r="Q689" s="6">
        <f t="shared" si="142"/>
        <v>12680550.137374585</v>
      </c>
      <c r="R689" s="4" t="str">
        <f t="shared" ca="1" si="141"/>
        <v>OK</v>
      </c>
      <c r="S689" s="6">
        <v>0</v>
      </c>
      <c r="T689" s="5">
        <v>45329</v>
      </c>
      <c r="U689" s="30" t="str">
        <f t="shared" si="135"/>
        <v>PAGADO</v>
      </c>
    </row>
    <row r="690" spans="1:21" x14ac:dyDescent="0.25">
      <c r="A690" s="4" t="str">
        <f t="shared" si="136"/>
        <v>20242</v>
      </c>
      <c r="B690" s="4" t="s">
        <v>24</v>
      </c>
      <c r="C690" s="4" t="s">
        <v>40</v>
      </c>
      <c r="D690" s="29" t="s">
        <v>47</v>
      </c>
      <c r="E690" s="28">
        <v>45327</v>
      </c>
      <c r="F690" s="4">
        <v>14</v>
      </c>
      <c r="G690" s="4">
        <v>34</v>
      </c>
      <c r="H690" s="6">
        <f t="shared" si="143"/>
        <v>439004.44533699536</v>
      </c>
      <c r="I690" s="6">
        <f t="shared" si="144"/>
        <v>91299.960989097017</v>
      </c>
      <c r="J690" s="6">
        <v>0</v>
      </c>
      <c r="K690" s="6">
        <v>25900</v>
      </c>
      <c r="L690" s="6">
        <f t="shared" si="139"/>
        <v>556074.55661451933</v>
      </c>
      <c r="M690" s="7">
        <f t="shared" si="140"/>
        <v>7.3000000000000001E-3</v>
      </c>
      <c r="N690" s="7">
        <f t="shared" si="145"/>
        <v>7.1999999999999998E-3</v>
      </c>
      <c r="O690" s="7">
        <f t="shared" si="137"/>
        <v>-1.3698630136986356E-2</v>
      </c>
      <c r="P690" s="6">
        <f t="shared" si="138"/>
        <v>1112278.9629406116</v>
      </c>
      <c r="Q690" s="6">
        <f t="shared" si="142"/>
        <v>12241545.69203759</v>
      </c>
      <c r="R690" s="4" t="str">
        <f t="shared" ca="1" si="141"/>
        <v>OK</v>
      </c>
      <c r="S690" s="6">
        <v>550000</v>
      </c>
      <c r="T690" s="5">
        <v>45329</v>
      </c>
      <c r="U690" s="30" t="str">
        <f t="shared" si="135"/>
        <v>PAGADO</v>
      </c>
    </row>
    <row r="691" spans="1:21" x14ac:dyDescent="0.25">
      <c r="A691" s="4" t="str">
        <f t="shared" si="136"/>
        <v>20243</v>
      </c>
      <c r="B691" s="4" t="s">
        <v>24</v>
      </c>
      <c r="C691" s="4" t="s">
        <v>40</v>
      </c>
      <c r="D691" s="29" t="s">
        <v>47</v>
      </c>
      <c r="E691" s="28">
        <v>45356</v>
      </c>
      <c r="F691" s="4">
        <v>15</v>
      </c>
      <c r="G691" s="4">
        <v>33</v>
      </c>
      <c r="H691" s="6">
        <f t="shared" si="143"/>
        <v>442296.10066813213</v>
      </c>
      <c r="I691" s="6">
        <f t="shared" si="144"/>
        <v>88139.128982670649</v>
      </c>
      <c r="J691" s="6">
        <v>0</v>
      </c>
      <c r="K691" s="6">
        <v>25900</v>
      </c>
      <c r="L691" s="6">
        <f t="shared" si="139"/>
        <v>562278.96294061164</v>
      </c>
      <c r="M691" s="7">
        <f t="shared" si="140"/>
        <v>7.3000000000000001E-3</v>
      </c>
      <c r="N691" s="7">
        <f t="shared" si="145"/>
        <v>7.1999999999999998E-3</v>
      </c>
      <c r="O691" s="7">
        <f t="shared" si="137"/>
        <v>-1.3698630136986356E-2</v>
      </c>
      <c r="P691" s="6">
        <f t="shared" si="138"/>
        <v>1118614.1925914143</v>
      </c>
      <c r="Q691" s="6">
        <f t="shared" si="142"/>
        <v>11799249.591369458</v>
      </c>
      <c r="R691" s="4" t="str">
        <f t="shared" ca="1" si="141"/>
        <v>OK</v>
      </c>
      <c r="S691" s="6">
        <v>0</v>
      </c>
      <c r="T691" s="5">
        <v>45418</v>
      </c>
      <c r="U691" s="30" t="str">
        <f t="shared" si="135"/>
        <v>PAGADO</v>
      </c>
    </row>
    <row r="692" spans="1:21" x14ac:dyDescent="0.25">
      <c r="A692" s="4" t="str">
        <f t="shared" si="136"/>
        <v>20244</v>
      </c>
      <c r="B692" s="4" t="s">
        <v>24</v>
      </c>
      <c r="C692" s="4" t="s">
        <v>40</v>
      </c>
      <c r="D692" s="29" t="s">
        <v>47</v>
      </c>
      <c r="E692" s="28">
        <v>45387</v>
      </c>
      <c r="F692" s="4">
        <v>16</v>
      </c>
      <c r="G692" s="4">
        <v>32</v>
      </c>
      <c r="H692" s="6">
        <f t="shared" si="143"/>
        <v>445612.43683094176</v>
      </c>
      <c r="I692" s="6">
        <f t="shared" si="144"/>
        <v>84954.597057860097</v>
      </c>
      <c r="J692" s="6">
        <v>0</v>
      </c>
      <c r="K692" s="6">
        <v>25900</v>
      </c>
      <c r="L692" s="6">
        <f t="shared" si="139"/>
        <v>1118614.1925914143</v>
      </c>
      <c r="M692" s="7">
        <f t="shared" si="140"/>
        <v>7.3000000000000001E-3</v>
      </c>
      <c r="N692" s="7">
        <f t="shared" si="145"/>
        <v>7.2000000000000007E-3</v>
      </c>
      <c r="O692" s="7">
        <f t="shared" si="137"/>
        <v>-1.3698630136986245E-2</v>
      </c>
      <c r="P692" s="6">
        <f t="shared" si="138"/>
        <v>1675081.2264802163</v>
      </c>
      <c r="Q692" s="6">
        <f t="shared" si="142"/>
        <v>11353637.154538516</v>
      </c>
      <c r="R692" s="4" t="str">
        <f t="shared" ca="1" si="141"/>
        <v>OK</v>
      </c>
      <c r="S692" s="6">
        <v>0</v>
      </c>
      <c r="T692" s="5">
        <v>45418</v>
      </c>
      <c r="U692" s="30" t="str">
        <f t="shared" si="135"/>
        <v>PAGADO</v>
      </c>
    </row>
    <row r="693" spans="1:21" x14ac:dyDescent="0.25">
      <c r="A693" s="4" t="str">
        <f t="shared" si="136"/>
        <v>20245</v>
      </c>
      <c r="B693" s="4" t="s">
        <v>24</v>
      </c>
      <c r="C693" s="4" t="s">
        <v>40</v>
      </c>
      <c r="D693" s="29" t="s">
        <v>47</v>
      </c>
      <c r="E693" s="28">
        <v>45417</v>
      </c>
      <c r="F693" s="4">
        <v>17</v>
      </c>
      <c r="G693" s="4">
        <v>31</v>
      </c>
      <c r="H693" s="6">
        <f t="shared" si="143"/>
        <v>448953.63888230018</v>
      </c>
      <c r="I693" s="6">
        <f t="shared" si="144"/>
        <v>81746.187512677308</v>
      </c>
      <c r="J693" s="6">
        <v>0</v>
      </c>
      <c r="K693" s="6">
        <v>25900</v>
      </c>
      <c r="L693" s="6">
        <f t="shared" si="139"/>
        <v>1675081.2264802163</v>
      </c>
      <c r="M693" s="7">
        <f t="shared" si="140"/>
        <v>7.3000000000000001E-3</v>
      </c>
      <c r="N693" s="7">
        <f t="shared" si="145"/>
        <v>7.1999999999999998E-3</v>
      </c>
      <c r="O693" s="7">
        <f t="shared" si="137"/>
        <v>-1.3698630136986356E-2</v>
      </c>
      <c r="P693" s="6">
        <f t="shared" si="138"/>
        <v>2231681.0528751938</v>
      </c>
      <c r="Q693" s="6">
        <f t="shared" si="142"/>
        <v>10904683.515656216</v>
      </c>
      <c r="R693" s="4" t="str">
        <f t="shared" ca="1" si="141"/>
        <v>OK</v>
      </c>
      <c r="S693" s="6">
        <v>650000</v>
      </c>
      <c r="T693" s="5">
        <v>45418</v>
      </c>
      <c r="U693" s="30" t="str">
        <f t="shared" si="135"/>
        <v>PAGADO</v>
      </c>
    </row>
    <row r="694" spans="1:21" x14ac:dyDescent="0.25">
      <c r="A694" s="4" t="str">
        <f t="shared" si="136"/>
        <v>20246</v>
      </c>
      <c r="B694" s="4" t="s">
        <v>24</v>
      </c>
      <c r="C694" s="4" t="s">
        <v>40</v>
      </c>
      <c r="D694" s="29" t="s">
        <v>47</v>
      </c>
      <c r="E694" s="28">
        <v>45448</v>
      </c>
      <c r="F694" s="4">
        <v>18</v>
      </c>
      <c r="G694" s="4">
        <v>30</v>
      </c>
      <c r="H694" s="6">
        <f t="shared" si="143"/>
        <v>452319.89326663967</v>
      </c>
      <c r="I694" s="6">
        <f t="shared" si="144"/>
        <v>78513.721312724752</v>
      </c>
      <c r="J694" s="6">
        <v>0</v>
      </c>
      <c r="K694" s="6">
        <v>25900</v>
      </c>
      <c r="L694" s="6">
        <f t="shared" si="139"/>
        <v>1581681.0528751938</v>
      </c>
      <c r="M694" s="7">
        <f t="shared" si="140"/>
        <v>7.3000000000000001E-3</v>
      </c>
      <c r="N694" s="7">
        <f t="shared" si="145"/>
        <v>7.1999999999999998E-3</v>
      </c>
      <c r="O694" s="7">
        <f t="shared" si="137"/>
        <v>-1.3698630136986356E-2</v>
      </c>
      <c r="P694" s="6">
        <f t="shared" si="138"/>
        <v>2138414.6674545584</v>
      </c>
      <c r="Q694" s="6">
        <f t="shared" si="142"/>
        <v>10452363.622389577</v>
      </c>
      <c r="R694" s="4" t="str">
        <f t="shared" ca="1" si="141"/>
        <v>OK</v>
      </c>
      <c r="S694" s="6">
        <v>0</v>
      </c>
      <c r="T694" s="5">
        <v>45505</v>
      </c>
      <c r="U694" s="30" t="str">
        <f t="shared" si="135"/>
        <v>PAGADO</v>
      </c>
    </row>
    <row r="695" spans="1:21" x14ac:dyDescent="0.25">
      <c r="A695" s="4" t="str">
        <f t="shared" si="136"/>
        <v>20247</v>
      </c>
      <c r="B695" s="4" t="s">
        <v>24</v>
      </c>
      <c r="C695" s="4" t="s">
        <v>40</v>
      </c>
      <c r="D695" s="29" t="s">
        <v>47</v>
      </c>
      <c r="E695" s="28">
        <v>45478</v>
      </c>
      <c r="F695" s="4">
        <v>19</v>
      </c>
      <c r="G695" s="4">
        <v>29</v>
      </c>
      <c r="H695" s="6">
        <f t="shared" si="143"/>
        <v>455711.38782635296</v>
      </c>
      <c r="I695" s="6">
        <f t="shared" si="144"/>
        <v>75257.018081204951</v>
      </c>
      <c r="J695" s="6">
        <v>0</v>
      </c>
      <c r="K695" s="6">
        <v>25900</v>
      </c>
      <c r="L695" s="6">
        <f t="shared" si="139"/>
        <v>2138414.6674545584</v>
      </c>
      <c r="M695" s="7">
        <f t="shared" si="140"/>
        <v>7.3000000000000001E-3</v>
      </c>
      <c r="N695" s="7">
        <f t="shared" si="145"/>
        <v>7.1999999999999998E-3</v>
      </c>
      <c r="O695" s="7">
        <f t="shared" si="137"/>
        <v>-1.3698630136986356E-2</v>
      </c>
      <c r="P695" s="6">
        <f t="shared" si="138"/>
        <v>2695283.0733621162</v>
      </c>
      <c r="Q695" s="6">
        <f t="shared" si="142"/>
        <v>9996652.234563224</v>
      </c>
      <c r="R695" s="4" t="str">
        <f t="shared" ca="1" si="141"/>
        <v>OK</v>
      </c>
      <c r="S695" s="6">
        <v>1179165</v>
      </c>
      <c r="T695" s="5">
        <v>45505</v>
      </c>
      <c r="U695" s="30" t="str">
        <f t="shared" si="135"/>
        <v>PAGADO</v>
      </c>
    </row>
    <row r="696" spans="1:21" x14ac:dyDescent="0.25">
      <c r="A696" s="4" t="str">
        <f t="shared" si="136"/>
        <v>20248</v>
      </c>
      <c r="B696" s="4" t="s">
        <v>24</v>
      </c>
      <c r="C696" s="4" t="s">
        <v>40</v>
      </c>
      <c r="D696" s="29" t="s">
        <v>47</v>
      </c>
      <c r="E696" s="28">
        <v>45509</v>
      </c>
      <c r="F696" s="4">
        <v>20</v>
      </c>
      <c r="G696" s="4">
        <v>28</v>
      </c>
      <c r="H696" s="6">
        <f t="shared" si="143"/>
        <v>459128.31181227497</v>
      </c>
      <c r="I696" s="6">
        <f t="shared" si="144"/>
        <v>71975.89608885521</v>
      </c>
      <c r="J696" s="6">
        <v>0</v>
      </c>
      <c r="K696" s="6">
        <v>25900</v>
      </c>
      <c r="L696" s="6">
        <f t="shared" si="139"/>
        <v>1516118.0733621162</v>
      </c>
      <c r="M696" s="7">
        <f t="shared" si="140"/>
        <v>7.3000000000000001E-3</v>
      </c>
      <c r="N696" s="7">
        <f t="shared" si="145"/>
        <v>7.1999999999999998E-3</v>
      </c>
      <c r="O696" s="7">
        <f t="shared" si="137"/>
        <v>-1.3698630136986356E-2</v>
      </c>
      <c r="P696" s="6">
        <f t="shared" si="138"/>
        <v>2073122.2812632464</v>
      </c>
      <c r="Q696" s="6">
        <f t="shared" si="142"/>
        <v>9537523.9227509499</v>
      </c>
      <c r="R696" s="4" t="str">
        <f t="shared" ca="1" si="141"/>
        <v>OK</v>
      </c>
      <c r="S696" s="6">
        <v>0</v>
      </c>
      <c r="T696" s="5">
        <v>45532</v>
      </c>
      <c r="U696" s="30" t="str">
        <f t="shared" si="135"/>
        <v>PAGADO</v>
      </c>
    </row>
    <row r="697" spans="1:21" x14ac:dyDescent="0.25">
      <c r="A697" s="4" t="str">
        <f t="shared" si="136"/>
        <v>20249</v>
      </c>
      <c r="B697" s="4" t="s">
        <v>24</v>
      </c>
      <c r="C697" s="4" t="s">
        <v>40</v>
      </c>
      <c r="D697" s="29" t="s">
        <v>47</v>
      </c>
      <c r="E697" s="28">
        <v>45540</v>
      </c>
      <c r="F697" s="4">
        <v>21</v>
      </c>
      <c r="G697" s="4">
        <v>27</v>
      </c>
      <c r="H697" s="6">
        <f t="shared" si="143"/>
        <v>462570.8558942434</v>
      </c>
      <c r="I697" s="6">
        <f t="shared" si="144"/>
        <v>68670.172243806839</v>
      </c>
      <c r="J697" s="6">
        <v>0</v>
      </c>
      <c r="K697" s="6">
        <v>25900</v>
      </c>
      <c r="L697" s="6">
        <f t="shared" si="139"/>
        <v>2073122.2812632464</v>
      </c>
      <c r="M697" s="7">
        <f t="shared" si="140"/>
        <v>7.3000000000000001E-3</v>
      </c>
      <c r="N697" s="7">
        <f t="shared" si="145"/>
        <v>7.1999999999999998E-3</v>
      </c>
      <c r="O697" s="7">
        <f t="shared" si="137"/>
        <v>-1.3698630136986356E-2</v>
      </c>
      <c r="P697" s="6">
        <f t="shared" si="138"/>
        <v>2630263.3094012965</v>
      </c>
      <c r="Q697" s="6">
        <f t="shared" si="142"/>
        <v>9074953.0668567065</v>
      </c>
      <c r="R697" s="4">
        <f t="shared" ca="1" si="141"/>
        <v>-2</v>
      </c>
      <c r="S697" s="6"/>
      <c r="T697" s="5"/>
      <c r="U697" s="30" t="str">
        <f t="shared" si="135"/>
        <v>PENDIENTE</v>
      </c>
    </row>
    <row r="698" spans="1:21" x14ac:dyDescent="0.25">
      <c r="A698" s="4" t="str">
        <f t="shared" si="136"/>
        <v>202410</v>
      </c>
      <c r="B698" s="4" t="s">
        <v>24</v>
      </c>
      <c r="C698" s="4" t="s">
        <v>40</v>
      </c>
      <c r="D698" s="29" t="s">
        <v>47</v>
      </c>
      <c r="E698" s="28">
        <v>45570</v>
      </c>
      <c r="F698" s="4">
        <v>22</v>
      </c>
      <c r="G698" s="4">
        <v>26</v>
      </c>
      <c r="H698" s="6">
        <f t="shared" si="143"/>
        <v>466039.21217173844</v>
      </c>
      <c r="I698" s="6">
        <f t="shared" si="144"/>
        <v>65339.662081368282</v>
      </c>
      <c r="J698" s="6">
        <v>0</v>
      </c>
      <c r="K698" s="6">
        <v>25900</v>
      </c>
      <c r="L698" s="6">
        <f t="shared" si="139"/>
        <v>0</v>
      </c>
      <c r="M698" s="7">
        <f t="shared" si="140"/>
        <v>7.3000000000000001E-3</v>
      </c>
      <c r="N698" s="7">
        <f t="shared" si="145"/>
        <v>7.1999999999999998E-3</v>
      </c>
      <c r="O698" s="7">
        <f t="shared" si="137"/>
        <v>-1.3698630136986356E-2</v>
      </c>
      <c r="P698" s="6">
        <f t="shared" si="138"/>
        <v>557278.87425310677</v>
      </c>
      <c r="Q698" s="6">
        <f t="shared" si="142"/>
        <v>8608913.8546849675</v>
      </c>
      <c r="R698" s="4">
        <f t="shared" ca="1" si="141"/>
        <v>-2</v>
      </c>
      <c r="S698" s="6"/>
      <c r="T698" s="5"/>
      <c r="U698" s="30" t="str">
        <f t="shared" si="135"/>
        <v>PENDIENTE</v>
      </c>
    </row>
    <row r="699" spans="1:21" x14ac:dyDescent="0.25">
      <c r="A699" s="4" t="str">
        <f t="shared" si="136"/>
        <v>202411</v>
      </c>
      <c r="B699" s="4" t="s">
        <v>24</v>
      </c>
      <c r="C699" s="4" t="s">
        <v>40</v>
      </c>
      <c r="D699" s="29" t="s">
        <v>47</v>
      </c>
      <c r="E699" s="28">
        <v>45601</v>
      </c>
      <c r="F699" s="4">
        <v>23</v>
      </c>
      <c r="G699" s="4">
        <v>25</v>
      </c>
      <c r="H699" s="6">
        <f t="shared" si="143"/>
        <v>469533.57418460213</v>
      </c>
      <c r="I699" s="6">
        <f t="shared" si="144"/>
        <v>61984.179753731762</v>
      </c>
      <c r="J699" s="6">
        <v>0</v>
      </c>
      <c r="K699" s="6">
        <v>25900</v>
      </c>
      <c r="L699" s="6">
        <f t="shared" si="139"/>
        <v>0</v>
      </c>
      <c r="M699" s="7">
        <f t="shared" si="140"/>
        <v>7.3000000000000001E-3</v>
      </c>
      <c r="N699" s="7">
        <f t="shared" si="145"/>
        <v>7.1999999999999998E-3</v>
      </c>
      <c r="O699" s="7">
        <f t="shared" si="137"/>
        <v>-1.3698630136986356E-2</v>
      </c>
      <c r="P699" s="6">
        <f t="shared" si="138"/>
        <v>557417.75393833383</v>
      </c>
      <c r="Q699" s="6">
        <f t="shared" si="142"/>
        <v>8139380.2805003654</v>
      </c>
      <c r="R699" s="4">
        <f t="shared" ca="1" si="141"/>
        <v>-32</v>
      </c>
      <c r="S699" s="6"/>
      <c r="T699" s="5"/>
      <c r="U699" s="30" t="str">
        <f t="shared" si="135"/>
        <v>PENDIENTE</v>
      </c>
    </row>
    <row r="700" spans="1:21" x14ac:dyDescent="0.25">
      <c r="A700" s="4" t="str">
        <f t="shared" si="136"/>
        <v>202412</v>
      </c>
      <c r="B700" s="4" t="s">
        <v>24</v>
      </c>
      <c r="C700" s="4" t="s">
        <v>40</v>
      </c>
      <c r="D700" s="29" t="s">
        <v>47</v>
      </c>
      <c r="E700" s="28">
        <v>45631</v>
      </c>
      <c r="F700" s="4">
        <v>24</v>
      </c>
      <c r="G700" s="4">
        <v>24</v>
      </c>
      <c r="H700" s="6">
        <f t="shared" si="143"/>
        <v>473054.13692383829</v>
      </c>
      <c r="I700" s="6">
        <f t="shared" si="144"/>
        <v>58603.538019602631</v>
      </c>
      <c r="J700" s="6">
        <v>0</v>
      </c>
      <c r="K700" s="6">
        <v>25900</v>
      </c>
      <c r="L700" s="6">
        <f t="shared" si="139"/>
        <v>0</v>
      </c>
      <c r="M700" s="7">
        <f t="shared" si="140"/>
        <v>7.3000000000000001E-3</v>
      </c>
      <c r="N700" s="7">
        <f t="shared" si="145"/>
        <v>7.1999999999999998E-3</v>
      </c>
      <c r="O700" s="7">
        <f t="shared" si="137"/>
        <v>-1.3698630136986356E-2</v>
      </c>
      <c r="P700" s="6">
        <f t="shared" si="138"/>
        <v>557557.67494344094</v>
      </c>
      <c r="Q700" s="6">
        <f t="shared" si="142"/>
        <v>7666326.143576527</v>
      </c>
      <c r="R700" s="4">
        <f t="shared" ca="1" si="141"/>
        <v>-63</v>
      </c>
      <c r="S700" s="6"/>
      <c r="T700" s="5"/>
      <c r="U700" s="30" t="str">
        <f t="shared" si="135"/>
        <v>PENDIENTE</v>
      </c>
    </row>
    <row r="701" spans="1:21" x14ac:dyDescent="0.25">
      <c r="A701" s="4" t="str">
        <f t="shared" si="136"/>
        <v>20251</v>
      </c>
      <c r="B701" s="4" t="s">
        <v>24</v>
      </c>
      <c r="C701" s="4" t="s">
        <v>40</v>
      </c>
      <c r="D701" s="29" t="s">
        <v>47</v>
      </c>
      <c r="E701" s="28">
        <v>45662</v>
      </c>
      <c r="F701" s="4">
        <v>25</v>
      </c>
      <c r="G701" s="4">
        <v>23</v>
      </c>
      <c r="H701" s="6">
        <f t="shared" si="143"/>
        <v>476601.09684249322</v>
      </c>
      <c r="I701" s="6">
        <f t="shared" si="144"/>
        <v>55197.548233750997</v>
      </c>
      <c r="J701" s="6">
        <v>0</v>
      </c>
      <c r="K701" s="6">
        <v>25900</v>
      </c>
      <c r="L701" s="6">
        <f t="shared" si="139"/>
        <v>0</v>
      </c>
      <c r="M701" s="7">
        <f t="shared" si="140"/>
        <v>7.3000000000000001E-3</v>
      </c>
      <c r="N701" s="7">
        <f t="shared" si="145"/>
        <v>7.2000000000000007E-3</v>
      </c>
      <c r="O701" s="7">
        <f t="shared" si="137"/>
        <v>-1.3698630136986245E-2</v>
      </c>
      <c r="P701" s="6">
        <f t="shared" si="138"/>
        <v>557698.64507624425</v>
      </c>
      <c r="Q701" s="6">
        <f t="shared" si="142"/>
        <v>7189725.0467340341</v>
      </c>
      <c r="R701" s="4">
        <f t="shared" ca="1" si="141"/>
        <v>-93</v>
      </c>
      <c r="S701" s="6"/>
      <c r="T701" s="5"/>
      <c r="U701" s="30" t="str">
        <f t="shared" si="135"/>
        <v>PENDIENTE</v>
      </c>
    </row>
    <row r="702" spans="1:21" x14ac:dyDescent="0.25">
      <c r="A702" s="4" t="str">
        <f t="shared" si="136"/>
        <v>20252</v>
      </c>
      <c r="B702" s="4" t="s">
        <v>24</v>
      </c>
      <c r="C702" s="4" t="s">
        <v>40</v>
      </c>
      <c r="D702" s="29" t="s">
        <v>47</v>
      </c>
      <c r="E702" s="28">
        <v>45693</v>
      </c>
      <c r="F702" s="4">
        <v>26</v>
      </c>
      <c r="G702" s="4">
        <v>22</v>
      </c>
      <c r="H702" s="6">
        <f t="shared" si="143"/>
        <v>480174.65186661825</v>
      </c>
      <c r="I702" s="6">
        <f t="shared" si="144"/>
        <v>51766.020336485046</v>
      </c>
      <c r="J702" s="6">
        <v>0</v>
      </c>
      <c r="K702" s="6">
        <v>25900</v>
      </c>
      <c r="L702" s="6">
        <f t="shared" si="139"/>
        <v>0</v>
      </c>
      <c r="M702" s="7">
        <f t="shared" si="140"/>
        <v>7.3000000000000001E-3</v>
      </c>
      <c r="N702" s="7">
        <f t="shared" si="145"/>
        <v>7.1999999999999998E-3</v>
      </c>
      <c r="O702" s="7">
        <f t="shared" si="137"/>
        <v>-1.3698630136986356E-2</v>
      </c>
      <c r="P702" s="6">
        <f t="shared" si="138"/>
        <v>557840.67220310331</v>
      </c>
      <c r="Q702" s="6">
        <f t="shared" si="142"/>
        <v>6709550.3948674155</v>
      </c>
      <c r="R702" s="4">
        <f t="shared" ca="1" si="141"/>
        <v>-124</v>
      </c>
      <c r="S702" s="6"/>
      <c r="T702" s="5"/>
      <c r="U702" s="30" t="str">
        <f t="shared" si="135"/>
        <v>PENDIENTE</v>
      </c>
    </row>
    <row r="703" spans="1:21" x14ac:dyDescent="0.25">
      <c r="A703" s="4" t="str">
        <f t="shared" si="136"/>
        <v>20253</v>
      </c>
      <c r="B703" s="4" t="s">
        <v>24</v>
      </c>
      <c r="C703" s="4" t="s">
        <v>40</v>
      </c>
      <c r="D703" s="29" t="s">
        <v>47</v>
      </c>
      <c r="E703" s="28">
        <v>45721</v>
      </c>
      <c r="F703" s="4">
        <v>27</v>
      </c>
      <c r="G703" s="4">
        <v>21</v>
      </c>
      <c r="H703" s="6">
        <f t="shared" si="143"/>
        <v>483775.00140631414</v>
      </c>
      <c r="I703" s="6">
        <f t="shared" si="144"/>
        <v>48308.762843045391</v>
      </c>
      <c r="J703" s="6">
        <v>0</v>
      </c>
      <c r="K703" s="6">
        <v>25900</v>
      </c>
      <c r="L703" s="6">
        <f t="shared" si="139"/>
        <v>0</v>
      </c>
      <c r="M703" s="7">
        <f t="shared" si="140"/>
        <v>7.3000000000000001E-3</v>
      </c>
      <c r="N703" s="7">
        <f t="shared" si="145"/>
        <v>7.1999999999999998E-3</v>
      </c>
      <c r="O703" s="7">
        <f t="shared" si="137"/>
        <v>-1.3698630136986356E-2</v>
      </c>
      <c r="P703" s="6">
        <f t="shared" si="138"/>
        <v>557983.76424935949</v>
      </c>
      <c r="Q703" s="6">
        <f t="shared" si="142"/>
        <v>6225775.3934611017</v>
      </c>
      <c r="R703" s="4">
        <f t="shared" ca="1" si="141"/>
        <v>-155</v>
      </c>
      <c r="S703" s="6"/>
      <c r="T703" s="5"/>
      <c r="U703" s="30" t="str">
        <f t="shared" si="135"/>
        <v>PENDIENTE</v>
      </c>
    </row>
    <row r="704" spans="1:21" x14ac:dyDescent="0.25">
      <c r="A704" s="4" t="str">
        <f t="shared" si="136"/>
        <v>20254</v>
      </c>
      <c r="B704" s="4" t="s">
        <v>24</v>
      </c>
      <c r="C704" s="4" t="s">
        <v>40</v>
      </c>
      <c r="D704" s="29" t="s">
        <v>47</v>
      </c>
      <c r="E704" s="28">
        <v>45752</v>
      </c>
      <c r="F704" s="4">
        <v>28</v>
      </c>
      <c r="G704" s="4">
        <v>20</v>
      </c>
      <c r="H704" s="6">
        <f t="shared" si="143"/>
        <v>487402.34636685869</v>
      </c>
      <c r="I704" s="6">
        <f t="shared" si="144"/>
        <v>44825.582832919928</v>
      </c>
      <c r="J704" s="6">
        <v>0</v>
      </c>
      <c r="K704" s="6">
        <v>25900</v>
      </c>
      <c r="L704" s="6">
        <f t="shared" si="139"/>
        <v>0</v>
      </c>
      <c r="M704" s="7">
        <f t="shared" si="140"/>
        <v>7.3000000000000001E-3</v>
      </c>
      <c r="N704" s="7">
        <f t="shared" si="145"/>
        <v>7.1999999999999998E-3</v>
      </c>
      <c r="O704" s="7">
        <f t="shared" si="137"/>
        <v>-1.3698630136986356E-2</v>
      </c>
      <c r="P704" s="6">
        <f t="shared" si="138"/>
        <v>558127.92919977859</v>
      </c>
      <c r="Q704" s="6">
        <f t="shared" si="142"/>
        <v>5738373.0470942426</v>
      </c>
      <c r="R704" s="4">
        <f t="shared" ca="1" si="141"/>
        <v>-183</v>
      </c>
      <c r="S704" s="6"/>
      <c r="T704" s="5"/>
      <c r="U704" s="30" t="str">
        <f t="shared" si="135"/>
        <v>PENDIENTE</v>
      </c>
    </row>
    <row r="705" spans="1:21" x14ac:dyDescent="0.25">
      <c r="A705" s="4" t="str">
        <f t="shared" si="136"/>
        <v>20255</v>
      </c>
      <c r="B705" s="4" t="s">
        <v>24</v>
      </c>
      <c r="C705" s="4" t="s">
        <v>40</v>
      </c>
      <c r="D705" s="29" t="s">
        <v>47</v>
      </c>
      <c r="E705" s="28">
        <v>45782</v>
      </c>
      <c r="F705" s="4">
        <v>29</v>
      </c>
      <c r="G705" s="4">
        <v>19</v>
      </c>
      <c r="H705" s="6">
        <f t="shared" si="143"/>
        <v>491056.88915991742</v>
      </c>
      <c r="I705" s="6">
        <f t="shared" si="144"/>
        <v>41316.285939078545</v>
      </c>
      <c r="J705" s="6">
        <v>0</v>
      </c>
      <c r="K705" s="6">
        <v>25900</v>
      </c>
      <c r="L705" s="6">
        <f t="shared" si="139"/>
        <v>0</v>
      </c>
      <c r="M705" s="7">
        <f t="shared" si="140"/>
        <v>7.3000000000000001E-3</v>
      </c>
      <c r="N705" s="7">
        <f t="shared" si="145"/>
        <v>7.1999999999999998E-3</v>
      </c>
      <c r="O705" s="7">
        <f t="shared" si="137"/>
        <v>-1.3698630136986356E-2</v>
      </c>
      <c r="P705" s="6">
        <f t="shared" si="138"/>
        <v>558273.17509899591</v>
      </c>
      <c r="Q705" s="6">
        <f t="shared" si="142"/>
        <v>5247316.1579343248</v>
      </c>
      <c r="R705" s="4">
        <f t="shared" ca="1" si="141"/>
        <v>-214</v>
      </c>
      <c r="S705" s="6"/>
      <c r="T705" s="5"/>
      <c r="U705" s="30" t="str">
        <f t="shared" si="135"/>
        <v>PENDIENTE</v>
      </c>
    </row>
    <row r="706" spans="1:21" x14ac:dyDescent="0.25">
      <c r="A706" s="4" t="str">
        <f t="shared" si="136"/>
        <v>20256</v>
      </c>
      <c r="B706" s="4" t="s">
        <v>24</v>
      </c>
      <c r="C706" s="4" t="s">
        <v>40</v>
      </c>
      <c r="D706" s="29" t="s">
        <v>47</v>
      </c>
      <c r="E706" s="28">
        <v>45813</v>
      </c>
      <c r="F706" s="4">
        <v>30</v>
      </c>
      <c r="G706" s="4">
        <v>18</v>
      </c>
      <c r="H706" s="6">
        <f t="shared" si="143"/>
        <v>494738.83371483849</v>
      </c>
      <c r="I706" s="6">
        <f t="shared" si="144"/>
        <v>37780.676337127137</v>
      </c>
      <c r="J706" s="6">
        <v>0</v>
      </c>
      <c r="K706" s="6">
        <v>25900</v>
      </c>
      <c r="L706" s="6">
        <f t="shared" si="139"/>
        <v>0</v>
      </c>
      <c r="M706" s="7">
        <f t="shared" si="140"/>
        <v>7.3000000000000001E-3</v>
      </c>
      <c r="N706" s="7">
        <f t="shared" si="145"/>
        <v>7.1999999999999998E-3</v>
      </c>
      <c r="O706" s="7">
        <f t="shared" si="137"/>
        <v>-1.3698630136986356E-2</v>
      </c>
      <c r="P706" s="6">
        <f t="shared" si="138"/>
        <v>558419.5100519656</v>
      </c>
      <c r="Q706" s="6">
        <f t="shared" si="142"/>
        <v>4752577.3242194867</v>
      </c>
      <c r="R706" s="4">
        <f t="shared" ca="1" si="141"/>
        <v>-244</v>
      </c>
      <c r="S706" s="6"/>
      <c r="T706" s="5"/>
      <c r="U706" s="30" t="str">
        <f t="shared" ref="U706:U769" si="146">IF(AND(S706="",T706=""),"PENDIENTE",IF(AND(S706&lt;&gt;"",T706&lt;&gt;""),"PAGADO","ABONADO"))</f>
        <v>PENDIENTE</v>
      </c>
    </row>
    <row r="707" spans="1:21" x14ac:dyDescent="0.25">
      <c r="A707" s="4" t="str">
        <f t="shared" ref="A707:A770" si="147">CONCATENATE(YEAR($E707),MONTH($E707))</f>
        <v>20257</v>
      </c>
      <c r="B707" s="4" t="s">
        <v>24</v>
      </c>
      <c r="C707" s="4" t="s">
        <v>40</v>
      </c>
      <c r="D707" s="29" t="s">
        <v>47</v>
      </c>
      <c r="E707" s="28">
        <v>45843</v>
      </c>
      <c r="F707" s="4">
        <v>31</v>
      </c>
      <c r="G707" s="4">
        <v>17</v>
      </c>
      <c r="H707" s="6">
        <f t="shared" si="143"/>
        <v>498448.38549003238</v>
      </c>
      <c r="I707" s="6">
        <f t="shared" si="144"/>
        <v>34218.556734380305</v>
      </c>
      <c r="J707" s="6">
        <v>0</v>
      </c>
      <c r="K707" s="6">
        <v>25900</v>
      </c>
      <c r="L707" s="6">
        <f t="shared" si="139"/>
        <v>0</v>
      </c>
      <c r="M707" s="7">
        <f t="shared" si="140"/>
        <v>7.3000000000000001E-3</v>
      </c>
      <c r="N707" s="7">
        <f t="shared" si="145"/>
        <v>7.1999999999999998E-3</v>
      </c>
      <c r="O707" s="7">
        <f t="shared" si="137"/>
        <v>-1.3698630136986356E-2</v>
      </c>
      <c r="P707" s="6">
        <f t="shared" si="138"/>
        <v>558566.94222441269</v>
      </c>
      <c r="Q707" s="6">
        <f t="shared" si="142"/>
        <v>4254128.9387294538</v>
      </c>
      <c r="R707" s="4">
        <f t="shared" ca="1" si="141"/>
        <v>-275</v>
      </c>
      <c r="S707" s="6"/>
      <c r="T707" s="5"/>
      <c r="U707" s="30" t="str">
        <f t="shared" si="146"/>
        <v>PENDIENTE</v>
      </c>
    </row>
    <row r="708" spans="1:21" x14ac:dyDescent="0.25">
      <c r="A708" s="4" t="str">
        <f t="shared" si="147"/>
        <v>20258</v>
      </c>
      <c r="B708" s="4" t="s">
        <v>24</v>
      </c>
      <c r="C708" s="4" t="s">
        <v>40</v>
      </c>
      <c r="D708" s="29" t="s">
        <v>47</v>
      </c>
      <c r="E708" s="28">
        <v>45874</v>
      </c>
      <c r="F708" s="4">
        <v>32</v>
      </c>
      <c r="G708" s="4">
        <v>16</v>
      </c>
      <c r="H708" s="6">
        <f t="shared" si="143"/>
        <v>502185.75148443662</v>
      </c>
      <c r="I708" s="6">
        <f t="shared" si="144"/>
        <v>30629.728358852066</v>
      </c>
      <c r="J708" s="6">
        <v>0</v>
      </c>
      <c r="K708" s="6">
        <v>25900</v>
      </c>
      <c r="L708" s="6">
        <f t="shared" si="139"/>
        <v>0</v>
      </c>
      <c r="M708" s="7">
        <f t="shared" si="140"/>
        <v>7.3000000000000001E-3</v>
      </c>
      <c r="N708" s="7">
        <f t="shared" si="145"/>
        <v>7.1999999999999998E-3</v>
      </c>
      <c r="O708" s="7">
        <f t="shared" si="137"/>
        <v>-1.3698630136986356E-2</v>
      </c>
      <c r="P708" s="6">
        <f t="shared" si="138"/>
        <v>558715.47984328866</v>
      </c>
      <c r="Q708" s="6">
        <f t="shared" si="142"/>
        <v>3751943.1872450174</v>
      </c>
      <c r="R708" s="4">
        <f t="shared" ca="1" si="141"/>
        <v>-305</v>
      </c>
      <c r="S708" s="6"/>
      <c r="T708" s="5"/>
      <c r="U708" s="30" t="str">
        <f t="shared" si="146"/>
        <v>PENDIENTE</v>
      </c>
    </row>
    <row r="709" spans="1:21" x14ac:dyDescent="0.25">
      <c r="A709" s="4" t="str">
        <f t="shared" si="147"/>
        <v>20259</v>
      </c>
      <c r="B709" s="4" t="s">
        <v>24</v>
      </c>
      <c r="C709" s="4" t="s">
        <v>40</v>
      </c>
      <c r="D709" s="29" t="s">
        <v>47</v>
      </c>
      <c r="E709" s="28">
        <v>45905</v>
      </c>
      <c r="F709" s="4">
        <v>33</v>
      </c>
      <c r="G709" s="4">
        <v>15</v>
      </c>
      <c r="H709" s="6">
        <f t="shared" si="143"/>
        <v>505951.14024906693</v>
      </c>
      <c r="I709" s="6">
        <f t="shared" si="144"/>
        <v>27013.990948164126</v>
      </c>
      <c r="J709" s="6">
        <v>0</v>
      </c>
      <c r="K709" s="6">
        <v>25900</v>
      </c>
      <c r="L709" s="6">
        <f t="shared" si="139"/>
        <v>0</v>
      </c>
      <c r="M709" s="7">
        <f t="shared" si="140"/>
        <v>7.3000000000000001E-3</v>
      </c>
      <c r="N709" s="7">
        <f t="shared" si="145"/>
        <v>7.2000000000000007E-3</v>
      </c>
      <c r="O709" s="7">
        <f t="shared" si="137"/>
        <v>-1.3698630136986245E-2</v>
      </c>
      <c r="P709" s="6">
        <f t="shared" si="138"/>
        <v>558865.13119723101</v>
      </c>
      <c r="Q709" s="6">
        <f t="shared" si="142"/>
        <v>3245992.0469959504</v>
      </c>
      <c r="R709" s="4">
        <f t="shared" ca="1" si="141"/>
        <v>-336</v>
      </c>
      <c r="S709" s="6"/>
      <c r="T709" s="5"/>
      <c r="U709" s="30" t="str">
        <f t="shared" si="146"/>
        <v>PENDIENTE</v>
      </c>
    </row>
    <row r="710" spans="1:21" x14ac:dyDescent="0.25">
      <c r="A710" s="4" t="str">
        <f t="shared" si="147"/>
        <v>202510</v>
      </c>
      <c r="B710" s="4" t="s">
        <v>24</v>
      </c>
      <c r="C710" s="4" t="s">
        <v>40</v>
      </c>
      <c r="D710" s="29" t="s">
        <v>47</v>
      </c>
      <c r="E710" s="28">
        <v>45935</v>
      </c>
      <c r="F710" s="4">
        <v>34</v>
      </c>
      <c r="G710" s="4">
        <v>14</v>
      </c>
      <c r="H710" s="6">
        <f t="shared" si="143"/>
        <v>509744.76189865445</v>
      </c>
      <c r="I710" s="6">
        <f t="shared" si="144"/>
        <v>23371.142738370843</v>
      </c>
      <c r="J710" s="6">
        <v>0</v>
      </c>
      <c r="K710" s="6">
        <v>25900</v>
      </c>
      <c r="L710" s="6">
        <f t="shared" si="139"/>
        <v>0</v>
      </c>
      <c r="M710" s="7">
        <f t="shared" si="140"/>
        <v>7.3000000000000001E-3</v>
      </c>
      <c r="N710" s="7">
        <f t="shared" si="145"/>
        <v>7.1999999999999998E-3</v>
      </c>
      <c r="O710" s="7">
        <f t="shared" si="137"/>
        <v>-1.3698630136986356E-2</v>
      </c>
      <c r="P710" s="6">
        <f t="shared" si="138"/>
        <v>559015.90463702532</v>
      </c>
      <c r="Q710" s="6">
        <f t="shared" si="142"/>
        <v>2736247.2850972959</v>
      </c>
      <c r="R710" s="4">
        <f t="shared" ca="1" si="141"/>
        <v>-367</v>
      </c>
      <c r="S710" s="6"/>
      <c r="T710" s="5"/>
      <c r="U710" s="30" t="str">
        <f t="shared" si="146"/>
        <v>PENDIENTE</v>
      </c>
    </row>
    <row r="711" spans="1:21" x14ac:dyDescent="0.25">
      <c r="A711" s="4" t="str">
        <f t="shared" si="147"/>
        <v>202511</v>
      </c>
      <c r="B711" s="4" t="s">
        <v>24</v>
      </c>
      <c r="C711" s="4" t="s">
        <v>40</v>
      </c>
      <c r="D711" s="29" t="s">
        <v>47</v>
      </c>
      <c r="E711" s="28">
        <v>45966</v>
      </c>
      <c r="F711" s="4">
        <v>35</v>
      </c>
      <c r="G711" s="4">
        <v>13</v>
      </c>
      <c r="H711" s="6">
        <f t="shared" si="143"/>
        <v>513566.82812337059</v>
      </c>
      <c r="I711" s="6">
        <f t="shared" si="144"/>
        <v>19700.980452700529</v>
      </c>
      <c r="J711" s="6">
        <v>0</v>
      </c>
      <c r="K711" s="6">
        <v>25900</v>
      </c>
      <c r="L711" s="6">
        <f t="shared" si="139"/>
        <v>0</v>
      </c>
      <c r="M711" s="7">
        <f t="shared" si="140"/>
        <v>7.3000000000000001E-3</v>
      </c>
      <c r="N711" s="7">
        <f t="shared" si="145"/>
        <v>7.1999999999999998E-3</v>
      </c>
      <c r="O711" s="7">
        <f t="shared" si="137"/>
        <v>-1.3698630136986356E-2</v>
      </c>
      <c r="P711" s="6">
        <f t="shared" si="138"/>
        <v>559167.80857607117</v>
      </c>
      <c r="Q711" s="6">
        <f t="shared" si="142"/>
        <v>2222680.4569739252</v>
      </c>
      <c r="R711" s="4">
        <f t="shared" ca="1" si="141"/>
        <v>-397</v>
      </c>
      <c r="S711" s="6"/>
      <c r="T711" s="5"/>
      <c r="U711" s="30" t="str">
        <f t="shared" si="146"/>
        <v>PENDIENTE</v>
      </c>
    </row>
    <row r="712" spans="1:21" x14ac:dyDescent="0.25">
      <c r="A712" s="4" t="str">
        <f t="shared" si="147"/>
        <v>202512</v>
      </c>
      <c r="B712" s="4" t="s">
        <v>24</v>
      </c>
      <c r="C712" s="4" t="s">
        <v>40</v>
      </c>
      <c r="D712" s="29" t="s">
        <v>47</v>
      </c>
      <c r="E712" s="28">
        <v>45996</v>
      </c>
      <c r="F712" s="4">
        <v>36</v>
      </c>
      <c r="G712" s="4">
        <v>12</v>
      </c>
      <c r="H712" s="6">
        <f t="shared" si="143"/>
        <v>517417.55220063962</v>
      </c>
      <c r="I712" s="6">
        <f t="shared" si="144"/>
        <v>16003.299290212261</v>
      </c>
      <c r="J712" s="6">
        <v>0</v>
      </c>
      <c r="K712" s="6">
        <v>25900</v>
      </c>
      <c r="L712" s="6">
        <f t="shared" si="139"/>
        <v>0</v>
      </c>
      <c r="M712" s="7">
        <f t="shared" si="140"/>
        <v>7.3000000000000001E-3</v>
      </c>
      <c r="N712" s="7">
        <f t="shared" si="145"/>
        <v>7.1999999999999998E-3</v>
      </c>
      <c r="O712" s="7">
        <f t="shared" si="137"/>
        <v>-1.3698630136986356E-2</v>
      </c>
      <c r="P712" s="6">
        <f t="shared" si="138"/>
        <v>559320.85149085184</v>
      </c>
      <c r="Q712" s="6">
        <f t="shared" si="142"/>
        <v>1705262.9047732856</v>
      </c>
      <c r="R712" s="4">
        <f t="shared" ca="1" si="141"/>
        <v>-428</v>
      </c>
      <c r="S712" s="6"/>
      <c r="T712" s="5"/>
      <c r="U712" s="30" t="str">
        <f t="shared" si="146"/>
        <v>PENDIENTE</v>
      </c>
    </row>
    <row r="713" spans="1:21" x14ac:dyDescent="0.25">
      <c r="A713" s="4" t="str">
        <f t="shared" si="147"/>
        <v>20261</v>
      </c>
      <c r="B713" s="4" t="s">
        <v>24</v>
      </c>
      <c r="C713" s="4" t="s">
        <v>40</v>
      </c>
      <c r="D713" s="29" t="s">
        <v>47</v>
      </c>
      <c r="E713" s="28">
        <v>46027</v>
      </c>
      <c r="F713" s="4">
        <v>37</v>
      </c>
      <c r="G713" s="4">
        <v>11</v>
      </c>
      <c r="H713" s="6">
        <f t="shared" si="143"/>
        <v>521297.14900704002</v>
      </c>
      <c r="I713" s="6">
        <f t="shared" si="144"/>
        <v>12277.892914367656</v>
      </c>
      <c r="J713" s="6">
        <v>0</v>
      </c>
      <c r="K713" s="6">
        <v>25900</v>
      </c>
      <c r="L713" s="6">
        <f t="shared" si="139"/>
        <v>0</v>
      </c>
      <c r="M713" s="7">
        <f t="shared" si="140"/>
        <v>7.3000000000000001E-3</v>
      </c>
      <c r="N713" s="7">
        <f t="shared" si="145"/>
        <v>7.1999999999999998E-3</v>
      </c>
      <c r="O713" s="7">
        <f t="shared" si="137"/>
        <v>-1.3698630136986356E-2</v>
      </c>
      <c r="P713" s="6">
        <f t="shared" si="138"/>
        <v>559475.04192140768</v>
      </c>
      <c r="Q713" s="6">
        <f t="shared" si="142"/>
        <v>1183965.7557662455</v>
      </c>
      <c r="R713" s="4">
        <f t="shared" ca="1" si="141"/>
        <v>-458</v>
      </c>
      <c r="S713" s="6"/>
      <c r="T713" s="5"/>
      <c r="U713" s="30" t="str">
        <f t="shared" si="146"/>
        <v>PENDIENTE</v>
      </c>
    </row>
    <row r="714" spans="1:21" x14ac:dyDescent="0.25">
      <c r="A714" s="4" t="str">
        <f t="shared" si="147"/>
        <v>20262</v>
      </c>
      <c r="B714" s="4" t="s">
        <v>24</v>
      </c>
      <c r="C714" s="4" t="s">
        <v>40</v>
      </c>
      <c r="D714" s="29" t="s">
        <v>47</v>
      </c>
      <c r="E714" s="28">
        <v>46058</v>
      </c>
      <c r="F714" s="4">
        <v>38</v>
      </c>
      <c r="G714" s="4">
        <v>10</v>
      </c>
      <c r="H714" s="6">
        <f t="shared" si="143"/>
        <v>525205.83503029484</v>
      </c>
      <c r="I714" s="6">
        <f t="shared" si="144"/>
        <v>8524.5534415169677</v>
      </c>
      <c r="J714" s="6">
        <v>0</v>
      </c>
      <c r="K714" s="6">
        <v>25900</v>
      </c>
      <c r="L714" s="6">
        <f t="shared" si="139"/>
        <v>0</v>
      </c>
      <c r="M714" s="7">
        <f t="shared" si="140"/>
        <v>7.3000000000000001E-3</v>
      </c>
      <c r="N714" s="7">
        <f t="shared" si="145"/>
        <v>7.1999999999999998E-3</v>
      </c>
      <c r="O714" s="7">
        <f t="shared" ref="O714:O724" si="148">IF(N714="","",(N714/M714)-1)</f>
        <v>-1.3698630136986356E-2</v>
      </c>
      <c r="P714" s="6">
        <f t="shared" ref="P714:P777" si="149">IFERROR(H714+I714+J714+K714+L714,"")</f>
        <v>559630.38847181178</v>
      </c>
      <c r="Q714" s="6">
        <f t="shared" si="142"/>
        <v>658759.9207359507</v>
      </c>
      <c r="R714" s="4">
        <f t="shared" ca="1" si="141"/>
        <v>-489</v>
      </c>
      <c r="S714" s="6"/>
      <c r="T714" s="5"/>
      <c r="U714" s="30" t="str">
        <f t="shared" si="146"/>
        <v>PENDIENTE</v>
      </c>
    </row>
    <row r="715" spans="1:21" x14ac:dyDescent="0.25">
      <c r="A715" s="4" t="str">
        <f t="shared" si="147"/>
        <v>20263</v>
      </c>
      <c r="B715" s="4" t="s">
        <v>24</v>
      </c>
      <c r="C715" s="4" t="s">
        <v>40</v>
      </c>
      <c r="D715" s="29" t="s">
        <v>47</v>
      </c>
      <c r="E715" s="28">
        <v>46086</v>
      </c>
      <c r="F715" s="4">
        <v>39</v>
      </c>
      <c r="G715" s="4">
        <v>9</v>
      </c>
      <c r="H715" s="6">
        <f t="shared" si="143"/>
        <v>529143.82838135201</v>
      </c>
      <c r="I715" s="6">
        <f t="shared" si="144"/>
        <v>4743.071429298845</v>
      </c>
      <c r="J715" s="6">
        <v>0</v>
      </c>
      <c r="K715" s="6">
        <v>25900</v>
      </c>
      <c r="L715" s="6">
        <f t="shared" si="139"/>
        <v>0</v>
      </c>
      <c r="M715" s="7">
        <f t="shared" si="140"/>
        <v>7.3000000000000001E-3</v>
      </c>
      <c r="N715" s="7">
        <f t="shared" si="145"/>
        <v>7.1999999999999998E-3</v>
      </c>
      <c r="O715" s="7">
        <f t="shared" si="148"/>
        <v>-1.3698630136986356E-2</v>
      </c>
      <c r="P715" s="6">
        <f t="shared" si="149"/>
        <v>559786.89981065085</v>
      </c>
      <c r="Q715" s="6">
        <f t="shared" si="142"/>
        <v>129616.09235459869</v>
      </c>
      <c r="R715" s="4">
        <f t="shared" ca="1" si="141"/>
        <v>-520</v>
      </c>
      <c r="S715" s="6"/>
      <c r="T715" s="5"/>
      <c r="U715" s="30" t="str">
        <f t="shared" si="146"/>
        <v>PENDIENTE</v>
      </c>
    </row>
    <row r="716" spans="1:21" x14ac:dyDescent="0.25">
      <c r="A716" s="4" t="str">
        <f t="shared" si="147"/>
        <v>20264</v>
      </c>
      <c r="B716" s="4" t="s">
        <v>24</v>
      </c>
      <c r="C716" s="4" t="s">
        <v>40</v>
      </c>
      <c r="D716" s="29" t="s">
        <v>47</v>
      </c>
      <c r="E716" s="28">
        <v>46117</v>
      </c>
      <c r="F716" s="4">
        <v>40</v>
      </c>
      <c r="G716" s="4">
        <v>8</v>
      </c>
      <c r="H716" s="6">
        <f t="shared" si="143"/>
        <v>533111.34880655538</v>
      </c>
      <c r="I716" s="6">
        <f t="shared" si="144"/>
        <v>933.23586495311054</v>
      </c>
      <c r="J716" s="6">
        <v>0</v>
      </c>
      <c r="K716" s="6">
        <v>25900</v>
      </c>
      <c r="L716" s="6">
        <f t="shared" si="139"/>
        <v>0</v>
      </c>
      <c r="M716" s="7">
        <f t="shared" si="140"/>
        <v>7.3000000000000001E-3</v>
      </c>
      <c r="N716" s="7">
        <f t="shared" si="145"/>
        <v>7.1999999999999998E-3</v>
      </c>
      <c r="O716" s="7">
        <f t="shared" si="148"/>
        <v>-1.3698630136986356E-2</v>
      </c>
      <c r="P716" s="6">
        <f t="shared" si="149"/>
        <v>559944.58467150852</v>
      </c>
      <c r="Q716" s="6">
        <f t="shared" si="142"/>
        <v>-403495.25645195669</v>
      </c>
      <c r="R716" s="4">
        <f t="shared" ca="1" si="141"/>
        <v>-548</v>
      </c>
      <c r="S716" s="6"/>
      <c r="T716" s="5"/>
      <c r="U716" s="30" t="str">
        <f t="shared" si="146"/>
        <v>PENDIENTE</v>
      </c>
    </row>
    <row r="717" spans="1:21" x14ac:dyDescent="0.25">
      <c r="A717" s="4" t="str">
        <f t="shared" si="147"/>
        <v>20265</v>
      </c>
      <c r="B717" s="4" t="s">
        <v>24</v>
      </c>
      <c r="C717" s="4" t="s">
        <v>40</v>
      </c>
      <c r="D717" s="29" t="s">
        <v>47</v>
      </c>
      <c r="E717" s="28">
        <v>46147</v>
      </c>
      <c r="F717" s="4">
        <v>41</v>
      </c>
      <c r="G717" s="4">
        <v>7</v>
      </c>
      <c r="H717" s="6">
        <f t="shared" si="143"/>
        <v>537108.61769990693</v>
      </c>
      <c r="I717" s="6">
        <f t="shared" si="144"/>
        <v>-2905.1658464540883</v>
      </c>
      <c r="J717" s="6">
        <v>0</v>
      </c>
      <c r="K717" s="6">
        <v>25900</v>
      </c>
      <c r="L717" s="6">
        <f t="shared" si="139"/>
        <v>0</v>
      </c>
      <c r="M717" s="7">
        <f t="shared" si="140"/>
        <v>7.3000000000000001E-3</v>
      </c>
      <c r="N717" s="7">
        <f t="shared" si="145"/>
        <v>7.1999999999999998E-3</v>
      </c>
      <c r="O717" s="7">
        <f t="shared" si="148"/>
        <v>-1.3698630136986356E-2</v>
      </c>
      <c r="P717" s="6">
        <f t="shared" si="149"/>
        <v>560103.45185345283</v>
      </c>
      <c r="Q717" s="6">
        <f t="shared" si="142"/>
        <v>-940603.87415186362</v>
      </c>
      <c r="R717" s="4">
        <f t="shared" ca="1" si="141"/>
        <v>-579</v>
      </c>
      <c r="S717" s="6"/>
      <c r="T717" s="5"/>
      <c r="U717" s="30" t="str">
        <f t="shared" si="146"/>
        <v>PENDIENTE</v>
      </c>
    </row>
    <row r="718" spans="1:21" x14ac:dyDescent="0.25">
      <c r="A718" s="4" t="str">
        <f t="shared" si="147"/>
        <v>20266</v>
      </c>
      <c r="B718" s="4" t="s">
        <v>24</v>
      </c>
      <c r="C718" s="4" t="s">
        <v>40</v>
      </c>
      <c r="D718" s="29" t="s">
        <v>47</v>
      </c>
      <c r="E718" s="28">
        <v>46178</v>
      </c>
      <c r="F718" s="4">
        <v>42</v>
      </c>
      <c r="G718" s="4">
        <v>6</v>
      </c>
      <c r="H718" s="6">
        <f t="shared" si="143"/>
        <v>541135.85811542079</v>
      </c>
      <c r="I718" s="6">
        <f t="shared" si="144"/>
        <v>-6772.3478938934177</v>
      </c>
      <c r="J718" s="6">
        <v>0</v>
      </c>
      <c r="K718" s="6">
        <v>25900</v>
      </c>
      <c r="L718" s="6">
        <f t="shared" si="139"/>
        <v>0</v>
      </c>
      <c r="M718" s="7">
        <f t="shared" si="140"/>
        <v>7.3000000000000001E-3</v>
      </c>
      <c r="N718" s="7">
        <f t="shared" si="145"/>
        <v>7.1999999999999998E-3</v>
      </c>
      <c r="O718" s="7">
        <f t="shared" si="148"/>
        <v>-1.3698630136986356E-2</v>
      </c>
      <c r="P718" s="6">
        <f t="shared" si="149"/>
        <v>560263.51022152742</v>
      </c>
      <c r="Q718" s="6">
        <f t="shared" si="142"/>
        <v>-1481739.7322672843</v>
      </c>
      <c r="R718" s="4">
        <f t="shared" ca="1" si="141"/>
        <v>-609</v>
      </c>
      <c r="S718" s="6"/>
      <c r="T718" s="5"/>
      <c r="U718" s="30" t="str">
        <f t="shared" si="146"/>
        <v>PENDIENTE</v>
      </c>
    </row>
    <row r="719" spans="1:21" x14ac:dyDescent="0.25">
      <c r="A719" s="4" t="str">
        <f t="shared" si="147"/>
        <v>20267</v>
      </c>
      <c r="B719" s="4" t="s">
        <v>24</v>
      </c>
      <c r="C719" s="4" t="s">
        <v>40</v>
      </c>
      <c r="D719" s="29" t="s">
        <v>47</v>
      </c>
      <c r="E719" s="28">
        <v>46208</v>
      </c>
      <c r="F719" s="4">
        <v>43</v>
      </c>
      <c r="G719" s="4">
        <v>5</v>
      </c>
      <c r="H719" s="6">
        <f t="shared" si="143"/>
        <v>545193.29477957019</v>
      </c>
      <c r="I719" s="6">
        <f t="shared" si="144"/>
        <v>-10668.526072324446</v>
      </c>
      <c r="J719" s="6">
        <v>0</v>
      </c>
      <c r="K719" s="6">
        <v>25900</v>
      </c>
      <c r="L719" s="6">
        <f t="shared" si="139"/>
        <v>0</v>
      </c>
      <c r="M719" s="7">
        <f t="shared" si="140"/>
        <v>7.3000000000000001E-3</v>
      </c>
      <c r="N719" s="7">
        <f t="shared" si="145"/>
        <v>7.1999999999999998E-3</v>
      </c>
      <c r="O719" s="7">
        <f t="shared" si="148"/>
        <v>-1.3698630136986356E-2</v>
      </c>
      <c r="P719" s="6">
        <f t="shared" si="149"/>
        <v>560424.7687072457</v>
      </c>
      <c r="Q719" s="6">
        <f t="shared" si="142"/>
        <v>-2026933.0270468546</v>
      </c>
      <c r="R719" s="4">
        <f t="shared" ca="1" si="141"/>
        <v>-640</v>
      </c>
      <c r="S719" s="6"/>
      <c r="T719" s="5"/>
      <c r="U719" s="30" t="str">
        <f t="shared" si="146"/>
        <v>PENDIENTE</v>
      </c>
    </row>
    <row r="720" spans="1:21" x14ac:dyDescent="0.25">
      <c r="A720" s="4" t="str">
        <f t="shared" si="147"/>
        <v>20268</v>
      </c>
      <c r="B720" s="4" t="s">
        <v>24</v>
      </c>
      <c r="C720" s="4" t="s">
        <v>40</v>
      </c>
      <c r="D720" s="29" t="s">
        <v>47</v>
      </c>
      <c r="E720" s="28">
        <v>46239</v>
      </c>
      <c r="F720" s="4">
        <v>44</v>
      </c>
      <c r="G720" s="4">
        <v>4</v>
      </c>
      <c r="H720" s="6">
        <f t="shared" si="143"/>
        <v>549281.15410382743</v>
      </c>
      <c r="I720" s="6">
        <f t="shared" si="144"/>
        <v>-14593.917794737352</v>
      </c>
      <c r="J720" s="6">
        <v>0</v>
      </c>
      <c r="K720" s="6">
        <v>25900</v>
      </c>
      <c r="L720" s="6">
        <f t="shared" si="139"/>
        <v>0</v>
      </c>
      <c r="M720" s="7">
        <f t="shared" si="140"/>
        <v>7.3000000000000001E-3</v>
      </c>
      <c r="N720" s="7">
        <f t="shared" si="145"/>
        <v>7.1999999999999989E-3</v>
      </c>
      <c r="O720" s="7">
        <f t="shared" si="148"/>
        <v>-1.3698630136986467E-2</v>
      </c>
      <c r="P720" s="6">
        <f t="shared" si="149"/>
        <v>560587.23630909005</v>
      </c>
      <c r="Q720" s="6">
        <f t="shared" si="142"/>
        <v>-2576214.1811506823</v>
      </c>
      <c r="R720" s="4">
        <f t="shared" ca="1" si="141"/>
        <v>-670</v>
      </c>
      <c r="S720" s="6"/>
      <c r="T720" s="5"/>
      <c r="U720" s="30" t="str">
        <f t="shared" si="146"/>
        <v>PENDIENTE</v>
      </c>
    </row>
    <row r="721" spans="1:21" x14ac:dyDescent="0.25">
      <c r="A721" s="4" t="str">
        <f t="shared" si="147"/>
        <v>20269</v>
      </c>
      <c r="B721" s="4" t="s">
        <v>24</v>
      </c>
      <c r="C721" s="4" t="s">
        <v>40</v>
      </c>
      <c r="D721" s="29" t="s">
        <v>47</v>
      </c>
      <c r="E721" s="28">
        <v>46270</v>
      </c>
      <c r="F721" s="4">
        <v>45</v>
      </c>
      <c r="G721" s="4">
        <v>3</v>
      </c>
      <c r="H721" s="6">
        <f t="shared" si="143"/>
        <v>553399.66419729788</v>
      </c>
      <c r="I721" s="6">
        <f t="shared" si="144"/>
        <v>-18548.742104284913</v>
      </c>
      <c r="J721" s="6">
        <v>0</v>
      </c>
      <c r="K721" s="6">
        <v>25900</v>
      </c>
      <c r="L721" s="6">
        <f t="shared" si="139"/>
        <v>0</v>
      </c>
      <c r="M721" s="7">
        <f t="shared" si="140"/>
        <v>7.3000000000000001E-3</v>
      </c>
      <c r="N721" s="7">
        <f t="shared" si="145"/>
        <v>7.1999999999999998E-3</v>
      </c>
      <c r="O721" s="7">
        <f t="shared" si="148"/>
        <v>-1.3698630136986356E-2</v>
      </c>
      <c r="P721" s="6">
        <f t="shared" si="149"/>
        <v>560750.92209301295</v>
      </c>
      <c r="Q721" s="6">
        <f t="shared" si="142"/>
        <v>-3129613.84534798</v>
      </c>
      <c r="R721" s="4">
        <f t="shared" ca="1" si="141"/>
        <v>-701</v>
      </c>
      <c r="S721" s="6"/>
      <c r="T721" s="5"/>
      <c r="U721" s="30" t="str">
        <f t="shared" si="146"/>
        <v>PENDIENTE</v>
      </c>
    </row>
    <row r="722" spans="1:21" x14ac:dyDescent="0.25">
      <c r="A722" s="4" t="str">
        <f t="shared" si="147"/>
        <v>202610</v>
      </c>
      <c r="B722" s="4" t="s">
        <v>24</v>
      </c>
      <c r="C722" s="4" t="s">
        <v>40</v>
      </c>
      <c r="D722" s="29" t="s">
        <v>47</v>
      </c>
      <c r="E722" s="28">
        <v>46300</v>
      </c>
      <c r="F722" s="4">
        <v>46</v>
      </c>
      <c r="G722" s="4">
        <v>2</v>
      </c>
      <c r="H722" s="6">
        <f t="shared" si="143"/>
        <v>557549.05487944919</v>
      </c>
      <c r="I722" s="6">
        <f t="shared" si="144"/>
        <v>-22533.219686505454</v>
      </c>
      <c r="J722" s="6">
        <v>0</v>
      </c>
      <c r="K722" s="6">
        <v>25900</v>
      </c>
      <c r="L722" s="6">
        <f t="shared" si="139"/>
        <v>0</v>
      </c>
      <c r="M722" s="7">
        <f t="shared" si="140"/>
        <v>7.3000000000000001E-3</v>
      </c>
      <c r="N722" s="7">
        <f t="shared" si="145"/>
        <v>7.1999999999999989E-3</v>
      </c>
      <c r="O722" s="7">
        <f t="shared" si="148"/>
        <v>-1.3698630136986467E-2</v>
      </c>
      <c r="P722" s="6">
        <f t="shared" si="149"/>
        <v>560915.83519294369</v>
      </c>
      <c r="Q722" s="6">
        <f t="shared" si="142"/>
        <v>-3687162.9002274293</v>
      </c>
      <c r="R722" s="4">
        <f t="shared" ca="1" si="141"/>
        <v>-732</v>
      </c>
      <c r="S722" s="6"/>
      <c r="T722" s="5"/>
      <c r="U722" s="30" t="str">
        <f t="shared" si="146"/>
        <v>PENDIENTE</v>
      </c>
    </row>
    <row r="723" spans="1:21" x14ac:dyDescent="0.25">
      <c r="A723" s="4" t="str">
        <f t="shared" si="147"/>
        <v>202611</v>
      </c>
      <c r="B723" s="4" t="s">
        <v>24</v>
      </c>
      <c r="C723" s="4" t="s">
        <v>40</v>
      </c>
      <c r="D723" s="29" t="s">
        <v>47</v>
      </c>
      <c r="E723" s="28">
        <v>46331</v>
      </c>
      <c r="F723" s="4">
        <v>47</v>
      </c>
      <c r="G723" s="4">
        <v>1</v>
      </c>
      <c r="H723" s="6">
        <f t="shared" si="143"/>
        <v>561729.55769293534</v>
      </c>
      <c r="I723" s="6">
        <f t="shared" si="144"/>
        <v>-26547.57288163749</v>
      </c>
      <c r="J723" s="6">
        <v>0</v>
      </c>
      <c r="K723" s="6">
        <v>25900</v>
      </c>
      <c r="L723" s="6">
        <f t="shared" si="139"/>
        <v>0</v>
      </c>
      <c r="M723" s="7">
        <f t="shared" si="140"/>
        <v>7.3000000000000001E-3</v>
      </c>
      <c r="N723" s="7">
        <f t="shared" si="145"/>
        <v>7.1999999999999998E-3</v>
      </c>
      <c r="O723" s="7">
        <f t="shared" si="148"/>
        <v>-1.3698630136986356E-2</v>
      </c>
      <c r="P723" s="6">
        <f t="shared" si="149"/>
        <v>561081.98481129785</v>
      </c>
      <c r="Q723" s="6">
        <f t="shared" si="142"/>
        <v>-4248892.457920365</v>
      </c>
      <c r="R723" s="4">
        <f t="shared" ca="1" si="141"/>
        <v>-762</v>
      </c>
      <c r="S723" s="6"/>
      <c r="T723" s="5"/>
      <c r="U723" s="30" t="str">
        <f t="shared" si="146"/>
        <v>PENDIENTE</v>
      </c>
    </row>
    <row r="724" spans="1:21" x14ac:dyDescent="0.25">
      <c r="A724" s="4" t="str">
        <f t="shared" si="147"/>
        <v>202612</v>
      </c>
      <c r="B724" s="4" t="s">
        <v>24</v>
      </c>
      <c r="C724" s="4" t="s">
        <v>40</v>
      </c>
      <c r="D724" s="29" t="s">
        <v>47</v>
      </c>
      <c r="E724" s="28">
        <v>46361</v>
      </c>
      <c r="F724" s="4">
        <v>48</v>
      </c>
      <c r="G724" s="4">
        <v>0</v>
      </c>
      <c r="H724" s="6">
        <f t="shared" si="143"/>
        <v>565941.40591651702</v>
      </c>
      <c r="I724" s="6">
        <f t="shared" si="144"/>
        <v>-30592.025697026627</v>
      </c>
      <c r="J724" s="6">
        <v>0</v>
      </c>
      <c r="K724" s="6">
        <v>25900</v>
      </c>
      <c r="L724" s="6">
        <f t="shared" si="139"/>
        <v>0</v>
      </c>
      <c r="M724" s="7">
        <f t="shared" si="140"/>
        <v>7.3000000000000001E-3</v>
      </c>
      <c r="N724" s="7">
        <f t="shared" si="145"/>
        <v>7.1999999999999998E-3</v>
      </c>
      <c r="O724" s="7">
        <f t="shared" si="148"/>
        <v>-1.3698630136986356E-2</v>
      </c>
      <c r="P724" s="6">
        <f t="shared" si="149"/>
        <v>561249.38021949038</v>
      </c>
      <c r="Q724" s="6">
        <f t="shared" si="142"/>
        <v>-4814833.8638368817</v>
      </c>
      <c r="R724" s="4">
        <f t="shared" ca="1" si="141"/>
        <v>-793</v>
      </c>
      <c r="S724" s="6"/>
      <c r="T724" s="5"/>
      <c r="U724" s="30" t="str">
        <f t="shared" si="146"/>
        <v>PENDIENTE</v>
      </c>
    </row>
    <row r="725" spans="1:21" x14ac:dyDescent="0.25">
      <c r="A725" s="4" t="str">
        <f t="shared" si="147"/>
        <v>20238</v>
      </c>
      <c r="B725" s="4" t="s">
        <v>20</v>
      </c>
      <c r="C725" s="4" t="s">
        <v>21</v>
      </c>
      <c r="D725" s="29" t="s">
        <v>48</v>
      </c>
      <c r="E725" s="28">
        <v>45156</v>
      </c>
      <c r="F725" s="4">
        <v>0</v>
      </c>
      <c r="G725" s="4">
        <v>52</v>
      </c>
      <c r="H725" s="6">
        <v>0</v>
      </c>
      <c r="I725" s="6">
        <v>0</v>
      </c>
      <c r="J725" s="6">
        <v>0</v>
      </c>
      <c r="K725" s="6">
        <v>0</v>
      </c>
      <c r="L725" s="6">
        <f t="shared" ref="L725:L788" si="150">IF(S724="",0,IF(S724&lt;=P724,P724-S724,0))</f>
        <v>0</v>
      </c>
      <c r="M725" s="7">
        <v>0</v>
      </c>
      <c r="N725" s="7">
        <f t="shared" si="145"/>
        <v>0</v>
      </c>
      <c r="O725" s="7">
        <v>0</v>
      </c>
      <c r="P725" s="6">
        <f t="shared" si="149"/>
        <v>0</v>
      </c>
      <c r="Q725" s="6">
        <v>169994383</v>
      </c>
      <c r="R725" s="4" t="s">
        <v>27</v>
      </c>
      <c r="S725" s="6">
        <v>0</v>
      </c>
      <c r="T725" s="5">
        <v>45156</v>
      </c>
      <c r="U725" s="30" t="str">
        <f t="shared" si="146"/>
        <v>PAGADO</v>
      </c>
    </row>
    <row r="726" spans="1:21" x14ac:dyDescent="0.25">
      <c r="A726" s="4" t="str">
        <f t="shared" si="147"/>
        <v>20239</v>
      </c>
      <c r="B726" s="4" t="s">
        <v>20</v>
      </c>
      <c r="C726" s="4" t="s">
        <v>21</v>
      </c>
      <c r="D726" s="29" t="s">
        <v>48</v>
      </c>
      <c r="E726" s="28">
        <v>45187</v>
      </c>
      <c r="F726" s="4">
        <f>F725+1</f>
        <v>1</v>
      </c>
      <c r="G726" s="4">
        <f>G725-1</f>
        <v>51</v>
      </c>
      <c r="H726" s="6">
        <v>0</v>
      </c>
      <c r="I726" s="6">
        <v>3123396</v>
      </c>
      <c r="J726" s="6">
        <v>0</v>
      </c>
      <c r="K726" s="6">
        <v>0</v>
      </c>
      <c r="L726" s="6">
        <f t="shared" si="150"/>
        <v>0</v>
      </c>
      <c r="M726" s="7">
        <f>I726/Q725</f>
        <v>1.8373524729931812E-2</v>
      </c>
      <c r="N726" s="7">
        <f t="shared" si="145"/>
        <v>1.8373524729931812E-2</v>
      </c>
      <c r="O726" s="7">
        <f t="shared" ref="O726:O777" si="151">IF(N726="","",(N726/M726)-1)</f>
        <v>0</v>
      </c>
      <c r="P726" s="6">
        <f t="shared" si="149"/>
        <v>3123396</v>
      </c>
      <c r="Q726" s="6">
        <f>Q725-H726</f>
        <v>169994383</v>
      </c>
      <c r="R726" s="4" t="str">
        <f t="shared" ref="R726:R777" ca="1" si="152">IF(B725="","",IF(T725="",TODAY()-E725,IF(T726="",TODAY()-E726,"OK")))</f>
        <v>OK</v>
      </c>
      <c r="S726" s="6">
        <f>481114.65+2642281.35</f>
        <v>3123396</v>
      </c>
      <c r="T726" s="5">
        <v>45188</v>
      </c>
      <c r="U726" s="30" t="str">
        <f t="shared" si="146"/>
        <v>PAGADO</v>
      </c>
    </row>
    <row r="727" spans="1:21" x14ac:dyDescent="0.25">
      <c r="A727" s="4" t="str">
        <f t="shared" si="147"/>
        <v>202310</v>
      </c>
      <c r="B727" s="4" t="s">
        <v>20</v>
      </c>
      <c r="C727" s="4" t="s">
        <v>21</v>
      </c>
      <c r="D727" s="29" t="s">
        <v>48</v>
      </c>
      <c r="E727" s="28">
        <v>45217</v>
      </c>
      <c r="F727" s="4">
        <f t="shared" ref="F727:F777" si="153">F726+1</f>
        <v>2</v>
      </c>
      <c r="G727" s="4">
        <f t="shared" ref="G727:G777" si="154">G726-1</f>
        <v>50</v>
      </c>
      <c r="H727" s="6">
        <v>0</v>
      </c>
      <c r="I727" s="6">
        <v>3020942</v>
      </c>
      <c r="J727" s="6">
        <v>0</v>
      </c>
      <c r="K727" s="6">
        <v>0</v>
      </c>
      <c r="L727" s="6">
        <f t="shared" si="150"/>
        <v>0</v>
      </c>
      <c r="M727" s="7">
        <v>1.8373524729931812E-2</v>
      </c>
      <c r="N727" s="7">
        <f t="shared" si="145"/>
        <v>1.777083422809329E-2</v>
      </c>
      <c r="O727" s="7">
        <f t="shared" si="151"/>
        <v>-3.2802116670444526E-2</v>
      </c>
      <c r="P727" s="6">
        <f t="shared" si="149"/>
        <v>3020942</v>
      </c>
      <c r="Q727" s="6">
        <f t="shared" ref="Q727:Q777" si="155">Q726-H727</f>
        <v>169994383</v>
      </c>
      <c r="R727" s="4" t="str">
        <f t="shared" ca="1" si="152"/>
        <v>OK</v>
      </c>
      <c r="S727" s="6">
        <v>3020942</v>
      </c>
      <c r="T727" s="5">
        <v>45218</v>
      </c>
      <c r="U727" s="30" t="str">
        <f t="shared" si="146"/>
        <v>PAGADO</v>
      </c>
    </row>
    <row r="728" spans="1:21" x14ac:dyDescent="0.25">
      <c r="A728" s="4" t="str">
        <f t="shared" si="147"/>
        <v>202311</v>
      </c>
      <c r="B728" s="4" t="s">
        <v>20</v>
      </c>
      <c r="C728" s="4" t="s">
        <v>21</v>
      </c>
      <c r="D728" s="29" t="s">
        <v>48</v>
      </c>
      <c r="E728" s="28">
        <v>45248</v>
      </c>
      <c r="F728" s="4">
        <f t="shared" si="153"/>
        <v>3</v>
      </c>
      <c r="G728" s="4">
        <f t="shared" si="154"/>
        <v>49</v>
      </c>
      <c r="H728" s="6">
        <v>0</v>
      </c>
      <c r="I728" s="6">
        <v>3122811</v>
      </c>
      <c r="J728" s="6">
        <v>0</v>
      </c>
      <c r="K728" s="6">
        <v>0</v>
      </c>
      <c r="L728" s="6">
        <f t="shared" si="150"/>
        <v>0</v>
      </c>
      <c r="M728" s="7">
        <v>1.8373524729931812E-2</v>
      </c>
      <c r="N728" s="7">
        <f t="shared" si="145"/>
        <v>1.8370083439756948E-2</v>
      </c>
      <c r="O728" s="7">
        <f t="shared" si="151"/>
        <v>-1.87296135360282E-4</v>
      </c>
      <c r="P728" s="6">
        <f t="shared" si="149"/>
        <v>3122811</v>
      </c>
      <c r="Q728" s="6">
        <f t="shared" si="155"/>
        <v>169994383</v>
      </c>
      <c r="R728" s="4" t="str">
        <f t="shared" ca="1" si="152"/>
        <v>OK</v>
      </c>
      <c r="S728" s="6">
        <v>3122811</v>
      </c>
      <c r="T728" s="5">
        <v>45250</v>
      </c>
      <c r="U728" s="30" t="str">
        <f t="shared" si="146"/>
        <v>PAGADO</v>
      </c>
    </row>
    <row r="729" spans="1:21" x14ac:dyDescent="0.25">
      <c r="A729" s="4" t="str">
        <f t="shared" si="147"/>
        <v>202312</v>
      </c>
      <c r="B729" s="4" t="s">
        <v>20</v>
      </c>
      <c r="C729" s="4" t="s">
        <v>21</v>
      </c>
      <c r="D729" s="29" t="s">
        <v>48</v>
      </c>
      <c r="E729" s="28">
        <v>45278</v>
      </c>
      <c r="F729" s="4">
        <f t="shared" si="153"/>
        <v>4</v>
      </c>
      <c r="G729" s="4">
        <f t="shared" si="154"/>
        <v>48</v>
      </c>
      <c r="H729" s="6">
        <v>0</v>
      </c>
      <c r="I729" s="6">
        <v>3021650</v>
      </c>
      <c r="J729" s="6">
        <v>0</v>
      </c>
      <c r="K729" s="6">
        <v>0</v>
      </c>
      <c r="L729" s="6">
        <f t="shared" si="150"/>
        <v>0</v>
      </c>
      <c r="M729" s="7">
        <v>1.8373524729931812E-2</v>
      </c>
      <c r="N729" s="7">
        <f t="shared" si="145"/>
        <v>1.7774999071586972E-2</v>
      </c>
      <c r="O729" s="7">
        <f t="shared" si="151"/>
        <v>-3.2575440322008431E-2</v>
      </c>
      <c r="P729" s="6">
        <f t="shared" si="149"/>
        <v>3021650</v>
      </c>
      <c r="Q729" s="6">
        <f t="shared" si="155"/>
        <v>169994383</v>
      </c>
      <c r="R729" s="4" t="str">
        <f t="shared" ca="1" si="152"/>
        <v>OK</v>
      </c>
      <c r="S729" s="6">
        <f>1511989.67+1509660.33</f>
        <v>3021650</v>
      </c>
      <c r="T729" s="5">
        <v>45281</v>
      </c>
      <c r="U729" s="30" t="str">
        <f t="shared" si="146"/>
        <v>PAGADO</v>
      </c>
    </row>
    <row r="730" spans="1:21" x14ac:dyDescent="0.25">
      <c r="A730" s="4" t="str">
        <f t="shared" si="147"/>
        <v>20241</v>
      </c>
      <c r="B730" s="4" t="s">
        <v>20</v>
      </c>
      <c r="C730" s="4" t="s">
        <v>21</v>
      </c>
      <c r="D730" s="29" t="s">
        <v>48</v>
      </c>
      <c r="E730" s="28">
        <v>45309</v>
      </c>
      <c r="F730" s="4">
        <f t="shared" si="153"/>
        <v>5</v>
      </c>
      <c r="G730" s="4">
        <f t="shared" si="154"/>
        <v>47</v>
      </c>
      <c r="H730" s="6">
        <v>0</v>
      </c>
      <c r="I730" s="6">
        <v>3123396</v>
      </c>
      <c r="J730" s="6">
        <v>0</v>
      </c>
      <c r="K730" s="6">
        <v>0</v>
      </c>
      <c r="L730" s="6">
        <f t="shared" si="150"/>
        <v>0</v>
      </c>
      <c r="M730" s="7">
        <v>1.8373524729931812E-2</v>
      </c>
      <c r="N730" s="7">
        <f t="shared" si="145"/>
        <v>1.8373524729931812E-2</v>
      </c>
      <c r="O730" s="7">
        <f t="shared" si="151"/>
        <v>0</v>
      </c>
      <c r="P730" s="6">
        <f t="shared" si="149"/>
        <v>3123396</v>
      </c>
      <c r="Q730" s="6">
        <f t="shared" si="155"/>
        <v>169994383</v>
      </c>
      <c r="R730" s="4" t="str">
        <f t="shared" ca="1" si="152"/>
        <v>OK</v>
      </c>
      <c r="S730" s="6">
        <v>3101293</v>
      </c>
      <c r="T730" s="5">
        <v>45309</v>
      </c>
      <c r="U730" s="30" t="str">
        <f t="shared" si="146"/>
        <v>PAGADO</v>
      </c>
    </row>
    <row r="731" spans="1:21" x14ac:dyDescent="0.25">
      <c r="A731" s="4" t="str">
        <f t="shared" si="147"/>
        <v>20242</v>
      </c>
      <c r="B731" s="4" t="s">
        <v>20</v>
      </c>
      <c r="C731" s="4" t="s">
        <v>21</v>
      </c>
      <c r="D731" s="29" t="s">
        <v>48</v>
      </c>
      <c r="E731" s="28">
        <v>45340</v>
      </c>
      <c r="F731" s="4">
        <f t="shared" si="153"/>
        <v>6</v>
      </c>
      <c r="G731" s="4">
        <f t="shared" si="154"/>
        <v>46</v>
      </c>
      <c r="H731" s="6">
        <v>0</v>
      </c>
      <c r="I731" s="6">
        <v>3068209</v>
      </c>
      <c r="J731" s="6">
        <v>0</v>
      </c>
      <c r="K731" s="6">
        <v>0</v>
      </c>
      <c r="L731" s="6">
        <v>0</v>
      </c>
      <c r="M731" s="7">
        <v>1.8373524729931812E-2</v>
      </c>
      <c r="N731" s="7">
        <f t="shared" si="145"/>
        <v>1.8048884591675009E-2</v>
      </c>
      <c r="O731" s="7">
        <f t="shared" si="151"/>
        <v>-1.7668909097661611E-2</v>
      </c>
      <c r="P731" s="6">
        <f t="shared" si="149"/>
        <v>3068209</v>
      </c>
      <c r="Q731" s="6">
        <f t="shared" si="155"/>
        <v>169994383</v>
      </c>
      <c r="R731" s="4" t="str">
        <f t="shared" ca="1" si="152"/>
        <v>OK</v>
      </c>
      <c r="S731" s="6">
        <v>3068209</v>
      </c>
      <c r="T731" s="5">
        <v>45341</v>
      </c>
      <c r="U731" s="30" t="str">
        <f t="shared" si="146"/>
        <v>PAGADO</v>
      </c>
    </row>
    <row r="732" spans="1:21" x14ac:dyDescent="0.25">
      <c r="A732" s="4" t="str">
        <f t="shared" si="147"/>
        <v>20243</v>
      </c>
      <c r="B732" s="4" t="s">
        <v>20</v>
      </c>
      <c r="C732" s="4" t="s">
        <v>21</v>
      </c>
      <c r="D732" s="29" t="s">
        <v>48</v>
      </c>
      <c r="E732" s="28">
        <v>45369</v>
      </c>
      <c r="F732" s="4">
        <f t="shared" si="153"/>
        <v>7</v>
      </c>
      <c r="G732" s="4">
        <f t="shared" si="154"/>
        <v>45</v>
      </c>
      <c r="H732" s="6">
        <f>169994383/46</f>
        <v>3695530.0652173911</v>
      </c>
      <c r="I732" s="6">
        <v>3123396</v>
      </c>
      <c r="J732" s="6">
        <v>0</v>
      </c>
      <c r="K732" s="6">
        <v>0</v>
      </c>
      <c r="L732" s="6">
        <f t="shared" si="150"/>
        <v>0</v>
      </c>
      <c r="M732" s="7">
        <v>1.8373524729931812E-2</v>
      </c>
      <c r="N732" s="7">
        <f t="shared" si="145"/>
        <v>1.8373524729931812E-2</v>
      </c>
      <c r="O732" s="7">
        <f t="shared" si="151"/>
        <v>0</v>
      </c>
      <c r="P732" s="6">
        <f t="shared" si="149"/>
        <v>6818926.0652173907</v>
      </c>
      <c r="Q732" s="6">
        <f t="shared" si="155"/>
        <v>166298852.93478259</v>
      </c>
      <c r="R732" s="4" t="str">
        <f t="shared" ca="1" si="152"/>
        <v>OK</v>
      </c>
      <c r="S732" s="6">
        <v>6554014</v>
      </c>
      <c r="T732" s="5">
        <v>45369</v>
      </c>
      <c r="U732" s="30" t="str">
        <f t="shared" si="146"/>
        <v>PAGADO</v>
      </c>
    </row>
    <row r="733" spans="1:21" x14ac:dyDescent="0.25">
      <c r="A733" s="4" t="str">
        <f t="shared" si="147"/>
        <v>20244</v>
      </c>
      <c r="B733" s="4" t="s">
        <v>20</v>
      </c>
      <c r="C733" s="4" t="s">
        <v>21</v>
      </c>
      <c r="D733" s="29" t="s">
        <v>48</v>
      </c>
      <c r="E733" s="28">
        <v>45400</v>
      </c>
      <c r="F733" s="4">
        <f t="shared" si="153"/>
        <v>8</v>
      </c>
      <c r="G733" s="4">
        <f t="shared" si="154"/>
        <v>44</v>
      </c>
      <c r="H733" s="6">
        <f t="shared" ref="H733:H777" si="156">169994383/46</f>
        <v>3695530.0652173911</v>
      </c>
      <c r="I733" s="6">
        <v>3055496.0869565215</v>
      </c>
      <c r="J733" s="6">
        <v>0</v>
      </c>
      <c r="K733" s="6">
        <v>0</v>
      </c>
      <c r="L733" s="6">
        <f t="shared" si="150"/>
        <v>264912.06521739066</v>
      </c>
      <c r="M733" s="7">
        <v>1.8373524729931812E-2</v>
      </c>
      <c r="N733" s="7">
        <f t="shared" si="145"/>
        <v>1.8373524729931812E-2</v>
      </c>
      <c r="O733" s="7">
        <f t="shared" si="151"/>
        <v>0</v>
      </c>
      <c r="P733" s="6">
        <f t="shared" si="149"/>
        <v>7015938.2173913028</v>
      </c>
      <c r="Q733" s="6">
        <f t="shared" si="155"/>
        <v>162603322.86956519</v>
      </c>
      <c r="R733" s="4" t="str">
        <f t="shared" ca="1" si="152"/>
        <v>OK</v>
      </c>
      <c r="S733" s="6">
        <v>6647349</v>
      </c>
      <c r="T733" s="5">
        <v>45400</v>
      </c>
      <c r="U733" s="30" t="str">
        <f t="shared" si="146"/>
        <v>PAGADO</v>
      </c>
    </row>
    <row r="734" spans="1:21" x14ac:dyDescent="0.25">
      <c r="A734" s="4" t="str">
        <f t="shared" si="147"/>
        <v>20245</v>
      </c>
      <c r="B734" s="4" t="s">
        <v>20</v>
      </c>
      <c r="C734" s="4" t="s">
        <v>21</v>
      </c>
      <c r="D734" s="29" t="s">
        <v>48</v>
      </c>
      <c r="E734" s="28">
        <v>45430</v>
      </c>
      <c r="F734" s="4">
        <f t="shared" si="153"/>
        <v>9</v>
      </c>
      <c r="G734" s="4">
        <f t="shared" si="154"/>
        <v>43</v>
      </c>
      <c r="H734" s="6">
        <f t="shared" si="156"/>
        <v>3695530.0652173911</v>
      </c>
      <c r="I734" s="6">
        <v>2987596.173913043</v>
      </c>
      <c r="J734" s="6">
        <v>0</v>
      </c>
      <c r="K734" s="6">
        <v>0</v>
      </c>
      <c r="L734" s="6">
        <f t="shared" si="150"/>
        <v>368589.21739130281</v>
      </c>
      <c r="M734" s="7">
        <v>1.8373524729931812E-2</v>
      </c>
      <c r="N734" s="7">
        <f t="shared" si="145"/>
        <v>1.8373524729931812E-2</v>
      </c>
      <c r="O734" s="7">
        <f t="shared" si="151"/>
        <v>0</v>
      </c>
      <c r="P734" s="6">
        <f t="shared" si="149"/>
        <v>7051715.4565217365</v>
      </c>
      <c r="Q734" s="6">
        <f t="shared" si="155"/>
        <v>158907792.80434778</v>
      </c>
      <c r="R734" s="4" t="str">
        <f t="shared" ca="1" si="152"/>
        <v>OK</v>
      </c>
      <c r="S734" s="6">
        <f>105101.04+6337825.96</f>
        <v>6442927</v>
      </c>
      <c r="T734" s="5">
        <v>45433</v>
      </c>
      <c r="U734" s="30" t="str">
        <f t="shared" si="146"/>
        <v>PAGADO</v>
      </c>
    </row>
    <row r="735" spans="1:21" x14ac:dyDescent="0.25">
      <c r="A735" s="4" t="str">
        <f t="shared" si="147"/>
        <v>20246</v>
      </c>
      <c r="B735" s="4" t="s">
        <v>20</v>
      </c>
      <c r="C735" s="4" t="s">
        <v>21</v>
      </c>
      <c r="D735" s="29" t="s">
        <v>48</v>
      </c>
      <c r="E735" s="28">
        <v>45461</v>
      </c>
      <c r="F735" s="4">
        <f t="shared" si="153"/>
        <v>10</v>
      </c>
      <c r="G735" s="4">
        <f t="shared" si="154"/>
        <v>42</v>
      </c>
      <c r="H735" s="6">
        <f t="shared" si="156"/>
        <v>3695530.0652173911</v>
      </c>
      <c r="I735" s="6">
        <v>2919696.2608695645</v>
      </c>
      <c r="J735" s="6">
        <v>0</v>
      </c>
      <c r="K735" s="6">
        <v>0</v>
      </c>
      <c r="L735" s="6">
        <f t="shared" si="150"/>
        <v>608788.45652173646</v>
      </c>
      <c r="M735" s="7">
        <v>1.8373524729931812E-2</v>
      </c>
      <c r="N735" s="7">
        <f t="shared" si="145"/>
        <v>1.8373524729931812E-2</v>
      </c>
      <c r="O735" s="7">
        <f t="shared" si="151"/>
        <v>0</v>
      </c>
      <c r="P735" s="6">
        <f t="shared" si="149"/>
        <v>7224014.7826086916</v>
      </c>
      <c r="Q735" s="6">
        <f t="shared" si="155"/>
        <v>155212262.73913038</v>
      </c>
      <c r="R735" s="4" t="str">
        <f t="shared" ca="1" si="152"/>
        <v>OK</v>
      </c>
      <c r="S735" s="6">
        <v>6432275</v>
      </c>
      <c r="T735" s="5">
        <v>45461</v>
      </c>
      <c r="U735" s="30" t="str">
        <f t="shared" si="146"/>
        <v>PAGADO</v>
      </c>
    </row>
    <row r="736" spans="1:21" x14ac:dyDescent="0.25">
      <c r="A736" s="4" t="str">
        <f t="shared" si="147"/>
        <v>20247</v>
      </c>
      <c r="B736" s="4" t="s">
        <v>20</v>
      </c>
      <c r="C736" s="4" t="s">
        <v>21</v>
      </c>
      <c r="D736" s="29" t="s">
        <v>48</v>
      </c>
      <c r="E736" s="28">
        <v>45491</v>
      </c>
      <c r="F736" s="4">
        <f t="shared" si="153"/>
        <v>11</v>
      </c>
      <c r="G736" s="4">
        <f t="shared" si="154"/>
        <v>41</v>
      </c>
      <c r="H736" s="6">
        <f t="shared" si="156"/>
        <v>3695530.0652173911</v>
      </c>
      <c r="I736" s="6">
        <v>2851796.347826086</v>
      </c>
      <c r="J736" s="6">
        <v>0</v>
      </c>
      <c r="K736" s="6">
        <v>0</v>
      </c>
      <c r="L736" s="6">
        <f t="shared" si="150"/>
        <v>791739.7826086916</v>
      </c>
      <c r="M736" s="7">
        <v>1.8373524729931812E-2</v>
      </c>
      <c r="N736" s="7">
        <f t="shared" si="145"/>
        <v>1.8373524729931812E-2</v>
      </c>
      <c r="O736" s="7">
        <f t="shared" si="151"/>
        <v>0</v>
      </c>
      <c r="P736" s="6">
        <f t="shared" si="149"/>
        <v>7339066.1956521682</v>
      </c>
      <c r="Q736" s="6">
        <f t="shared" si="155"/>
        <v>151516732.67391297</v>
      </c>
      <c r="R736" s="4" t="str">
        <f t="shared" ca="1" si="152"/>
        <v>OK</v>
      </c>
      <c r="S736" s="6">
        <v>6253299</v>
      </c>
      <c r="T736" s="5">
        <v>45491</v>
      </c>
      <c r="U736" s="30" t="str">
        <f t="shared" si="146"/>
        <v>PAGADO</v>
      </c>
    </row>
    <row r="737" spans="1:21" x14ac:dyDescent="0.25">
      <c r="A737" s="4" t="str">
        <f t="shared" si="147"/>
        <v>20248</v>
      </c>
      <c r="B737" s="4" t="s">
        <v>20</v>
      </c>
      <c r="C737" s="4" t="s">
        <v>21</v>
      </c>
      <c r="D737" s="29" t="s">
        <v>48</v>
      </c>
      <c r="E737" s="28">
        <v>45522</v>
      </c>
      <c r="F737" s="4">
        <f t="shared" si="153"/>
        <v>12</v>
      </c>
      <c r="G737" s="4">
        <f t="shared" si="154"/>
        <v>40</v>
      </c>
      <c r="H737" s="6">
        <f t="shared" si="156"/>
        <v>3695530.0652173911</v>
      </c>
      <c r="I737" s="6">
        <v>2783896.4347826075</v>
      </c>
      <c r="J737" s="6">
        <v>0</v>
      </c>
      <c r="K737" s="6">
        <v>0</v>
      </c>
      <c r="L737" s="6">
        <f t="shared" si="150"/>
        <v>1085767.1956521682</v>
      </c>
      <c r="M737" s="7">
        <v>1.8373524729931812E-2</v>
      </c>
      <c r="N737" s="7">
        <f t="shared" si="145"/>
        <v>1.8373524729931812E-2</v>
      </c>
      <c r="O737" s="7">
        <f t="shared" si="151"/>
        <v>0</v>
      </c>
      <c r="P737" s="6">
        <f t="shared" si="149"/>
        <v>7565193.6956521664</v>
      </c>
      <c r="Q737" s="6">
        <f t="shared" si="155"/>
        <v>147821202.60869557</v>
      </c>
      <c r="R737" s="4" t="str">
        <f t="shared" ca="1" si="152"/>
        <v>OK</v>
      </c>
      <c r="S737" s="6">
        <v>6214306</v>
      </c>
      <c r="T737" s="5">
        <v>45524</v>
      </c>
      <c r="U737" s="30" t="str">
        <f t="shared" si="146"/>
        <v>PAGADO</v>
      </c>
    </row>
    <row r="738" spans="1:21" x14ac:dyDescent="0.25">
      <c r="A738" s="4" t="str">
        <f t="shared" si="147"/>
        <v>20249</v>
      </c>
      <c r="B738" s="4" t="s">
        <v>20</v>
      </c>
      <c r="C738" s="4" t="s">
        <v>21</v>
      </c>
      <c r="D738" s="29" t="s">
        <v>48</v>
      </c>
      <c r="E738" s="28">
        <v>45553</v>
      </c>
      <c r="F738" s="4">
        <f t="shared" si="153"/>
        <v>13</v>
      </c>
      <c r="G738" s="4">
        <f t="shared" si="154"/>
        <v>39</v>
      </c>
      <c r="H738" s="6">
        <f t="shared" si="156"/>
        <v>3695530.0652173911</v>
      </c>
      <c r="I738" s="6">
        <v>2715996.521739129</v>
      </c>
      <c r="J738" s="6">
        <v>0</v>
      </c>
      <c r="K738" s="6">
        <v>0</v>
      </c>
      <c r="L738" s="6">
        <f t="shared" si="150"/>
        <v>1350887.6956521664</v>
      </c>
      <c r="M738" s="7">
        <v>1.8373524729931812E-2</v>
      </c>
      <c r="N738" s="7">
        <f t="shared" si="145"/>
        <v>1.8373524729931812E-2</v>
      </c>
      <c r="O738" s="7">
        <f t="shared" si="151"/>
        <v>0</v>
      </c>
      <c r="P738" s="6">
        <f t="shared" si="149"/>
        <v>7762414.282608686</v>
      </c>
      <c r="Q738" s="6">
        <f t="shared" si="155"/>
        <v>144125672.54347816</v>
      </c>
      <c r="R738" s="4">
        <f t="shared" ca="1" si="152"/>
        <v>-15</v>
      </c>
      <c r="S738" s="6"/>
      <c r="T738" s="5"/>
      <c r="U738" s="30" t="str">
        <f t="shared" si="146"/>
        <v>PENDIENTE</v>
      </c>
    </row>
    <row r="739" spans="1:21" x14ac:dyDescent="0.25">
      <c r="A739" s="4" t="str">
        <f t="shared" si="147"/>
        <v>202410</v>
      </c>
      <c r="B739" s="4" t="s">
        <v>20</v>
      </c>
      <c r="C739" s="4" t="s">
        <v>21</v>
      </c>
      <c r="D739" s="29" t="s">
        <v>48</v>
      </c>
      <c r="E739" s="28">
        <v>45583</v>
      </c>
      <c r="F739" s="4">
        <f t="shared" si="153"/>
        <v>14</v>
      </c>
      <c r="G739" s="4">
        <f t="shared" si="154"/>
        <v>38</v>
      </c>
      <c r="H739" s="6">
        <f t="shared" si="156"/>
        <v>3695530.0652173911</v>
      </c>
      <c r="I739" s="6">
        <v>2648096.6086956505</v>
      </c>
      <c r="J739" s="6">
        <v>0</v>
      </c>
      <c r="K739" s="6">
        <v>0</v>
      </c>
      <c r="L739" s="6">
        <f t="shared" si="150"/>
        <v>0</v>
      </c>
      <c r="M739" s="7">
        <v>1.8373524729931812E-2</v>
      </c>
      <c r="N739" s="7">
        <f t="shared" si="145"/>
        <v>1.8373524729931812E-2</v>
      </c>
      <c r="O739" s="7">
        <f t="shared" si="151"/>
        <v>0</v>
      </c>
      <c r="P739" s="6">
        <f t="shared" si="149"/>
        <v>6343626.6739130411</v>
      </c>
      <c r="Q739" s="6">
        <f t="shared" si="155"/>
        <v>140430142.47826076</v>
      </c>
      <c r="R739" s="4">
        <f t="shared" ca="1" si="152"/>
        <v>-15</v>
      </c>
      <c r="S739" s="6"/>
      <c r="T739" s="5"/>
      <c r="U739" s="30" t="str">
        <f t="shared" si="146"/>
        <v>PENDIENTE</v>
      </c>
    </row>
    <row r="740" spans="1:21" x14ac:dyDescent="0.25">
      <c r="A740" s="4" t="str">
        <f t="shared" si="147"/>
        <v>202411</v>
      </c>
      <c r="B740" s="4" t="s">
        <v>20</v>
      </c>
      <c r="C740" s="4" t="s">
        <v>21</v>
      </c>
      <c r="D740" s="29" t="s">
        <v>48</v>
      </c>
      <c r="E740" s="28">
        <v>45614</v>
      </c>
      <c r="F740" s="4">
        <f t="shared" si="153"/>
        <v>15</v>
      </c>
      <c r="G740" s="4">
        <f t="shared" si="154"/>
        <v>37</v>
      </c>
      <c r="H740" s="6">
        <f t="shared" si="156"/>
        <v>3695530.0652173911</v>
      </c>
      <c r="I740" s="6">
        <v>2580196.695652172</v>
      </c>
      <c r="J740" s="6">
        <v>0</v>
      </c>
      <c r="K740" s="6">
        <v>0</v>
      </c>
      <c r="L740" s="6">
        <f t="shared" si="150"/>
        <v>0</v>
      </c>
      <c r="M740" s="7">
        <v>1.8373524729931812E-2</v>
      </c>
      <c r="N740" s="7">
        <f t="shared" si="145"/>
        <v>1.8373524729931812E-2</v>
      </c>
      <c r="O740" s="7">
        <f t="shared" si="151"/>
        <v>0</v>
      </c>
      <c r="P740" s="6">
        <f t="shared" si="149"/>
        <v>6275726.7608695626</v>
      </c>
      <c r="Q740" s="6">
        <f t="shared" si="155"/>
        <v>136734612.41304335</v>
      </c>
      <c r="R740" s="4">
        <f t="shared" ca="1" si="152"/>
        <v>-45</v>
      </c>
      <c r="S740" s="6"/>
      <c r="T740" s="5"/>
      <c r="U740" s="30" t="str">
        <f t="shared" si="146"/>
        <v>PENDIENTE</v>
      </c>
    </row>
    <row r="741" spans="1:21" x14ac:dyDescent="0.25">
      <c r="A741" s="4" t="str">
        <f t="shared" si="147"/>
        <v>202412</v>
      </c>
      <c r="B741" s="4" t="s">
        <v>20</v>
      </c>
      <c r="C741" s="4" t="s">
        <v>21</v>
      </c>
      <c r="D741" s="29" t="s">
        <v>48</v>
      </c>
      <c r="E741" s="28">
        <v>45644</v>
      </c>
      <c r="F741" s="4">
        <f t="shared" si="153"/>
        <v>16</v>
      </c>
      <c r="G741" s="4">
        <f t="shared" si="154"/>
        <v>36</v>
      </c>
      <c r="H741" s="6">
        <f t="shared" si="156"/>
        <v>3695530.0652173911</v>
      </c>
      <c r="I741" s="6">
        <v>2512296.7826086935</v>
      </c>
      <c r="J741" s="6">
        <v>0</v>
      </c>
      <c r="K741" s="6">
        <v>0</v>
      </c>
      <c r="L741" s="6">
        <f t="shared" si="150"/>
        <v>0</v>
      </c>
      <c r="M741" s="7">
        <v>1.8373524729931812E-2</v>
      </c>
      <c r="N741" s="7">
        <f t="shared" si="145"/>
        <v>1.8373524729931812E-2</v>
      </c>
      <c r="O741" s="7">
        <f t="shared" si="151"/>
        <v>0</v>
      </c>
      <c r="P741" s="6">
        <f t="shared" si="149"/>
        <v>6207826.8478260841</v>
      </c>
      <c r="Q741" s="6">
        <f t="shared" si="155"/>
        <v>133039082.34782596</v>
      </c>
      <c r="R741" s="4">
        <f t="shared" ca="1" si="152"/>
        <v>-76</v>
      </c>
      <c r="S741" s="6"/>
      <c r="T741" s="5"/>
      <c r="U741" s="30" t="str">
        <f t="shared" si="146"/>
        <v>PENDIENTE</v>
      </c>
    </row>
    <row r="742" spans="1:21" x14ac:dyDescent="0.25">
      <c r="A742" s="4" t="str">
        <f t="shared" si="147"/>
        <v>20251</v>
      </c>
      <c r="B742" s="4" t="s">
        <v>20</v>
      </c>
      <c r="C742" s="4" t="s">
        <v>21</v>
      </c>
      <c r="D742" s="29" t="s">
        <v>48</v>
      </c>
      <c r="E742" s="28">
        <v>45675</v>
      </c>
      <c r="F742" s="4">
        <f t="shared" si="153"/>
        <v>17</v>
      </c>
      <c r="G742" s="4">
        <f t="shared" si="154"/>
        <v>35</v>
      </c>
      <c r="H742" s="6">
        <f t="shared" si="156"/>
        <v>3695530.0652173911</v>
      </c>
      <c r="I742" s="6">
        <v>2444396.869565215</v>
      </c>
      <c r="J742" s="6">
        <v>0</v>
      </c>
      <c r="K742" s="6">
        <v>0</v>
      </c>
      <c r="L742" s="6">
        <f t="shared" si="150"/>
        <v>0</v>
      </c>
      <c r="M742" s="7">
        <v>1.8373524729931812E-2</v>
      </c>
      <c r="N742" s="7">
        <f t="shared" si="145"/>
        <v>1.8373524729931812E-2</v>
      </c>
      <c r="O742" s="7">
        <f t="shared" si="151"/>
        <v>0</v>
      </c>
      <c r="P742" s="6">
        <f t="shared" si="149"/>
        <v>6139926.9347826056</v>
      </c>
      <c r="Q742" s="6">
        <f t="shared" si="155"/>
        <v>129343552.28260857</v>
      </c>
      <c r="R742" s="4">
        <f t="shared" ca="1" si="152"/>
        <v>-106</v>
      </c>
      <c r="S742" s="6"/>
      <c r="T742" s="5"/>
      <c r="U742" s="30" t="str">
        <f t="shared" si="146"/>
        <v>PENDIENTE</v>
      </c>
    </row>
    <row r="743" spans="1:21" x14ac:dyDescent="0.25">
      <c r="A743" s="4" t="str">
        <f t="shared" si="147"/>
        <v>20252</v>
      </c>
      <c r="B743" s="4" t="s">
        <v>20</v>
      </c>
      <c r="C743" s="4" t="s">
        <v>21</v>
      </c>
      <c r="D743" s="29" t="s">
        <v>48</v>
      </c>
      <c r="E743" s="28">
        <v>45706</v>
      </c>
      <c r="F743" s="4">
        <f t="shared" si="153"/>
        <v>18</v>
      </c>
      <c r="G743" s="4">
        <f t="shared" si="154"/>
        <v>34</v>
      </c>
      <c r="H743" s="6">
        <f t="shared" si="156"/>
        <v>3695530.0652173911</v>
      </c>
      <c r="I743" s="6">
        <v>2376496.9565217369</v>
      </c>
      <c r="J743" s="6">
        <v>0</v>
      </c>
      <c r="K743" s="6">
        <v>0</v>
      </c>
      <c r="L743" s="6">
        <f t="shared" si="150"/>
        <v>0</v>
      </c>
      <c r="M743" s="7">
        <v>1.8373524729931812E-2</v>
      </c>
      <c r="N743" s="7">
        <f t="shared" si="145"/>
        <v>1.8373524729931812E-2</v>
      </c>
      <c r="O743" s="7">
        <f t="shared" si="151"/>
        <v>0</v>
      </c>
      <c r="P743" s="6">
        <f t="shared" si="149"/>
        <v>6072027.021739128</v>
      </c>
      <c r="Q743" s="6">
        <f t="shared" si="155"/>
        <v>125648022.21739118</v>
      </c>
      <c r="R743" s="4">
        <f t="shared" ca="1" si="152"/>
        <v>-137</v>
      </c>
      <c r="S743" s="6"/>
      <c r="T743" s="5"/>
      <c r="U743" s="30" t="str">
        <f t="shared" si="146"/>
        <v>PENDIENTE</v>
      </c>
    </row>
    <row r="744" spans="1:21" x14ac:dyDescent="0.25">
      <c r="A744" s="4" t="str">
        <f t="shared" si="147"/>
        <v>20253</v>
      </c>
      <c r="B744" s="4" t="s">
        <v>20</v>
      </c>
      <c r="C744" s="4" t="s">
        <v>21</v>
      </c>
      <c r="D744" s="29" t="s">
        <v>48</v>
      </c>
      <c r="E744" s="28">
        <v>45734</v>
      </c>
      <c r="F744" s="4">
        <f t="shared" si="153"/>
        <v>19</v>
      </c>
      <c r="G744" s="4">
        <f t="shared" si="154"/>
        <v>33</v>
      </c>
      <c r="H744" s="6">
        <f t="shared" si="156"/>
        <v>3695530.0652173911</v>
      </c>
      <c r="I744" s="6">
        <v>2308597.0434782584</v>
      </c>
      <c r="J744" s="6">
        <v>0</v>
      </c>
      <c r="K744" s="6">
        <v>0</v>
      </c>
      <c r="L744" s="6">
        <f t="shared" si="150"/>
        <v>0</v>
      </c>
      <c r="M744" s="7">
        <v>1.8373524729931812E-2</v>
      </c>
      <c r="N744" s="7">
        <f t="shared" si="145"/>
        <v>1.8373524729931812E-2</v>
      </c>
      <c r="O744" s="7">
        <f t="shared" si="151"/>
        <v>0</v>
      </c>
      <c r="P744" s="6">
        <f t="shared" si="149"/>
        <v>6004127.1086956495</v>
      </c>
      <c r="Q744" s="6">
        <f t="shared" si="155"/>
        <v>121952492.15217379</v>
      </c>
      <c r="R744" s="4">
        <f t="shared" ca="1" si="152"/>
        <v>-168</v>
      </c>
      <c r="S744" s="6"/>
      <c r="T744" s="5"/>
      <c r="U744" s="30" t="str">
        <f t="shared" si="146"/>
        <v>PENDIENTE</v>
      </c>
    </row>
    <row r="745" spans="1:21" x14ac:dyDescent="0.25">
      <c r="A745" s="4" t="str">
        <f t="shared" si="147"/>
        <v>20254</v>
      </c>
      <c r="B745" s="4" t="s">
        <v>20</v>
      </c>
      <c r="C745" s="4" t="s">
        <v>21</v>
      </c>
      <c r="D745" s="29" t="s">
        <v>48</v>
      </c>
      <c r="E745" s="28">
        <v>45765</v>
      </c>
      <c r="F745" s="4">
        <f t="shared" si="153"/>
        <v>20</v>
      </c>
      <c r="G745" s="4">
        <f t="shared" si="154"/>
        <v>32</v>
      </c>
      <c r="H745" s="6">
        <f t="shared" si="156"/>
        <v>3695530.0652173911</v>
      </c>
      <c r="I745" s="6">
        <v>2240697.1304347804</v>
      </c>
      <c r="J745" s="6">
        <v>0</v>
      </c>
      <c r="K745" s="6">
        <v>0</v>
      </c>
      <c r="L745" s="6">
        <f t="shared" si="150"/>
        <v>0</v>
      </c>
      <c r="M745" s="7">
        <v>1.8373524729931812E-2</v>
      </c>
      <c r="N745" s="7">
        <f t="shared" si="145"/>
        <v>1.8373524729931812E-2</v>
      </c>
      <c r="O745" s="7">
        <f t="shared" si="151"/>
        <v>0</v>
      </c>
      <c r="P745" s="6">
        <f t="shared" si="149"/>
        <v>5936227.195652172</v>
      </c>
      <c r="Q745" s="6">
        <f t="shared" si="155"/>
        <v>118256962.0869564</v>
      </c>
      <c r="R745" s="4">
        <f t="shared" ca="1" si="152"/>
        <v>-196</v>
      </c>
      <c r="S745" s="6"/>
      <c r="T745" s="5"/>
      <c r="U745" s="30" t="str">
        <f t="shared" si="146"/>
        <v>PENDIENTE</v>
      </c>
    </row>
    <row r="746" spans="1:21" x14ac:dyDescent="0.25">
      <c r="A746" s="4" t="str">
        <f t="shared" si="147"/>
        <v>20255</v>
      </c>
      <c r="B746" s="4" t="s">
        <v>20</v>
      </c>
      <c r="C746" s="4" t="s">
        <v>21</v>
      </c>
      <c r="D746" s="29" t="s">
        <v>48</v>
      </c>
      <c r="E746" s="28">
        <v>45795</v>
      </c>
      <c r="F746" s="4">
        <f t="shared" si="153"/>
        <v>21</v>
      </c>
      <c r="G746" s="4">
        <f t="shared" si="154"/>
        <v>31</v>
      </c>
      <c r="H746" s="6">
        <f t="shared" si="156"/>
        <v>3695530.0652173911</v>
      </c>
      <c r="I746" s="6">
        <v>2172797.2173913019</v>
      </c>
      <c r="J746" s="6">
        <v>0</v>
      </c>
      <c r="K746" s="6">
        <v>0</v>
      </c>
      <c r="L746" s="6">
        <f t="shared" si="150"/>
        <v>0</v>
      </c>
      <c r="M746" s="7">
        <v>1.8373524729931812E-2</v>
      </c>
      <c r="N746" s="7">
        <f t="shared" si="145"/>
        <v>1.8373524729931812E-2</v>
      </c>
      <c r="O746" s="7">
        <f t="shared" si="151"/>
        <v>0</v>
      </c>
      <c r="P746" s="6">
        <f t="shared" si="149"/>
        <v>5868327.2826086935</v>
      </c>
      <c r="Q746" s="6">
        <f t="shared" si="155"/>
        <v>114561432.02173901</v>
      </c>
      <c r="R746" s="4">
        <f t="shared" ca="1" si="152"/>
        <v>-227</v>
      </c>
      <c r="S746" s="6"/>
      <c r="T746" s="5"/>
      <c r="U746" s="30" t="str">
        <f t="shared" si="146"/>
        <v>PENDIENTE</v>
      </c>
    </row>
    <row r="747" spans="1:21" x14ac:dyDescent="0.25">
      <c r="A747" s="4" t="str">
        <f t="shared" si="147"/>
        <v>20256</v>
      </c>
      <c r="B747" s="4" t="s">
        <v>20</v>
      </c>
      <c r="C747" s="4" t="s">
        <v>21</v>
      </c>
      <c r="D747" s="29" t="s">
        <v>48</v>
      </c>
      <c r="E747" s="28">
        <v>45826</v>
      </c>
      <c r="F747" s="4">
        <f t="shared" si="153"/>
        <v>22</v>
      </c>
      <c r="G747" s="4">
        <f t="shared" si="154"/>
        <v>30</v>
      </c>
      <c r="H747" s="6">
        <f t="shared" si="156"/>
        <v>3695530.0652173911</v>
      </c>
      <c r="I747" s="6">
        <v>2104897.3043478238</v>
      </c>
      <c r="J747" s="6">
        <v>0</v>
      </c>
      <c r="K747" s="6">
        <v>0</v>
      </c>
      <c r="L747" s="6">
        <f t="shared" si="150"/>
        <v>0</v>
      </c>
      <c r="M747" s="7">
        <v>1.8373524729931812E-2</v>
      </c>
      <c r="N747" s="7">
        <f t="shared" si="145"/>
        <v>1.8373524729931812E-2</v>
      </c>
      <c r="O747" s="7">
        <f t="shared" si="151"/>
        <v>0</v>
      </c>
      <c r="P747" s="6">
        <f t="shared" si="149"/>
        <v>5800427.369565215</v>
      </c>
      <c r="Q747" s="6">
        <f t="shared" si="155"/>
        <v>110865901.95652162</v>
      </c>
      <c r="R747" s="4">
        <f t="shared" ca="1" si="152"/>
        <v>-257</v>
      </c>
      <c r="S747" s="6"/>
      <c r="T747" s="5"/>
      <c r="U747" s="30" t="str">
        <f t="shared" si="146"/>
        <v>PENDIENTE</v>
      </c>
    </row>
    <row r="748" spans="1:21" x14ac:dyDescent="0.25">
      <c r="A748" s="4" t="str">
        <f t="shared" si="147"/>
        <v>20257</v>
      </c>
      <c r="B748" s="4" t="s">
        <v>20</v>
      </c>
      <c r="C748" s="4" t="s">
        <v>21</v>
      </c>
      <c r="D748" s="29" t="s">
        <v>48</v>
      </c>
      <c r="E748" s="28">
        <v>45856</v>
      </c>
      <c r="F748" s="4">
        <f t="shared" si="153"/>
        <v>23</v>
      </c>
      <c r="G748" s="4">
        <f t="shared" si="154"/>
        <v>29</v>
      </c>
      <c r="H748" s="6">
        <f t="shared" si="156"/>
        <v>3695530.0652173911</v>
      </c>
      <c r="I748" s="6">
        <v>2036997.3913043456</v>
      </c>
      <c r="J748" s="6">
        <v>0</v>
      </c>
      <c r="K748" s="6">
        <v>0</v>
      </c>
      <c r="L748" s="6">
        <f t="shared" si="150"/>
        <v>0</v>
      </c>
      <c r="M748" s="7">
        <v>1.8373524729931812E-2</v>
      </c>
      <c r="N748" s="7">
        <f t="shared" si="145"/>
        <v>1.8373524729931812E-2</v>
      </c>
      <c r="O748" s="7">
        <f t="shared" si="151"/>
        <v>0</v>
      </c>
      <c r="P748" s="6">
        <f t="shared" si="149"/>
        <v>5732527.4565217365</v>
      </c>
      <c r="Q748" s="6">
        <f t="shared" si="155"/>
        <v>107170371.89130422</v>
      </c>
      <c r="R748" s="4">
        <f t="shared" ca="1" si="152"/>
        <v>-288</v>
      </c>
      <c r="S748" s="6"/>
      <c r="T748" s="5"/>
      <c r="U748" s="30" t="str">
        <f t="shared" si="146"/>
        <v>PENDIENTE</v>
      </c>
    </row>
    <row r="749" spans="1:21" x14ac:dyDescent="0.25">
      <c r="A749" s="4" t="str">
        <f t="shared" si="147"/>
        <v>20258</v>
      </c>
      <c r="B749" s="4" t="s">
        <v>20</v>
      </c>
      <c r="C749" s="4" t="s">
        <v>21</v>
      </c>
      <c r="D749" s="29" t="s">
        <v>48</v>
      </c>
      <c r="E749" s="28">
        <v>45887</v>
      </c>
      <c r="F749" s="4">
        <f t="shared" si="153"/>
        <v>24</v>
      </c>
      <c r="G749" s="4">
        <f t="shared" si="154"/>
        <v>28</v>
      </c>
      <c r="H749" s="6">
        <f t="shared" si="156"/>
        <v>3695530.0652173911</v>
      </c>
      <c r="I749" s="6">
        <v>1969097.4782608673</v>
      </c>
      <c r="J749" s="6">
        <v>0</v>
      </c>
      <c r="K749" s="6">
        <v>0</v>
      </c>
      <c r="L749" s="6">
        <f t="shared" si="150"/>
        <v>0</v>
      </c>
      <c r="M749" s="7">
        <v>1.8373524729931812E-2</v>
      </c>
      <c r="N749" s="7">
        <f t="shared" si="145"/>
        <v>1.8373524729931812E-2</v>
      </c>
      <c r="O749" s="7">
        <f t="shared" si="151"/>
        <v>0</v>
      </c>
      <c r="P749" s="6">
        <f t="shared" si="149"/>
        <v>5664627.543478258</v>
      </c>
      <c r="Q749" s="6">
        <f t="shared" si="155"/>
        <v>103474841.82608683</v>
      </c>
      <c r="R749" s="4">
        <f t="shared" ca="1" si="152"/>
        <v>-318</v>
      </c>
      <c r="S749" s="6"/>
      <c r="T749" s="5"/>
      <c r="U749" s="30" t="str">
        <f t="shared" si="146"/>
        <v>PENDIENTE</v>
      </c>
    </row>
    <row r="750" spans="1:21" x14ac:dyDescent="0.25">
      <c r="A750" s="4" t="str">
        <f t="shared" si="147"/>
        <v>20259</v>
      </c>
      <c r="B750" s="4" t="s">
        <v>20</v>
      </c>
      <c r="C750" s="4" t="s">
        <v>21</v>
      </c>
      <c r="D750" s="29" t="s">
        <v>48</v>
      </c>
      <c r="E750" s="28">
        <v>45918</v>
      </c>
      <c r="F750" s="4">
        <f t="shared" si="153"/>
        <v>25</v>
      </c>
      <c r="G750" s="4">
        <f t="shared" si="154"/>
        <v>27</v>
      </c>
      <c r="H750" s="6">
        <f t="shared" si="156"/>
        <v>3695530.0652173911</v>
      </c>
      <c r="I750" s="6">
        <v>1901197.565217389</v>
      </c>
      <c r="J750" s="6">
        <v>0</v>
      </c>
      <c r="K750" s="6">
        <v>0</v>
      </c>
      <c r="L750" s="6">
        <f t="shared" si="150"/>
        <v>0</v>
      </c>
      <c r="M750" s="7">
        <v>1.8373524729931812E-2</v>
      </c>
      <c r="N750" s="7">
        <f t="shared" si="145"/>
        <v>1.8373524729931812E-2</v>
      </c>
      <c r="O750" s="7">
        <f t="shared" si="151"/>
        <v>0</v>
      </c>
      <c r="P750" s="6">
        <f t="shared" si="149"/>
        <v>5596727.6304347804</v>
      </c>
      <c r="Q750" s="6">
        <f t="shared" si="155"/>
        <v>99779311.760869443</v>
      </c>
      <c r="R750" s="4">
        <f t="shared" ca="1" si="152"/>
        <v>-349</v>
      </c>
      <c r="S750" s="6"/>
      <c r="T750" s="5"/>
      <c r="U750" s="30" t="str">
        <f t="shared" si="146"/>
        <v>PENDIENTE</v>
      </c>
    </row>
    <row r="751" spans="1:21" x14ac:dyDescent="0.25">
      <c r="A751" s="4" t="str">
        <f t="shared" si="147"/>
        <v>202510</v>
      </c>
      <c r="B751" s="4" t="s">
        <v>20</v>
      </c>
      <c r="C751" s="4" t="s">
        <v>21</v>
      </c>
      <c r="D751" s="29" t="s">
        <v>48</v>
      </c>
      <c r="E751" s="28">
        <v>45948</v>
      </c>
      <c r="F751" s="4">
        <f t="shared" si="153"/>
        <v>26</v>
      </c>
      <c r="G751" s="4">
        <f t="shared" si="154"/>
        <v>26</v>
      </c>
      <c r="H751" s="6">
        <f t="shared" si="156"/>
        <v>3695530.0652173911</v>
      </c>
      <c r="I751" s="6">
        <v>1833297.6521739108</v>
      </c>
      <c r="J751" s="6">
        <v>0</v>
      </c>
      <c r="K751" s="6">
        <v>0</v>
      </c>
      <c r="L751" s="6">
        <f t="shared" si="150"/>
        <v>0</v>
      </c>
      <c r="M751" s="7">
        <v>1.8373524729931812E-2</v>
      </c>
      <c r="N751" s="7">
        <f t="shared" si="145"/>
        <v>1.8373524729931812E-2</v>
      </c>
      <c r="O751" s="7">
        <f t="shared" si="151"/>
        <v>0</v>
      </c>
      <c r="P751" s="6">
        <f t="shared" si="149"/>
        <v>5528827.7173913019</v>
      </c>
      <c r="Q751" s="6">
        <f t="shared" si="155"/>
        <v>96083781.695652053</v>
      </c>
      <c r="R751" s="4">
        <f t="shared" ca="1" si="152"/>
        <v>-380</v>
      </c>
      <c r="S751" s="6"/>
      <c r="T751" s="5"/>
      <c r="U751" s="30" t="str">
        <f t="shared" si="146"/>
        <v>PENDIENTE</v>
      </c>
    </row>
    <row r="752" spans="1:21" x14ac:dyDescent="0.25">
      <c r="A752" s="4" t="str">
        <f t="shared" si="147"/>
        <v>202511</v>
      </c>
      <c r="B752" s="4" t="s">
        <v>20</v>
      </c>
      <c r="C752" s="4" t="s">
        <v>21</v>
      </c>
      <c r="D752" s="29" t="s">
        <v>48</v>
      </c>
      <c r="E752" s="28">
        <v>45979</v>
      </c>
      <c r="F752" s="4">
        <f t="shared" si="153"/>
        <v>27</v>
      </c>
      <c r="G752" s="4">
        <f t="shared" si="154"/>
        <v>25</v>
      </c>
      <c r="H752" s="6">
        <f t="shared" si="156"/>
        <v>3695530.0652173911</v>
      </c>
      <c r="I752" s="6">
        <v>1765397.7391304325</v>
      </c>
      <c r="J752" s="6">
        <v>0</v>
      </c>
      <c r="K752" s="6">
        <v>0</v>
      </c>
      <c r="L752" s="6">
        <f t="shared" si="150"/>
        <v>0</v>
      </c>
      <c r="M752" s="7">
        <v>1.8373524729931812E-2</v>
      </c>
      <c r="N752" s="7">
        <f t="shared" ref="N752:N815" si="157">IF(I752="","",I752/Q751)</f>
        <v>1.8373524729931812E-2</v>
      </c>
      <c r="O752" s="7">
        <f t="shared" si="151"/>
        <v>0</v>
      </c>
      <c r="P752" s="6">
        <f t="shared" si="149"/>
        <v>5460927.8043478234</v>
      </c>
      <c r="Q752" s="6">
        <f t="shared" si="155"/>
        <v>92388251.630434662</v>
      </c>
      <c r="R752" s="4">
        <f t="shared" ca="1" si="152"/>
        <v>-410</v>
      </c>
      <c r="S752" s="6"/>
      <c r="T752" s="5"/>
      <c r="U752" s="30" t="str">
        <f t="shared" si="146"/>
        <v>PENDIENTE</v>
      </c>
    </row>
    <row r="753" spans="1:21" x14ac:dyDescent="0.25">
      <c r="A753" s="4" t="str">
        <f t="shared" si="147"/>
        <v>202512</v>
      </c>
      <c r="B753" s="4" t="s">
        <v>20</v>
      </c>
      <c r="C753" s="4" t="s">
        <v>21</v>
      </c>
      <c r="D753" s="29" t="s">
        <v>48</v>
      </c>
      <c r="E753" s="28">
        <v>46009</v>
      </c>
      <c r="F753" s="4">
        <f t="shared" si="153"/>
        <v>28</v>
      </c>
      <c r="G753" s="4">
        <f t="shared" si="154"/>
        <v>24</v>
      </c>
      <c r="H753" s="6">
        <f t="shared" si="156"/>
        <v>3695530.0652173911</v>
      </c>
      <c r="I753" s="6">
        <v>1697497.8260869542</v>
      </c>
      <c r="J753" s="6">
        <v>0</v>
      </c>
      <c r="K753" s="6">
        <v>0</v>
      </c>
      <c r="L753" s="6">
        <f t="shared" si="150"/>
        <v>0</v>
      </c>
      <c r="M753" s="7">
        <v>1.8373524729931812E-2</v>
      </c>
      <c r="N753" s="7">
        <f t="shared" si="157"/>
        <v>1.8373524729931812E-2</v>
      </c>
      <c r="O753" s="7">
        <f t="shared" si="151"/>
        <v>0</v>
      </c>
      <c r="P753" s="6">
        <f t="shared" si="149"/>
        <v>5393027.8913043458</v>
      </c>
      <c r="Q753" s="6">
        <f t="shared" si="155"/>
        <v>88692721.565217271</v>
      </c>
      <c r="R753" s="4">
        <f t="shared" ca="1" si="152"/>
        <v>-441</v>
      </c>
      <c r="S753" s="6"/>
      <c r="T753" s="5"/>
      <c r="U753" s="30" t="str">
        <f t="shared" si="146"/>
        <v>PENDIENTE</v>
      </c>
    </row>
    <row r="754" spans="1:21" x14ac:dyDescent="0.25">
      <c r="A754" s="4" t="str">
        <f t="shared" si="147"/>
        <v>20261</v>
      </c>
      <c r="B754" s="4" t="s">
        <v>20</v>
      </c>
      <c r="C754" s="4" t="s">
        <v>21</v>
      </c>
      <c r="D754" s="29" t="s">
        <v>48</v>
      </c>
      <c r="E754" s="28">
        <v>46040</v>
      </c>
      <c r="F754" s="4">
        <f t="shared" si="153"/>
        <v>29</v>
      </c>
      <c r="G754" s="4">
        <f t="shared" si="154"/>
        <v>23</v>
      </c>
      <c r="H754" s="6">
        <f t="shared" si="156"/>
        <v>3695530.0652173911</v>
      </c>
      <c r="I754" s="6">
        <v>1629597.9130434759</v>
      </c>
      <c r="J754" s="6">
        <v>0</v>
      </c>
      <c r="K754" s="6">
        <v>0</v>
      </c>
      <c r="L754" s="6">
        <f t="shared" si="150"/>
        <v>0</v>
      </c>
      <c r="M754" s="7">
        <v>1.8373524729931812E-2</v>
      </c>
      <c r="N754" s="7">
        <f t="shared" si="157"/>
        <v>1.8373524729931812E-2</v>
      </c>
      <c r="O754" s="7">
        <f t="shared" si="151"/>
        <v>0</v>
      </c>
      <c r="P754" s="6">
        <f t="shared" si="149"/>
        <v>5325127.9782608673</v>
      </c>
      <c r="Q754" s="6">
        <f t="shared" si="155"/>
        <v>84997191.499999881</v>
      </c>
      <c r="R754" s="4">
        <f t="shared" ca="1" si="152"/>
        <v>-471</v>
      </c>
      <c r="S754" s="6"/>
      <c r="T754" s="5"/>
      <c r="U754" s="30" t="str">
        <f t="shared" si="146"/>
        <v>PENDIENTE</v>
      </c>
    </row>
    <row r="755" spans="1:21" x14ac:dyDescent="0.25">
      <c r="A755" s="4" t="str">
        <f t="shared" si="147"/>
        <v>20262</v>
      </c>
      <c r="B755" s="4" t="s">
        <v>20</v>
      </c>
      <c r="C755" s="4" t="s">
        <v>21</v>
      </c>
      <c r="D755" s="29" t="s">
        <v>48</v>
      </c>
      <c r="E755" s="28">
        <v>46071</v>
      </c>
      <c r="F755" s="4">
        <f t="shared" si="153"/>
        <v>30</v>
      </c>
      <c r="G755" s="4">
        <f t="shared" si="154"/>
        <v>22</v>
      </c>
      <c r="H755" s="6">
        <f t="shared" si="156"/>
        <v>3695530.0652173911</v>
      </c>
      <c r="I755" s="6">
        <v>1561697.9999999977</v>
      </c>
      <c r="J755" s="6">
        <v>0</v>
      </c>
      <c r="K755" s="6">
        <v>0</v>
      </c>
      <c r="L755" s="6">
        <f t="shared" si="150"/>
        <v>0</v>
      </c>
      <c r="M755" s="7">
        <v>1.8373524729931812E-2</v>
      </c>
      <c r="N755" s="7">
        <f t="shared" si="157"/>
        <v>1.8373524729931812E-2</v>
      </c>
      <c r="O755" s="7">
        <f t="shared" si="151"/>
        <v>0</v>
      </c>
      <c r="P755" s="6">
        <f t="shared" si="149"/>
        <v>5257228.0652173888</v>
      </c>
      <c r="Q755" s="6">
        <f t="shared" si="155"/>
        <v>81301661.43478249</v>
      </c>
      <c r="R755" s="4">
        <f t="shared" ca="1" si="152"/>
        <v>-502</v>
      </c>
      <c r="S755" s="6"/>
      <c r="T755" s="5"/>
      <c r="U755" s="30" t="str">
        <f t="shared" si="146"/>
        <v>PENDIENTE</v>
      </c>
    </row>
    <row r="756" spans="1:21" x14ac:dyDescent="0.25">
      <c r="A756" s="4" t="str">
        <f t="shared" si="147"/>
        <v>20263</v>
      </c>
      <c r="B756" s="4" t="s">
        <v>20</v>
      </c>
      <c r="C756" s="4" t="s">
        <v>21</v>
      </c>
      <c r="D756" s="29" t="s">
        <v>48</v>
      </c>
      <c r="E756" s="28">
        <v>46099</v>
      </c>
      <c r="F756" s="4">
        <f t="shared" si="153"/>
        <v>31</v>
      </c>
      <c r="G756" s="4">
        <f t="shared" si="154"/>
        <v>21</v>
      </c>
      <c r="H756" s="6">
        <f t="shared" si="156"/>
        <v>3695530.0652173911</v>
      </c>
      <c r="I756" s="6">
        <v>1493798.0869565196</v>
      </c>
      <c r="J756" s="6">
        <v>0</v>
      </c>
      <c r="K756" s="6">
        <v>0</v>
      </c>
      <c r="L756" s="6">
        <f t="shared" si="150"/>
        <v>0</v>
      </c>
      <c r="M756" s="7">
        <v>1.8373524729931812E-2</v>
      </c>
      <c r="N756" s="7">
        <f t="shared" si="157"/>
        <v>1.8373524729931812E-2</v>
      </c>
      <c r="O756" s="7">
        <f t="shared" si="151"/>
        <v>0</v>
      </c>
      <c r="P756" s="6">
        <f t="shared" si="149"/>
        <v>5189328.1521739103</v>
      </c>
      <c r="Q756" s="6">
        <f t="shared" si="155"/>
        <v>77606131.369565099</v>
      </c>
      <c r="R756" s="4">
        <f t="shared" ca="1" si="152"/>
        <v>-533</v>
      </c>
      <c r="S756" s="6"/>
      <c r="T756" s="5"/>
      <c r="U756" s="30" t="str">
        <f t="shared" si="146"/>
        <v>PENDIENTE</v>
      </c>
    </row>
    <row r="757" spans="1:21" x14ac:dyDescent="0.25">
      <c r="A757" s="4" t="str">
        <f t="shared" si="147"/>
        <v>20264</v>
      </c>
      <c r="B757" s="4" t="s">
        <v>20</v>
      </c>
      <c r="C757" s="4" t="s">
        <v>21</v>
      </c>
      <c r="D757" s="29" t="s">
        <v>48</v>
      </c>
      <c r="E757" s="28">
        <v>46130</v>
      </c>
      <c r="F757" s="4">
        <f t="shared" si="153"/>
        <v>32</v>
      </c>
      <c r="G757" s="4">
        <f t="shared" si="154"/>
        <v>20</v>
      </c>
      <c r="H757" s="6">
        <f t="shared" si="156"/>
        <v>3695530.0652173911</v>
      </c>
      <c r="I757" s="6">
        <v>1425898.1739130414</v>
      </c>
      <c r="J757" s="6">
        <v>0</v>
      </c>
      <c r="K757" s="6">
        <v>0</v>
      </c>
      <c r="L757" s="6">
        <f t="shared" si="150"/>
        <v>0</v>
      </c>
      <c r="M757" s="7">
        <v>1.8373524729931812E-2</v>
      </c>
      <c r="N757" s="7">
        <f t="shared" si="157"/>
        <v>1.8373524729931812E-2</v>
      </c>
      <c r="O757" s="7">
        <f t="shared" si="151"/>
        <v>0</v>
      </c>
      <c r="P757" s="6">
        <f t="shared" si="149"/>
        <v>5121428.2391304327</v>
      </c>
      <c r="Q757" s="6">
        <f t="shared" si="155"/>
        <v>73910601.304347709</v>
      </c>
      <c r="R757" s="4">
        <f t="shared" ca="1" si="152"/>
        <v>-561</v>
      </c>
      <c r="S757" s="6"/>
      <c r="T757" s="5"/>
      <c r="U757" s="30" t="str">
        <f t="shared" si="146"/>
        <v>PENDIENTE</v>
      </c>
    </row>
    <row r="758" spans="1:21" x14ac:dyDescent="0.25">
      <c r="A758" s="4" t="str">
        <f t="shared" si="147"/>
        <v>20265</v>
      </c>
      <c r="B758" s="4" t="s">
        <v>20</v>
      </c>
      <c r="C758" s="4" t="s">
        <v>21</v>
      </c>
      <c r="D758" s="29" t="s">
        <v>48</v>
      </c>
      <c r="E758" s="28">
        <v>46160</v>
      </c>
      <c r="F758" s="4">
        <f t="shared" si="153"/>
        <v>33</v>
      </c>
      <c r="G758" s="4">
        <f t="shared" si="154"/>
        <v>19</v>
      </c>
      <c r="H758" s="6">
        <f t="shared" si="156"/>
        <v>3695530.0652173911</v>
      </c>
      <c r="I758" s="6">
        <v>1357998.2608695631</v>
      </c>
      <c r="J758" s="6">
        <v>0</v>
      </c>
      <c r="K758" s="6">
        <v>0</v>
      </c>
      <c r="L758" s="6">
        <f t="shared" si="150"/>
        <v>0</v>
      </c>
      <c r="M758" s="7">
        <v>1.8373524729931812E-2</v>
      </c>
      <c r="N758" s="7">
        <f t="shared" si="157"/>
        <v>1.8373524729931812E-2</v>
      </c>
      <c r="O758" s="7">
        <f t="shared" si="151"/>
        <v>0</v>
      </c>
      <c r="P758" s="6">
        <f t="shared" si="149"/>
        <v>5053528.3260869542</v>
      </c>
      <c r="Q758" s="6">
        <f t="shared" si="155"/>
        <v>70215071.239130318</v>
      </c>
      <c r="R758" s="4">
        <f t="shared" ca="1" si="152"/>
        <v>-592</v>
      </c>
      <c r="S758" s="6"/>
      <c r="T758" s="5"/>
      <c r="U758" s="30" t="str">
        <f t="shared" si="146"/>
        <v>PENDIENTE</v>
      </c>
    </row>
    <row r="759" spans="1:21" x14ac:dyDescent="0.25">
      <c r="A759" s="4" t="str">
        <f t="shared" si="147"/>
        <v>20266</v>
      </c>
      <c r="B759" s="4" t="s">
        <v>20</v>
      </c>
      <c r="C759" s="4" t="s">
        <v>21</v>
      </c>
      <c r="D759" s="29" t="s">
        <v>48</v>
      </c>
      <c r="E759" s="28">
        <v>46191</v>
      </c>
      <c r="F759" s="4">
        <f t="shared" si="153"/>
        <v>34</v>
      </c>
      <c r="G759" s="4">
        <f t="shared" si="154"/>
        <v>18</v>
      </c>
      <c r="H759" s="6">
        <f t="shared" si="156"/>
        <v>3695530.0652173911</v>
      </c>
      <c r="I759" s="6">
        <v>1290098.3478260848</v>
      </c>
      <c r="J759" s="6">
        <v>0</v>
      </c>
      <c r="K759" s="6">
        <v>0</v>
      </c>
      <c r="L759" s="6">
        <f t="shared" si="150"/>
        <v>0</v>
      </c>
      <c r="M759" s="7">
        <v>1.8373524729931812E-2</v>
      </c>
      <c r="N759" s="7">
        <f t="shared" si="157"/>
        <v>1.8373524729931812E-2</v>
      </c>
      <c r="O759" s="7">
        <f t="shared" si="151"/>
        <v>0</v>
      </c>
      <c r="P759" s="6">
        <f t="shared" si="149"/>
        <v>4985628.4130434757</v>
      </c>
      <c r="Q759" s="6">
        <f t="shared" si="155"/>
        <v>66519541.173912928</v>
      </c>
      <c r="R759" s="4">
        <f t="shared" ca="1" si="152"/>
        <v>-622</v>
      </c>
      <c r="S759" s="6"/>
      <c r="T759" s="5"/>
      <c r="U759" s="30" t="str">
        <f t="shared" si="146"/>
        <v>PENDIENTE</v>
      </c>
    </row>
    <row r="760" spans="1:21" x14ac:dyDescent="0.25">
      <c r="A760" s="4" t="str">
        <f t="shared" si="147"/>
        <v>20267</v>
      </c>
      <c r="B760" s="4" t="s">
        <v>20</v>
      </c>
      <c r="C760" s="4" t="s">
        <v>21</v>
      </c>
      <c r="D760" s="29" t="s">
        <v>48</v>
      </c>
      <c r="E760" s="28">
        <v>46221</v>
      </c>
      <c r="F760" s="4">
        <f t="shared" si="153"/>
        <v>35</v>
      </c>
      <c r="G760" s="4">
        <f t="shared" si="154"/>
        <v>17</v>
      </c>
      <c r="H760" s="6">
        <f t="shared" si="156"/>
        <v>3695530.0652173911</v>
      </c>
      <c r="I760" s="6">
        <v>1222198.4347826065</v>
      </c>
      <c r="J760" s="6">
        <v>0</v>
      </c>
      <c r="K760" s="6">
        <v>0</v>
      </c>
      <c r="L760" s="6">
        <f t="shared" si="150"/>
        <v>0</v>
      </c>
      <c r="M760" s="7">
        <v>1.8373524729931812E-2</v>
      </c>
      <c r="N760" s="7">
        <f t="shared" si="157"/>
        <v>1.8373524729931812E-2</v>
      </c>
      <c r="O760" s="7">
        <f t="shared" si="151"/>
        <v>0</v>
      </c>
      <c r="P760" s="6">
        <f t="shared" si="149"/>
        <v>4917728.4999999981</v>
      </c>
      <c r="Q760" s="6">
        <f t="shared" si="155"/>
        <v>62824011.108695537</v>
      </c>
      <c r="R760" s="4">
        <f t="shared" ca="1" si="152"/>
        <v>-653</v>
      </c>
      <c r="S760" s="6"/>
      <c r="T760" s="5"/>
      <c r="U760" s="30" t="str">
        <f t="shared" si="146"/>
        <v>PENDIENTE</v>
      </c>
    </row>
    <row r="761" spans="1:21" x14ac:dyDescent="0.25">
      <c r="A761" s="4" t="str">
        <f t="shared" si="147"/>
        <v>20268</v>
      </c>
      <c r="B761" s="4" t="s">
        <v>20</v>
      </c>
      <c r="C761" s="4" t="s">
        <v>21</v>
      </c>
      <c r="D761" s="29" t="s">
        <v>48</v>
      </c>
      <c r="E761" s="28">
        <v>46252</v>
      </c>
      <c r="F761" s="4">
        <f t="shared" si="153"/>
        <v>36</v>
      </c>
      <c r="G761" s="4">
        <f t="shared" si="154"/>
        <v>16</v>
      </c>
      <c r="H761" s="6">
        <f t="shared" si="156"/>
        <v>3695530.0652173911</v>
      </c>
      <c r="I761" s="6">
        <v>1154298.5217391283</v>
      </c>
      <c r="J761" s="6">
        <v>0</v>
      </c>
      <c r="K761" s="6">
        <v>0</v>
      </c>
      <c r="L761" s="6">
        <f t="shared" si="150"/>
        <v>0</v>
      </c>
      <c r="M761" s="7">
        <v>1.8373524729931812E-2</v>
      </c>
      <c r="N761" s="7">
        <f t="shared" si="157"/>
        <v>1.8373524729931812E-2</v>
      </c>
      <c r="O761" s="7">
        <f t="shared" si="151"/>
        <v>0</v>
      </c>
      <c r="P761" s="6">
        <f t="shared" si="149"/>
        <v>4849828.5869565196</v>
      </c>
      <c r="Q761" s="6">
        <f t="shared" si="155"/>
        <v>59128481.043478146</v>
      </c>
      <c r="R761" s="4">
        <f t="shared" ca="1" si="152"/>
        <v>-683</v>
      </c>
      <c r="S761" s="6"/>
      <c r="T761" s="5"/>
      <c r="U761" s="30" t="str">
        <f t="shared" si="146"/>
        <v>PENDIENTE</v>
      </c>
    </row>
    <row r="762" spans="1:21" x14ac:dyDescent="0.25">
      <c r="A762" s="4" t="str">
        <f t="shared" si="147"/>
        <v>20269</v>
      </c>
      <c r="B762" s="4" t="s">
        <v>20</v>
      </c>
      <c r="C762" s="4" t="s">
        <v>21</v>
      </c>
      <c r="D762" s="29" t="s">
        <v>48</v>
      </c>
      <c r="E762" s="28">
        <v>46283</v>
      </c>
      <c r="F762" s="4">
        <f t="shared" si="153"/>
        <v>37</v>
      </c>
      <c r="G762" s="4">
        <f t="shared" si="154"/>
        <v>15</v>
      </c>
      <c r="H762" s="6">
        <f t="shared" si="156"/>
        <v>3695530.0652173911</v>
      </c>
      <c r="I762" s="6">
        <v>1086398.60869565</v>
      </c>
      <c r="J762" s="6">
        <v>0</v>
      </c>
      <c r="K762" s="6">
        <v>0</v>
      </c>
      <c r="L762" s="6">
        <f t="shared" si="150"/>
        <v>0</v>
      </c>
      <c r="M762" s="7">
        <v>1.8373524729931812E-2</v>
      </c>
      <c r="N762" s="7">
        <f t="shared" si="157"/>
        <v>1.8373524729931812E-2</v>
      </c>
      <c r="O762" s="7">
        <f t="shared" si="151"/>
        <v>0</v>
      </c>
      <c r="P762" s="6">
        <f t="shared" si="149"/>
        <v>4781928.6739130411</v>
      </c>
      <c r="Q762" s="6">
        <f t="shared" si="155"/>
        <v>55432950.978260756</v>
      </c>
      <c r="R762" s="4">
        <f t="shared" ca="1" si="152"/>
        <v>-714</v>
      </c>
      <c r="S762" s="6"/>
      <c r="T762" s="5"/>
      <c r="U762" s="30" t="str">
        <f t="shared" si="146"/>
        <v>PENDIENTE</v>
      </c>
    </row>
    <row r="763" spans="1:21" x14ac:dyDescent="0.25">
      <c r="A763" s="4" t="str">
        <f t="shared" si="147"/>
        <v>202610</v>
      </c>
      <c r="B763" s="4" t="s">
        <v>20</v>
      </c>
      <c r="C763" s="4" t="s">
        <v>21</v>
      </c>
      <c r="D763" s="29" t="s">
        <v>48</v>
      </c>
      <c r="E763" s="28">
        <v>46313</v>
      </c>
      <c r="F763" s="4">
        <f t="shared" si="153"/>
        <v>38</v>
      </c>
      <c r="G763" s="4">
        <f t="shared" si="154"/>
        <v>14</v>
      </c>
      <c r="H763" s="6">
        <f t="shared" si="156"/>
        <v>3695530.0652173911</v>
      </c>
      <c r="I763" s="6">
        <v>1018498.6956521719</v>
      </c>
      <c r="J763" s="6">
        <v>0</v>
      </c>
      <c r="K763" s="6">
        <v>0</v>
      </c>
      <c r="L763" s="6">
        <f t="shared" si="150"/>
        <v>0</v>
      </c>
      <c r="M763" s="7">
        <v>1.8373524729931812E-2</v>
      </c>
      <c r="N763" s="7">
        <f t="shared" si="157"/>
        <v>1.8373524729931812E-2</v>
      </c>
      <c r="O763" s="7">
        <f t="shared" si="151"/>
        <v>0</v>
      </c>
      <c r="P763" s="6">
        <f t="shared" si="149"/>
        <v>4714028.7608695626</v>
      </c>
      <c r="Q763" s="6">
        <f t="shared" si="155"/>
        <v>51737420.913043365</v>
      </c>
      <c r="R763" s="4">
        <f t="shared" ca="1" si="152"/>
        <v>-745</v>
      </c>
      <c r="S763" s="6"/>
      <c r="T763" s="5"/>
      <c r="U763" s="30" t="str">
        <f t="shared" si="146"/>
        <v>PENDIENTE</v>
      </c>
    </row>
    <row r="764" spans="1:21" x14ac:dyDescent="0.25">
      <c r="A764" s="4" t="str">
        <f t="shared" si="147"/>
        <v>202611</v>
      </c>
      <c r="B764" s="4" t="s">
        <v>20</v>
      </c>
      <c r="C764" s="4" t="s">
        <v>21</v>
      </c>
      <c r="D764" s="29" t="s">
        <v>48</v>
      </c>
      <c r="E764" s="28">
        <v>46344</v>
      </c>
      <c r="F764" s="4">
        <f t="shared" si="153"/>
        <v>39</v>
      </c>
      <c r="G764" s="4">
        <f t="shared" si="154"/>
        <v>13</v>
      </c>
      <c r="H764" s="6">
        <f t="shared" si="156"/>
        <v>3695530.0652173911</v>
      </c>
      <c r="I764" s="6">
        <v>950598.78260869358</v>
      </c>
      <c r="J764" s="6">
        <v>0</v>
      </c>
      <c r="K764" s="6">
        <v>0</v>
      </c>
      <c r="L764" s="6">
        <f t="shared" si="150"/>
        <v>0</v>
      </c>
      <c r="M764" s="7">
        <v>1.8373524729931812E-2</v>
      </c>
      <c r="N764" s="7">
        <f t="shared" si="157"/>
        <v>1.8373524729931812E-2</v>
      </c>
      <c r="O764" s="7">
        <f t="shared" si="151"/>
        <v>0</v>
      </c>
      <c r="P764" s="6">
        <f t="shared" si="149"/>
        <v>4646128.8478260851</v>
      </c>
      <c r="Q764" s="6">
        <f t="shared" si="155"/>
        <v>48041890.847825974</v>
      </c>
      <c r="R764" s="4">
        <f t="shared" ca="1" si="152"/>
        <v>-775</v>
      </c>
      <c r="S764" s="6"/>
      <c r="T764" s="5"/>
      <c r="U764" s="30" t="str">
        <f t="shared" si="146"/>
        <v>PENDIENTE</v>
      </c>
    </row>
    <row r="765" spans="1:21" x14ac:dyDescent="0.25">
      <c r="A765" s="4" t="str">
        <f t="shared" si="147"/>
        <v>202612</v>
      </c>
      <c r="B765" s="4" t="s">
        <v>20</v>
      </c>
      <c r="C765" s="4" t="s">
        <v>21</v>
      </c>
      <c r="D765" s="29" t="s">
        <v>48</v>
      </c>
      <c r="E765" s="28">
        <v>46374</v>
      </c>
      <c r="F765" s="4">
        <f t="shared" si="153"/>
        <v>40</v>
      </c>
      <c r="G765" s="4">
        <f t="shared" si="154"/>
        <v>12</v>
      </c>
      <c r="H765" s="6">
        <f t="shared" si="156"/>
        <v>3695530.0652173911</v>
      </c>
      <c r="I765" s="6">
        <v>882698.86956521531</v>
      </c>
      <c r="J765" s="6">
        <v>0</v>
      </c>
      <c r="K765" s="6">
        <v>0</v>
      </c>
      <c r="L765" s="6">
        <f t="shared" si="150"/>
        <v>0</v>
      </c>
      <c r="M765" s="7">
        <v>1.8373524729931812E-2</v>
      </c>
      <c r="N765" s="7">
        <f t="shared" si="157"/>
        <v>1.8373524729931812E-2</v>
      </c>
      <c r="O765" s="7">
        <f t="shared" si="151"/>
        <v>0</v>
      </c>
      <c r="P765" s="6">
        <f t="shared" si="149"/>
        <v>4578228.9347826065</v>
      </c>
      <c r="Q765" s="6">
        <f t="shared" si="155"/>
        <v>44346360.782608584</v>
      </c>
      <c r="R765" s="4">
        <f t="shared" ca="1" si="152"/>
        <v>-806</v>
      </c>
      <c r="S765" s="6"/>
      <c r="T765" s="5"/>
      <c r="U765" s="30" t="str">
        <f t="shared" si="146"/>
        <v>PENDIENTE</v>
      </c>
    </row>
    <row r="766" spans="1:21" x14ac:dyDescent="0.25">
      <c r="A766" s="4" t="str">
        <f t="shared" si="147"/>
        <v>20271</v>
      </c>
      <c r="B766" s="4" t="s">
        <v>20</v>
      </c>
      <c r="C766" s="4" t="s">
        <v>21</v>
      </c>
      <c r="D766" s="29" t="s">
        <v>48</v>
      </c>
      <c r="E766" s="28">
        <v>46405</v>
      </c>
      <c r="F766" s="4">
        <f t="shared" si="153"/>
        <v>41</v>
      </c>
      <c r="G766" s="4">
        <f t="shared" si="154"/>
        <v>11</v>
      </c>
      <c r="H766" s="6">
        <f t="shared" si="156"/>
        <v>3695530.0652173911</v>
      </c>
      <c r="I766" s="6">
        <v>814798.95652173704</v>
      </c>
      <c r="J766" s="6">
        <v>0</v>
      </c>
      <c r="K766" s="6">
        <v>0</v>
      </c>
      <c r="L766" s="6">
        <f t="shared" si="150"/>
        <v>0</v>
      </c>
      <c r="M766" s="7">
        <v>1.8373524729931812E-2</v>
      </c>
      <c r="N766" s="7">
        <f t="shared" si="157"/>
        <v>1.8373524729931812E-2</v>
      </c>
      <c r="O766" s="7">
        <f t="shared" si="151"/>
        <v>0</v>
      </c>
      <c r="P766" s="6">
        <f t="shared" si="149"/>
        <v>4510329.021739128</v>
      </c>
      <c r="Q766" s="6">
        <f t="shared" si="155"/>
        <v>40650830.717391193</v>
      </c>
      <c r="R766" s="4">
        <f t="shared" ca="1" si="152"/>
        <v>-836</v>
      </c>
      <c r="S766" s="6"/>
      <c r="T766" s="5"/>
      <c r="U766" s="30" t="str">
        <f t="shared" si="146"/>
        <v>PENDIENTE</v>
      </c>
    </row>
    <row r="767" spans="1:21" x14ac:dyDescent="0.25">
      <c r="A767" s="4" t="str">
        <f t="shared" si="147"/>
        <v>20272</v>
      </c>
      <c r="B767" s="4" t="s">
        <v>20</v>
      </c>
      <c r="C767" s="4" t="s">
        <v>21</v>
      </c>
      <c r="D767" s="29" t="s">
        <v>48</v>
      </c>
      <c r="E767" s="28">
        <v>46436</v>
      </c>
      <c r="F767" s="4">
        <f t="shared" si="153"/>
        <v>42</v>
      </c>
      <c r="G767" s="4">
        <f t="shared" si="154"/>
        <v>10</v>
      </c>
      <c r="H767" s="6">
        <f t="shared" si="156"/>
        <v>3695530.0652173911</v>
      </c>
      <c r="I767" s="6">
        <v>746899.04347825877</v>
      </c>
      <c r="J767" s="6">
        <v>0</v>
      </c>
      <c r="K767" s="6">
        <v>0</v>
      </c>
      <c r="L767" s="6">
        <f t="shared" si="150"/>
        <v>0</v>
      </c>
      <c r="M767" s="7">
        <v>1.8373524729931812E-2</v>
      </c>
      <c r="N767" s="7">
        <f t="shared" si="157"/>
        <v>1.8373524729931812E-2</v>
      </c>
      <c r="O767" s="7">
        <f t="shared" si="151"/>
        <v>0</v>
      </c>
      <c r="P767" s="6">
        <f t="shared" si="149"/>
        <v>4442429.1086956495</v>
      </c>
      <c r="Q767" s="6">
        <f t="shared" si="155"/>
        <v>36955300.652173802</v>
      </c>
      <c r="R767" s="4">
        <f t="shared" ca="1" si="152"/>
        <v>-867</v>
      </c>
      <c r="S767" s="6"/>
      <c r="T767" s="5"/>
      <c r="U767" s="30" t="str">
        <f t="shared" si="146"/>
        <v>PENDIENTE</v>
      </c>
    </row>
    <row r="768" spans="1:21" x14ac:dyDescent="0.25">
      <c r="A768" s="4" t="str">
        <f t="shared" si="147"/>
        <v>20273</v>
      </c>
      <c r="B768" s="4" t="s">
        <v>20</v>
      </c>
      <c r="C768" s="4" t="s">
        <v>21</v>
      </c>
      <c r="D768" s="29" t="s">
        <v>48</v>
      </c>
      <c r="E768" s="28">
        <v>46464</v>
      </c>
      <c r="F768" s="4">
        <f t="shared" si="153"/>
        <v>43</v>
      </c>
      <c r="G768" s="4">
        <f t="shared" si="154"/>
        <v>9</v>
      </c>
      <c r="H768" s="6">
        <f t="shared" si="156"/>
        <v>3695530.0652173911</v>
      </c>
      <c r="I768" s="6">
        <v>678999.13043478061</v>
      </c>
      <c r="J768" s="6">
        <v>0</v>
      </c>
      <c r="K768" s="6">
        <v>0</v>
      </c>
      <c r="L768" s="6">
        <f t="shared" si="150"/>
        <v>0</v>
      </c>
      <c r="M768" s="7">
        <v>1.8373524729931812E-2</v>
      </c>
      <c r="N768" s="7">
        <f t="shared" si="157"/>
        <v>1.8373524729931812E-2</v>
      </c>
      <c r="O768" s="7">
        <f t="shared" si="151"/>
        <v>0</v>
      </c>
      <c r="P768" s="6">
        <f t="shared" si="149"/>
        <v>4374529.195652172</v>
      </c>
      <c r="Q768" s="6">
        <f t="shared" si="155"/>
        <v>33259770.586956412</v>
      </c>
      <c r="R768" s="4">
        <f t="shared" ca="1" si="152"/>
        <v>-898</v>
      </c>
      <c r="S768" s="6"/>
      <c r="T768" s="5"/>
      <c r="U768" s="30" t="str">
        <f t="shared" si="146"/>
        <v>PENDIENTE</v>
      </c>
    </row>
    <row r="769" spans="1:21" x14ac:dyDescent="0.25">
      <c r="A769" s="4" t="str">
        <f t="shared" si="147"/>
        <v>20274</v>
      </c>
      <c r="B769" s="4" t="s">
        <v>20</v>
      </c>
      <c r="C769" s="4" t="s">
        <v>21</v>
      </c>
      <c r="D769" s="29" t="s">
        <v>48</v>
      </c>
      <c r="E769" s="28">
        <v>46495</v>
      </c>
      <c r="F769" s="4">
        <f t="shared" si="153"/>
        <v>44</v>
      </c>
      <c r="G769" s="4">
        <f t="shared" si="154"/>
        <v>8</v>
      </c>
      <c r="H769" s="6">
        <f t="shared" si="156"/>
        <v>3695530.0652173911</v>
      </c>
      <c r="I769" s="6">
        <v>611099.21739130234</v>
      </c>
      <c r="J769" s="6">
        <v>0</v>
      </c>
      <c r="K769" s="6">
        <v>0</v>
      </c>
      <c r="L769" s="6">
        <f t="shared" si="150"/>
        <v>0</v>
      </c>
      <c r="M769" s="7">
        <v>1.8373524729931812E-2</v>
      </c>
      <c r="N769" s="7">
        <f t="shared" si="157"/>
        <v>1.8373524729931812E-2</v>
      </c>
      <c r="O769" s="7">
        <f t="shared" si="151"/>
        <v>0</v>
      </c>
      <c r="P769" s="6">
        <f t="shared" si="149"/>
        <v>4306629.2826086935</v>
      </c>
      <c r="Q769" s="6">
        <f t="shared" si="155"/>
        <v>29564240.521739021</v>
      </c>
      <c r="R769" s="4">
        <f t="shared" ca="1" si="152"/>
        <v>-926</v>
      </c>
      <c r="S769" s="6"/>
      <c r="T769" s="5"/>
      <c r="U769" s="30" t="str">
        <f t="shared" si="146"/>
        <v>PENDIENTE</v>
      </c>
    </row>
    <row r="770" spans="1:21" x14ac:dyDescent="0.25">
      <c r="A770" s="4" t="str">
        <f t="shared" si="147"/>
        <v>20275</v>
      </c>
      <c r="B770" s="4" t="s">
        <v>20</v>
      </c>
      <c r="C770" s="4" t="s">
        <v>21</v>
      </c>
      <c r="D770" s="29" t="s">
        <v>48</v>
      </c>
      <c r="E770" s="28">
        <v>46525</v>
      </c>
      <c r="F770" s="4">
        <f t="shared" si="153"/>
        <v>45</v>
      </c>
      <c r="G770" s="4">
        <f t="shared" si="154"/>
        <v>7</v>
      </c>
      <c r="H770" s="6">
        <f t="shared" si="156"/>
        <v>3695530.0652173911</v>
      </c>
      <c r="I770" s="6">
        <v>543199.30434782407</v>
      </c>
      <c r="J770" s="6">
        <v>0</v>
      </c>
      <c r="K770" s="6">
        <v>0</v>
      </c>
      <c r="L770" s="6">
        <f t="shared" si="150"/>
        <v>0</v>
      </c>
      <c r="M770" s="7">
        <v>1.8373524729931812E-2</v>
      </c>
      <c r="N770" s="7">
        <f t="shared" si="157"/>
        <v>1.8373524729931812E-2</v>
      </c>
      <c r="O770" s="7">
        <f t="shared" si="151"/>
        <v>0</v>
      </c>
      <c r="P770" s="6">
        <f t="shared" si="149"/>
        <v>4238729.369565215</v>
      </c>
      <c r="Q770" s="6">
        <f t="shared" si="155"/>
        <v>25868710.45652163</v>
      </c>
      <c r="R770" s="4">
        <f t="shared" ca="1" si="152"/>
        <v>-957</v>
      </c>
      <c r="S770" s="6"/>
      <c r="T770" s="5"/>
      <c r="U770" s="30" t="str">
        <f t="shared" ref="U770:U833" si="158">IF(AND(S770="",T770=""),"PENDIENTE",IF(AND(S770&lt;&gt;"",T770&lt;&gt;""),"PAGADO","ABONADO"))</f>
        <v>PENDIENTE</v>
      </c>
    </row>
    <row r="771" spans="1:21" x14ac:dyDescent="0.25">
      <c r="A771" s="4" t="str">
        <f t="shared" ref="A771:A834" si="159">CONCATENATE(YEAR($E771),MONTH($E771))</f>
        <v>20276</v>
      </c>
      <c r="B771" s="4" t="s">
        <v>20</v>
      </c>
      <c r="C771" s="4" t="s">
        <v>21</v>
      </c>
      <c r="D771" s="29" t="s">
        <v>48</v>
      </c>
      <c r="E771" s="28">
        <v>46556</v>
      </c>
      <c r="F771" s="4">
        <f t="shared" si="153"/>
        <v>46</v>
      </c>
      <c r="G771" s="4">
        <f t="shared" si="154"/>
        <v>6</v>
      </c>
      <c r="H771" s="6">
        <f t="shared" si="156"/>
        <v>3695530.0652173911</v>
      </c>
      <c r="I771" s="6">
        <v>475299.3913043458</v>
      </c>
      <c r="J771" s="6">
        <v>0</v>
      </c>
      <c r="K771" s="6">
        <v>0</v>
      </c>
      <c r="L771" s="6">
        <f t="shared" si="150"/>
        <v>0</v>
      </c>
      <c r="M771" s="7">
        <v>1.8373524729931812E-2</v>
      </c>
      <c r="N771" s="7">
        <f t="shared" si="157"/>
        <v>1.8373524729931812E-2</v>
      </c>
      <c r="O771" s="7">
        <f t="shared" si="151"/>
        <v>0</v>
      </c>
      <c r="P771" s="6">
        <f t="shared" si="149"/>
        <v>4170829.4565217369</v>
      </c>
      <c r="Q771" s="6">
        <f t="shared" si="155"/>
        <v>22173180.39130424</v>
      </c>
      <c r="R771" s="4">
        <f t="shared" ca="1" si="152"/>
        <v>-987</v>
      </c>
      <c r="S771" s="6"/>
      <c r="T771" s="5"/>
      <c r="U771" s="30" t="str">
        <f t="shared" si="158"/>
        <v>PENDIENTE</v>
      </c>
    </row>
    <row r="772" spans="1:21" x14ac:dyDescent="0.25">
      <c r="A772" s="4" t="str">
        <f t="shared" si="159"/>
        <v>20277</v>
      </c>
      <c r="B772" s="4" t="s">
        <v>20</v>
      </c>
      <c r="C772" s="4" t="s">
        <v>21</v>
      </c>
      <c r="D772" s="29" t="s">
        <v>48</v>
      </c>
      <c r="E772" s="28">
        <v>46586</v>
      </c>
      <c r="F772" s="4">
        <f t="shared" si="153"/>
        <v>47</v>
      </c>
      <c r="G772" s="4">
        <f t="shared" si="154"/>
        <v>5</v>
      </c>
      <c r="H772" s="6">
        <f t="shared" si="156"/>
        <v>3695530.0652173911</v>
      </c>
      <c r="I772" s="6">
        <v>407399.47826086759</v>
      </c>
      <c r="J772" s="6">
        <v>0</v>
      </c>
      <c r="K772" s="6">
        <v>0</v>
      </c>
      <c r="L772" s="6">
        <f t="shared" si="150"/>
        <v>0</v>
      </c>
      <c r="M772" s="7">
        <v>1.8373524729931812E-2</v>
      </c>
      <c r="N772" s="7">
        <f t="shared" si="157"/>
        <v>1.8373524729931812E-2</v>
      </c>
      <c r="O772" s="7">
        <f t="shared" si="151"/>
        <v>0</v>
      </c>
      <c r="P772" s="6">
        <f t="shared" si="149"/>
        <v>4102929.5434782589</v>
      </c>
      <c r="Q772" s="6">
        <f t="shared" si="155"/>
        <v>18477650.326086849</v>
      </c>
      <c r="R772" s="4">
        <f t="shared" ca="1" si="152"/>
        <v>-1018</v>
      </c>
      <c r="S772" s="6"/>
      <c r="T772" s="5"/>
      <c r="U772" s="30" t="str">
        <f t="shared" si="158"/>
        <v>PENDIENTE</v>
      </c>
    </row>
    <row r="773" spans="1:21" x14ac:dyDescent="0.25">
      <c r="A773" s="4" t="str">
        <f t="shared" si="159"/>
        <v>20278</v>
      </c>
      <c r="B773" s="4" t="s">
        <v>20</v>
      </c>
      <c r="C773" s="4" t="s">
        <v>21</v>
      </c>
      <c r="D773" s="29" t="s">
        <v>48</v>
      </c>
      <c r="E773" s="28">
        <v>46617</v>
      </c>
      <c r="F773" s="4">
        <f t="shared" si="153"/>
        <v>48</v>
      </c>
      <c r="G773" s="4">
        <f t="shared" si="154"/>
        <v>4</v>
      </c>
      <c r="H773" s="6">
        <f t="shared" si="156"/>
        <v>3695530.0652173911</v>
      </c>
      <c r="I773" s="6">
        <v>339499.56521738932</v>
      </c>
      <c r="J773" s="6">
        <v>0</v>
      </c>
      <c r="K773" s="6">
        <v>0</v>
      </c>
      <c r="L773" s="6">
        <f t="shared" si="150"/>
        <v>0</v>
      </c>
      <c r="M773" s="7">
        <v>1.8373524729931812E-2</v>
      </c>
      <c r="N773" s="7">
        <f t="shared" si="157"/>
        <v>1.8373524729931812E-2</v>
      </c>
      <c r="O773" s="7">
        <f t="shared" si="151"/>
        <v>0</v>
      </c>
      <c r="P773" s="6">
        <f t="shared" si="149"/>
        <v>4035029.6304347804</v>
      </c>
      <c r="Q773" s="6">
        <f t="shared" si="155"/>
        <v>14782120.260869458</v>
      </c>
      <c r="R773" s="4">
        <f t="shared" ca="1" si="152"/>
        <v>-1048</v>
      </c>
      <c r="S773" s="6"/>
      <c r="T773" s="5"/>
      <c r="U773" s="30" t="str">
        <f t="shared" si="158"/>
        <v>PENDIENTE</v>
      </c>
    </row>
    <row r="774" spans="1:21" x14ac:dyDescent="0.25">
      <c r="A774" s="4" t="str">
        <f t="shared" si="159"/>
        <v>20279</v>
      </c>
      <c r="B774" s="4" t="s">
        <v>20</v>
      </c>
      <c r="C774" s="4" t="s">
        <v>21</v>
      </c>
      <c r="D774" s="29" t="s">
        <v>48</v>
      </c>
      <c r="E774" s="28">
        <v>46648</v>
      </c>
      <c r="F774" s="4">
        <f t="shared" si="153"/>
        <v>49</v>
      </c>
      <c r="G774" s="4">
        <f t="shared" si="154"/>
        <v>3</v>
      </c>
      <c r="H774" s="6">
        <f t="shared" si="156"/>
        <v>3695530.0652173911</v>
      </c>
      <c r="I774" s="6">
        <v>271599.65217391105</v>
      </c>
      <c r="J774" s="6">
        <v>0</v>
      </c>
      <c r="K774" s="6">
        <v>0</v>
      </c>
      <c r="L774" s="6">
        <f t="shared" si="150"/>
        <v>0</v>
      </c>
      <c r="M774" s="7">
        <v>1.8373524729931812E-2</v>
      </c>
      <c r="N774" s="7">
        <f t="shared" si="157"/>
        <v>1.8373524729931808E-2</v>
      </c>
      <c r="O774" s="7">
        <f t="shared" si="151"/>
        <v>-2.2204460492503131E-16</v>
      </c>
      <c r="P774" s="6">
        <f t="shared" si="149"/>
        <v>3967129.7173913023</v>
      </c>
      <c r="Q774" s="6">
        <f t="shared" si="155"/>
        <v>11086590.195652068</v>
      </c>
      <c r="R774" s="4">
        <f t="shared" ca="1" si="152"/>
        <v>-1079</v>
      </c>
      <c r="S774" s="6"/>
      <c r="T774" s="5"/>
      <c r="U774" s="30" t="str">
        <f t="shared" si="158"/>
        <v>PENDIENTE</v>
      </c>
    </row>
    <row r="775" spans="1:21" x14ac:dyDescent="0.25">
      <c r="A775" s="4" t="str">
        <f t="shared" si="159"/>
        <v>202710</v>
      </c>
      <c r="B775" s="4" t="s">
        <v>20</v>
      </c>
      <c r="C775" s="4" t="s">
        <v>21</v>
      </c>
      <c r="D775" s="29" t="s">
        <v>48</v>
      </c>
      <c r="E775" s="28">
        <v>46678</v>
      </c>
      <c r="F775" s="4">
        <f t="shared" si="153"/>
        <v>50</v>
      </c>
      <c r="G775" s="4">
        <f t="shared" si="154"/>
        <v>2</v>
      </c>
      <c r="H775" s="6">
        <f t="shared" si="156"/>
        <v>3695530.0652173911</v>
      </c>
      <c r="I775" s="6">
        <v>203699.73913043283</v>
      </c>
      <c r="J775" s="6">
        <v>0</v>
      </c>
      <c r="K775" s="6">
        <v>0</v>
      </c>
      <c r="L775" s="6">
        <f t="shared" si="150"/>
        <v>0</v>
      </c>
      <c r="M775" s="7">
        <v>1.8373524729931812E-2</v>
      </c>
      <c r="N775" s="7">
        <f t="shared" si="157"/>
        <v>1.8373524729931812E-2</v>
      </c>
      <c r="O775" s="7">
        <f t="shared" si="151"/>
        <v>0</v>
      </c>
      <c r="P775" s="6">
        <f t="shared" si="149"/>
        <v>3899229.8043478238</v>
      </c>
      <c r="Q775" s="6">
        <f t="shared" si="155"/>
        <v>7391060.130434677</v>
      </c>
      <c r="R775" s="4">
        <f t="shared" ca="1" si="152"/>
        <v>-1110</v>
      </c>
      <c r="S775" s="6"/>
      <c r="T775" s="5"/>
      <c r="U775" s="30" t="str">
        <f t="shared" si="158"/>
        <v>PENDIENTE</v>
      </c>
    </row>
    <row r="776" spans="1:21" x14ac:dyDescent="0.25">
      <c r="A776" s="4" t="str">
        <f t="shared" si="159"/>
        <v>202711</v>
      </c>
      <c r="B776" s="4" t="s">
        <v>20</v>
      </c>
      <c r="C776" s="4" t="s">
        <v>21</v>
      </c>
      <c r="D776" s="29" t="s">
        <v>48</v>
      </c>
      <c r="E776" s="28">
        <v>46709</v>
      </c>
      <c r="F776" s="4">
        <f t="shared" si="153"/>
        <v>51</v>
      </c>
      <c r="G776" s="4">
        <f t="shared" si="154"/>
        <v>1</v>
      </c>
      <c r="H776" s="6">
        <f t="shared" si="156"/>
        <v>3695530.0652173911</v>
      </c>
      <c r="I776" s="6">
        <v>135799.82608695459</v>
      </c>
      <c r="J776" s="6">
        <v>0</v>
      </c>
      <c r="K776" s="6">
        <v>0</v>
      </c>
      <c r="L776" s="6">
        <f t="shared" si="150"/>
        <v>0</v>
      </c>
      <c r="M776" s="7">
        <v>1.8373524729931812E-2</v>
      </c>
      <c r="N776" s="7">
        <f t="shared" si="157"/>
        <v>1.8373524729931812E-2</v>
      </c>
      <c r="O776" s="7">
        <f t="shared" si="151"/>
        <v>0</v>
      </c>
      <c r="P776" s="6">
        <f t="shared" si="149"/>
        <v>3831329.8913043458</v>
      </c>
      <c r="Q776" s="6">
        <f t="shared" si="155"/>
        <v>3695530.0652172859</v>
      </c>
      <c r="R776" s="4">
        <f t="shared" ca="1" si="152"/>
        <v>-1140</v>
      </c>
      <c r="S776" s="6"/>
      <c r="T776" s="5"/>
      <c r="U776" s="30" t="str">
        <f t="shared" si="158"/>
        <v>PENDIENTE</v>
      </c>
    </row>
    <row r="777" spans="1:21" x14ac:dyDescent="0.25">
      <c r="A777" s="4" t="str">
        <f t="shared" si="159"/>
        <v>202712</v>
      </c>
      <c r="B777" s="4" t="s">
        <v>20</v>
      </c>
      <c r="C777" s="4" t="s">
        <v>21</v>
      </c>
      <c r="D777" s="29" t="s">
        <v>48</v>
      </c>
      <c r="E777" s="28">
        <v>46739</v>
      </c>
      <c r="F777" s="4">
        <f t="shared" si="153"/>
        <v>52</v>
      </c>
      <c r="G777" s="4">
        <f t="shared" si="154"/>
        <v>0</v>
      </c>
      <c r="H777" s="6">
        <f t="shared" si="156"/>
        <v>3695530.0652173911</v>
      </c>
      <c r="I777" s="6">
        <v>67899.913043476321</v>
      </c>
      <c r="J777" s="6">
        <v>0</v>
      </c>
      <c r="K777" s="6">
        <v>0</v>
      </c>
      <c r="L777" s="6">
        <f t="shared" si="150"/>
        <v>0</v>
      </c>
      <c r="M777" s="7">
        <v>1.8373524729931812E-2</v>
      </c>
      <c r="N777" s="7">
        <f t="shared" si="157"/>
        <v>1.8373524729931812E-2</v>
      </c>
      <c r="O777" s="7">
        <f t="shared" si="151"/>
        <v>0</v>
      </c>
      <c r="P777" s="6">
        <f t="shared" si="149"/>
        <v>3763429.9782608673</v>
      </c>
      <c r="Q777" s="6">
        <f t="shared" si="155"/>
        <v>-1.0523945093154907E-7</v>
      </c>
      <c r="R777" s="4">
        <f t="shared" ca="1" si="152"/>
        <v>-1171</v>
      </c>
      <c r="S777" s="6"/>
      <c r="T777" s="5"/>
      <c r="U777" s="30" t="str">
        <f t="shared" si="158"/>
        <v>PENDIENTE</v>
      </c>
    </row>
    <row r="778" spans="1:21" x14ac:dyDescent="0.25">
      <c r="A778" s="4" t="str">
        <f t="shared" si="159"/>
        <v>20238</v>
      </c>
      <c r="B778" s="4" t="s">
        <v>20</v>
      </c>
      <c r="C778" s="4" t="s">
        <v>21</v>
      </c>
      <c r="D778" s="29" t="s">
        <v>49</v>
      </c>
      <c r="E778" s="28">
        <v>45156</v>
      </c>
      <c r="F778" s="4">
        <v>0</v>
      </c>
      <c r="G778" s="4">
        <v>59</v>
      </c>
      <c r="H778" s="6">
        <v>0</v>
      </c>
      <c r="I778" s="6">
        <v>0</v>
      </c>
      <c r="J778" s="6">
        <v>0</v>
      </c>
      <c r="K778" s="6">
        <v>0</v>
      </c>
      <c r="L778" s="6">
        <f t="shared" si="150"/>
        <v>0</v>
      </c>
      <c r="M778" s="7">
        <v>0</v>
      </c>
      <c r="N778" s="7">
        <f t="shared" si="157"/>
        <v>0</v>
      </c>
      <c r="O778" s="7">
        <v>0</v>
      </c>
      <c r="P778" s="6">
        <f t="shared" ref="P778:P841" si="160">IFERROR(H778+I778+J778+K778+L778,"")</f>
        <v>0</v>
      </c>
      <c r="Q778" s="6">
        <v>200291207</v>
      </c>
      <c r="R778" s="4" t="s">
        <v>27</v>
      </c>
      <c r="S778" s="6">
        <v>0</v>
      </c>
      <c r="T778" s="5">
        <v>45156</v>
      </c>
      <c r="U778" s="30" t="str">
        <f t="shared" si="158"/>
        <v>PAGADO</v>
      </c>
    </row>
    <row r="779" spans="1:21" x14ac:dyDescent="0.25">
      <c r="A779" s="4" t="str">
        <f t="shared" si="159"/>
        <v>20239</v>
      </c>
      <c r="B779" s="4" t="s">
        <v>20</v>
      </c>
      <c r="C779" s="4" t="s">
        <v>21</v>
      </c>
      <c r="D779" s="29" t="s">
        <v>49</v>
      </c>
      <c r="E779" s="28">
        <v>45187</v>
      </c>
      <c r="F779" s="4">
        <f>F778+1</f>
        <v>1</v>
      </c>
      <c r="G779" s="4">
        <f>G778-1</f>
        <v>58</v>
      </c>
      <c r="H779" s="6">
        <v>0</v>
      </c>
      <c r="I779" s="6">
        <v>3335110</v>
      </c>
      <c r="J779" s="6">
        <v>0</v>
      </c>
      <c r="K779" s="6">
        <v>0</v>
      </c>
      <c r="L779" s="6">
        <f t="shared" si="150"/>
        <v>0</v>
      </c>
      <c r="M779" s="7">
        <f>I779/Q778</f>
        <v>1.6651305116954035E-2</v>
      </c>
      <c r="N779" s="7">
        <f t="shared" si="157"/>
        <v>1.6651305116954035E-2</v>
      </c>
      <c r="O779" s="7">
        <f t="shared" ref="O779:O837" si="161">IF(N779="","",(N779/M779)-1)</f>
        <v>0</v>
      </c>
      <c r="P779" s="6">
        <f t="shared" si="160"/>
        <v>3335110</v>
      </c>
      <c r="Q779" s="6">
        <f>Q778-H779</f>
        <v>200291207</v>
      </c>
      <c r="R779" s="4" t="str">
        <f t="shared" ref="R779:R837" ca="1" si="162">IF(B778="","",IF(T778="",TODAY()-E778,IF(T779="",TODAY()-E779,"OK")))</f>
        <v>OK</v>
      </c>
      <c r="S779" s="6">
        <f>917520+2417590</f>
        <v>3335110</v>
      </c>
      <c r="T779" s="5">
        <v>45188</v>
      </c>
      <c r="U779" s="30" t="str">
        <f t="shared" si="158"/>
        <v>PAGADO</v>
      </c>
    </row>
    <row r="780" spans="1:21" x14ac:dyDescent="0.25">
      <c r="A780" s="4" t="str">
        <f t="shared" si="159"/>
        <v>202310</v>
      </c>
      <c r="B780" s="4" t="s">
        <v>20</v>
      </c>
      <c r="C780" s="4" t="s">
        <v>21</v>
      </c>
      <c r="D780" s="29" t="s">
        <v>49</v>
      </c>
      <c r="E780" s="28">
        <v>45217</v>
      </c>
      <c r="F780" s="4">
        <f t="shared" ref="F780:F837" si="163">F779+1</f>
        <v>2</v>
      </c>
      <c r="G780" s="4">
        <f t="shared" ref="G780:G837" si="164">G779-1</f>
        <v>57</v>
      </c>
      <c r="H780" s="6">
        <v>0</v>
      </c>
      <c r="I780" s="6">
        <v>3225523</v>
      </c>
      <c r="J780" s="6">
        <v>0</v>
      </c>
      <c r="K780" s="6">
        <v>0</v>
      </c>
      <c r="L780" s="6">
        <f t="shared" si="150"/>
        <v>0</v>
      </c>
      <c r="M780" s="7">
        <f t="shared" ref="M780:M837" si="165">I780/Q779</f>
        <v>1.6104166769537714E-2</v>
      </c>
      <c r="N780" s="7">
        <f t="shared" si="157"/>
        <v>1.6104166769537714E-2</v>
      </c>
      <c r="O780" s="7">
        <f t="shared" si="161"/>
        <v>0</v>
      </c>
      <c r="P780" s="6">
        <f t="shared" si="160"/>
        <v>3225523</v>
      </c>
      <c r="Q780" s="6">
        <f t="shared" ref="Q780:Q837" si="166">Q779-H780</f>
        <v>200291207</v>
      </c>
      <c r="R780" s="4" t="str">
        <f t="shared" ca="1" si="162"/>
        <v>OK</v>
      </c>
      <c r="S780" s="6">
        <f>1888703.24+1336819.76</f>
        <v>3225523</v>
      </c>
      <c r="T780" s="5">
        <v>45218</v>
      </c>
      <c r="U780" s="30" t="str">
        <f t="shared" si="158"/>
        <v>PAGADO</v>
      </c>
    </row>
    <row r="781" spans="1:21" x14ac:dyDescent="0.25">
      <c r="A781" s="4" t="str">
        <f t="shared" si="159"/>
        <v>202311</v>
      </c>
      <c r="B781" s="4" t="s">
        <v>20</v>
      </c>
      <c r="C781" s="4" t="s">
        <v>21</v>
      </c>
      <c r="D781" s="29" t="s">
        <v>49</v>
      </c>
      <c r="E781" s="28">
        <v>45248</v>
      </c>
      <c r="F781" s="4">
        <f t="shared" si="163"/>
        <v>3</v>
      </c>
      <c r="G781" s="4">
        <f t="shared" si="164"/>
        <v>56</v>
      </c>
      <c r="H781" s="6">
        <v>0</v>
      </c>
      <c r="I781" s="6">
        <v>3334420</v>
      </c>
      <c r="J781" s="6">
        <v>0</v>
      </c>
      <c r="K781" s="6">
        <v>0</v>
      </c>
      <c r="L781" s="6">
        <f t="shared" si="150"/>
        <v>0</v>
      </c>
      <c r="M781" s="7">
        <f t="shared" si="165"/>
        <v>1.6647860132971291E-2</v>
      </c>
      <c r="N781" s="7">
        <f t="shared" si="157"/>
        <v>1.6647860132971291E-2</v>
      </c>
      <c r="O781" s="7">
        <f t="shared" si="161"/>
        <v>0</v>
      </c>
      <c r="P781" s="6">
        <f t="shared" si="160"/>
        <v>3334420</v>
      </c>
      <c r="Q781" s="6">
        <f t="shared" si="166"/>
        <v>200291207</v>
      </c>
      <c r="R781" s="4" t="str">
        <f t="shared" ca="1" si="162"/>
        <v>OK</v>
      </c>
      <c r="S781" s="6">
        <v>3334420</v>
      </c>
      <c r="T781" s="5">
        <v>45250</v>
      </c>
      <c r="U781" s="30" t="str">
        <f t="shared" si="158"/>
        <v>PAGADO</v>
      </c>
    </row>
    <row r="782" spans="1:21" x14ac:dyDescent="0.25">
      <c r="A782" s="4" t="str">
        <f t="shared" si="159"/>
        <v>202312</v>
      </c>
      <c r="B782" s="4" t="s">
        <v>20</v>
      </c>
      <c r="C782" s="4" t="s">
        <v>21</v>
      </c>
      <c r="D782" s="29" t="s">
        <v>49</v>
      </c>
      <c r="E782" s="28">
        <v>45278</v>
      </c>
      <c r="F782" s="4">
        <f t="shared" si="163"/>
        <v>4</v>
      </c>
      <c r="G782" s="4">
        <f t="shared" si="164"/>
        <v>55</v>
      </c>
      <c r="H782" s="6">
        <v>0</v>
      </c>
      <c r="I782" s="6">
        <v>3226357</v>
      </c>
      <c r="J782" s="6">
        <v>0</v>
      </c>
      <c r="K782" s="6">
        <v>0</v>
      </c>
      <c r="L782" s="6">
        <f t="shared" si="150"/>
        <v>0</v>
      </c>
      <c r="M782" s="7">
        <f t="shared" si="165"/>
        <v>1.610833070669947E-2</v>
      </c>
      <c r="N782" s="7">
        <f t="shared" si="157"/>
        <v>1.610833070669947E-2</v>
      </c>
      <c r="O782" s="7">
        <f t="shared" si="161"/>
        <v>0</v>
      </c>
      <c r="P782" s="6">
        <f t="shared" si="160"/>
        <v>3226357</v>
      </c>
      <c r="Q782" s="6">
        <f t="shared" si="166"/>
        <v>200291207</v>
      </c>
      <c r="R782" s="4" t="str">
        <f t="shared" ca="1" si="162"/>
        <v>OK</v>
      </c>
      <c r="S782" s="6">
        <v>3185035.62</v>
      </c>
      <c r="T782" s="5">
        <v>45281</v>
      </c>
      <c r="U782" s="30" t="str">
        <f t="shared" si="158"/>
        <v>PAGADO</v>
      </c>
    </row>
    <row r="783" spans="1:21" x14ac:dyDescent="0.25">
      <c r="A783" s="4" t="str">
        <f t="shared" si="159"/>
        <v>20241</v>
      </c>
      <c r="B783" s="4" t="s">
        <v>20</v>
      </c>
      <c r="C783" s="4" t="s">
        <v>21</v>
      </c>
      <c r="D783" s="29" t="s">
        <v>49</v>
      </c>
      <c r="E783" s="28">
        <v>45309</v>
      </c>
      <c r="F783" s="4">
        <f t="shared" si="163"/>
        <v>5</v>
      </c>
      <c r="G783" s="4">
        <f t="shared" si="164"/>
        <v>54</v>
      </c>
      <c r="H783" s="6">
        <v>0</v>
      </c>
      <c r="I783" s="6">
        <v>3335110</v>
      </c>
      <c r="J783" s="6">
        <v>0</v>
      </c>
      <c r="K783" s="6">
        <v>0</v>
      </c>
      <c r="L783" s="6">
        <f t="shared" si="150"/>
        <v>41321.379999999888</v>
      </c>
      <c r="M783" s="7">
        <f t="shared" si="165"/>
        <v>1.6651305116954035E-2</v>
      </c>
      <c r="N783" s="7">
        <f t="shared" si="157"/>
        <v>1.6651305116954035E-2</v>
      </c>
      <c r="O783" s="7">
        <f t="shared" si="161"/>
        <v>0</v>
      </c>
      <c r="P783" s="6">
        <f t="shared" si="160"/>
        <v>3376431.38</v>
      </c>
      <c r="Q783" s="6">
        <f t="shared" si="166"/>
        <v>200291207</v>
      </c>
      <c r="R783" s="4" t="str">
        <f t="shared" ca="1" si="162"/>
        <v>OK</v>
      </c>
      <c r="S783" s="6">
        <v>3309067</v>
      </c>
      <c r="T783" s="5">
        <v>45309</v>
      </c>
      <c r="U783" s="30" t="str">
        <f t="shared" si="158"/>
        <v>PAGADO</v>
      </c>
    </row>
    <row r="784" spans="1:21" x14ac:dyDescent="0.25">
      <c r="A784" s="4" t="str">
        <f t="shared" si="159"/>
        <v>20242</v>
      </c>
      <c r="B784" s="4" t="s">
        <v>20</v>
      </c>
      <c r="C784" s="4" t="s">
        <v>21</v>
      </c>
      <c r="D784" s="29" t="s">
        <v>49</v>
      </c>
      <c r="E784" s="28">
        <v>45340</v>
      </c>
      <c r="F784" s="4">
        <f t="shared" si="163"/>
        <v>6</v>
      </c>
      <c r="G784" s="4">
        <f t="shared" si="164"/>
        <v>53</v>
      </c>
      <c r="H784" s="6">
        <v>0</v>
      </c>
      <c r="I784" s="6">
        <v>3270088.2</v>
      </c>
      <c r="J784" s="6">
        <v>0</v>
      </c>
      <c r="K784" s="6">
        <v>0</v>
      </c>
      <c r="L784" s="6">
        <v>0</v>
      </c>
      <c r="M784" s="7">
        <f t="shared" si="165"/>
        <v>1.6326668798795546E-2</v>
      </c>
      <c r="N784" s="7">
        <f t="shared" si="157"/>
        <v>1.6326668798795546E-2</v>
      </c>
      <c r="O784" s="7">
        <f t="shared" si="161"/>
        <v>0</v>
      </c>
      <c r="P784" s="6">
        <f t="shared" si="160"/>
        <v>3270088.2</v>
      </c>
      <c r="Q784" s="6">
        <f t="shared" si="166"/>
        <v>200291207</v>
      </c>
      <c r="R784" s="4" t="str">
        <f t="shared" ca="1" si="162"/>
        <v>OK</v>
      </c>
      <c r="S784" s="6">
        <v>3270088.2</v>
      </c>
      <c r="T784" s="5">
        <v>45341</v>
      </c>
      <c r="U784" s="30" t="str">
        <f t="shared" si="158"/>
        <v>PAGADO</v>
      </c>
    </row>
    <row r="785" spans="1:21" x14ac:dyDescent="0.25">
      <c r="A785" s="4" t="str">
        <f t="shared" si="159"/>
        <v>20243</v>
      </c>
      <c r="B785" s="4" t="s">
        <v>20</v>
      </c>
      <c r="C785" s="4" t="s">
        <v>21</v>
      </c>
      <c r="D785" s="29" t="s">
        <v>49</v>
      </c>
      <c r="E785" s="28">
        <v>45369</v>
      </c>
      <c r="F785" s="4">
        <f t="shared" si="163"/>
        <v>7</v>
      </c>
      <c r="G785" s="4">
        <f t="shared" si="164"/>
        <v>52</v>
      </c>
      <c r="H785" s="6">
        <f>200291207/53</f>
        <v>3779079.3773584906</v>
      </c>
      <c r="I785" s="6">
        <v>3335110</v>
      </c>
      <c r="J785" s="6">
        <v>0</v>
      </c>
      <c r="K785" s="6">
        <v>0</v>
      </c>
      <c r="L785" s="6">
        <f t="shared" si="150"/>
        <v>0</v>
      </c>
      <c r="M785" s="7">
        <f t="shared" si="165"/>
        <v>1.6651305116954035E-2</v>
      </c>
      <c r="N785" s="7">
        <f t="shared" si="157"/>
        <v>1.6651305116954035E-2</v>
      </c>
      <c r="O785" s="7">
        <f t="shared" si="161"/>
        <v>0</v>
      </c>
      <c r="P785" s="6">
        <f t="shared" si="160"/>
        <v>7114189.3773584906</v>
      </c>
      <c r="Q785" s="6">
        <f t="shared" si="166"/>
        <v>196512127.6226415</v>
      </c>
      <c r="R785" s="4" t="str">
        <f t="shared" ca="1" si="162"/>
        <v>OK</v>
      </c>
      <c r="S785" s="6">
        <v>5137849</v>
      </c>
      <c r="T785" s="5">
        <v>45383</v>
      </c>
      <c r="U785" s="30" t="str">
        <f t="shared" si="158"/>
        <v>PAGADO</v>
      </c>
    </row>
    <row r="786" spans="1:21" x14ac:dyDescent="0.25">
      <c r="A786" s="4" t="str">
        <f t="shared" si="159"/>
        <v>20244</v>
      </c>
      <c r="B786" s="4" t="s">
        <v>20</v>
      </c>
      <c r="C786" s="4" t="s">
        <v>21</v>
      </c>
      <c r="D786" s="29" t="s">
        <v>49</v>
      </c>
      <c r="E786" s="28">
        <v>45400</v>
      </c>
      <c r="F786" s="4">
        <f t="shared" si="163"/>
        <v>8</v>
      </c>
      <c r="G786" s="4">
        <f t="shared" si="164"/>
        <v>51</v>
      </c>
      <c r="H786" s="6">
        <f t="shared" ref="H786:H837" si="167">200291207/53</f>
        <v>3779079.3773584906</v>
      </c>
      <c r="I786" s="6">
        <v>3272183.3962264149</v>
      </c>
      <c r="J786" s="6">
        <v>0</v>
      </c>
      <c r="K786" s="6">
        <v>0</v>
      </c>
      <c r="L786" s="6">
        <f t="shared" si="150"/>
        <v>1976340.3773584906</v>
      </c>
      <c r="M786" s="7">
        <f t="shared" si="165"/>
        <v>1.6651305116954035E-2</v>
      </c>
      <c r="N786" s="7">
        <f t="shared" si="157"/>
        <v>1.6651305116954035E-2</v>
      </c>
      <c r="O786" s="7">
        <f t="shared" si="161"/>
        <v>0</v>
      </c>
      <c r="P786" s="6">
        <f t="shared" si="160"/>
        <v>9027603.1509433966</v>
      </c>
      <c r="Q786" s="6">
        <f t="shared" si="166"/>
        <v>192733048.24528301</v>
      </c>
      <c r="R786" s="4" t="str">
        <f t="shared" ca="1" si="162"/>
        <v>OK</v>
      </c>
      <c r="S786" s="6">
        <f>463285.12+6482978.88</f>
        <v>6946264</v>
      </c>
      <c r="T786" s="5">
        <v>45400</v>
      </c>
      <c r="U786" s="30" t="str">
        <f t="shared" si="158"/>
        <v>PAGADO</v>
      </c>
    </row>
    <row r="787" spans="1:21" x14ac:dyDescent="0.25">
      <c r="A787" s="4" t="str">
        <f t="shared" si="159"/>
        <v>20245</v>
      </c>
      <c r="B787" s="4" t="s">
        <v>20</v>
      </c>
      <c r="C787" s="4" t="s">
        <v>21</v>
      </c>
      <c r="D787" s="29" t="s">
        <v>49</v>
      </c>
      <c r="E787" s="28">
        <v>45430</v>
      </c>
      <c r="F787" s="4">
        <f t="shared" si="163"/>
        <v>9</v>
      </c>
      <c r="G787" s="4">
        <f t="shared" si="164"/>
        <v>50</v>
      </c>
      <c r="H787" s="6">
        <f t="shared" si="167"/>
        <v>3779079.3773584906</v>
      </c>
      <c r="I787" s="6">
        <v>3209256.7924528299</v>
      </c>
      <c r="J787" s="6">
        <v>0</v>
      </c>
      <c r="K787" s="6">
        <v>0</v>
      </c>
      <c r="L787" s="6">
        <f t="shared" si="150"/>
        <v>2081339.1509433966</v>
      </c>
      <c r="M787" s="7">
        <f t="shared" si="165"/>
        <v>1.6651305116954035E-2</v>
      </c>
      <c r="N787" s="7">
        <f t="shared" si="157"/>
        <v>1.6651305116954035E-2</v>
      </c>
      <c r="O787" s="7">
        <f t="shared" si="161"/>
        <v>0</v>
      </c>
      <c r="P787" s="6">
        <f t="shared" si="160"/>
        <v>9069675.320754718</v>
      </c>
      <c r="Q787" s="6">
        <f t="shared" si="166"/>
        <v>188953968.86792451</v>
      </c>
      <c r="R787" s="4" t="str">
        <f t="shared" ca="1" si="162"/>
        <v>OK</v>
      </c>
      <c r="S787" s="6">
        <v>6704607</v>
      </c>
      <c r="T787" s="5">
        <v>45432</v>
      </c>
      <c r="U787" s="30" t="str">
        <f t="shared" si="158"/>
        <v>PAGADO</v>
      </c>
    </row>
    <row r="788" spans="1:21" x14ac:dyDescent="0.25">
      <c r="A788" s="4" t="str">
        <f t="shared" si="159"/>
        <v>20246</v>
      </c>
      <c r="B788" s="4" t="s">
        <v>20</v>
      </c>
      <c r="C788" s="4" t="s">
        <v>21</v>
      </c>
      <c r="D788" s="29" t="s">
        <v>49</v>
      </c>
      <c r="E788" s="28">
        <v>45461</v>
      </c>
      <c r="F788" s="4">
        <f t="shared" si="163"/>
        <v>10</v>
      </c>
      <c r="G788" s="4">
        <f t="shared" si="164"/>
        <v>49</v>
      </c>
      <c r="H788" s="6">
        <f t="shared" si="167"/>
        <v>3779079.3773584906</v>
      </c>
      <c r="I788" s="6">
        <v>3146330.1886792448</v>
      </c>
      <c r="J788" s="6">
        <v>0</v>
      </c>
      <c r="K788" s="6">
        <v>0</v>
      </c>
      <c r="L788" s="6">
        <f t="shared" si="150"/>
        <v>2365068.320754718</v>
      </c>
      <c r="M788" s="7">
        <f t="shared" si="165"/>
        <v>1.6651305116954035E-2</v>
      </c>
      <c r="N788" s="7">
        <f t="shared" si="157"/>
        <v>1.6651305116954035E-2</v>
      </c>
      <c r="O788" s="7">
        <f t="shared" si="161"/>
        <v>0</v>
      </c>
      <c r="P788" s="6">
        <f t="shared" si="160"/>
        <v>9290477.886792453</v>
      </c>
      <c r="Q788" s="6">
        <f t="shared" si="166"/>
        <v>185174889.49056602</v>
      </c>
      <c r="R788" s="4" t="str">
        <f t="shared" ca="1" si="162"/>
        <v>OK</v>
      </c>
      <c r="S788" s="6">
        <v>6707865</v>
      </c>
      <c r="T788" s="5">
        <v>45461</v>
      </c>
      <c r="U788" s="30" t="str">
        <f t="shared" si="158"/>
        <v>PAGADO</v>
      </c>
    </row>
    <row r="789" spans="1:21" x14ac:dyDescent="0.25">
      <c r="A789" s="4" t="str">
        <f t="shared" si="159"/>
        <v>20247</v>
      </c>
      <c r="B789" s="4" t="s">
        <v>20</v>
      </c>
      <c r="C789" s="4" t="s">
        <v>21</v>
      </c>
      <c r="D789" s="29" t="s">
        <v>49</v>
      </c>
      <c r="E789" s="28">
        <v>45491</v>
      </c>
      <c r="F789" s="4">
        <f t="shared" si="163"/>
        <v>11</v>
      </c>
      <c r="G789" s="4">
        <f t="shared" si="164"/>
        <v>48</v>
      </c>
      <c r="H789" s="6">
        <f t="shared" si="167"/>
        <v>3779079.3773584906</v>
      </c>
      <c r="I789" s="6">
        <v>3083403.5849056598</v>
      </c>
      <c r="J789" s="6">
        <v>0</v>
      </c>
      <c r="K789" s="6">
        <v>0</v>
      </c>
      <c r="L789" s="6">
        <f t="shared" ref="L789:L852" si="168">IF(S788="",0,IF(S788&lt;=P788,P788-S788,0))</f>
        <v>2582612.886792453</v>
      </c>
      <c r="M789" s="7">
        <f t="shared" si="165"/>
        <v>1.6651305116954035E-2</v>
      </c>
      <c r="N789" s="7">
        <f t="shared" si="157"/>
        <v>1.6651305116954035E-2</v>
      </c>
      <c r="O789" s="7">
        <f t="shared" si="161"/>
        <v>0</v>
      </c>
      <c r="P789" s="6">
        <f t="shared" si="160"/>
        <v>9445095.8490566034</v>
      </c>
      <c r="Q789" s="6">
        <f t="shared" si="166"/>
        <v>181395810.11320752</v>
      </c>
      <c r="R789" s="4" t="str">
        <f t="shared" ca="1" si="162"/>
        <v>OK</v>
      </c>
      <c r="S789" s="6">
        <v>6251982</v>
      </c>
      <c r="T789" s="5">
        <v>45491</v>
      </c>
      <c r="U789" s="30" t="str">
        <f t="shared" si="158"/>
        <v>PAGADO</v>
      </c>
    </row>
    <row r="790" spans="1:21" x14ac:dyDescent="0.25">
      <c r="A790" s="4" t="str">
        <f t="shared" si="159"/>
        <v>20248</v>
      </c>
      <c r="B790" s="4" t="s">
        <v>20</v>
      </c>
      <c r="C790" s="4" t="s">
        <v>21</v>
      </c>
      <c r="D790" s="29" t="s">
        <v>49</v>
      </c>
      <c r="E790" s="28">
        <v>45522</v>
      </c>
      <c r="F790" s="4">
        <f t="shared" si="163"/>
        <v>12</v>
      </c>
      <c r="G790" s="4">
        <f t="shared" si="164"/>
        <v>47</v>
      </c>
      <c r="H790" s="6">
        <f t="shared" si="167"/>
        <v>3779079.3773584906</v>
      </c>
      <c r="I790" s="6">
        <v>3020476.9811320747</v>
      </c>
      <c r="J790" s="6">
        <v>0</v>
      </c>
      <c r="K790" s="6">
        <v>0</v>
      </c>
      <c r="L790" s="6">
        <f t="shared" si="168"/>
        <v>3193113.8490566034</v>
      </c>
      <c r="M790" s="7">
        <f t="shared" si="165"/>
        <v>1.6651305116954035E-2</v>
      </c>
      <c r="N790" s="7">
        <f t="shared" si="157"/>
        <v>1.6651305116954035E-2</v>
      </c>
      <c r="O790" s="7">
        <f t="shared" si="161"/>
        <v>0</v>
      </c>
      <c r="P790" s="6">
        <f t="shared" si="160"/>
        <v>9992670.2075471692</v>
      </c>
      <c r="Q790" s="6">
        <f t="shared" si="166"/>
        <v>177616730.73584902</v>
      </c>
      <c r="R790" s="4" t="str">
        <f t="shared" ca="1" si="162"/>
        <v>OK</v>
      </c>
      <c r="S790" s="6">
        <f>3199774.48+3300090.51</f>
        <v>6499864.9900000002</v>
      </c>
      <c r="T790" s="5">
        <v>45531</v>
      </c>
      <c r="U790" s="30" t="str">
        <f t="shared" si="158"/>
        <v>PAGADO</v>
      </c>
    </row>
    <row r="791" spans="1:21" x14ac:dyDescent="0.25">
      <c r="A791" s="4" t="str">
        <f t="shared" si="159"/>
        <v>20249</v>
      </c>
      <c r="B791" s="4" t="s">
        <v>20</v>
      </c>
      <c r="C791" s="4" t="s">
        <v>21</v>
      </c>
      <c r="D791" s="29" t="s">
        <v>49</v>
      </c>
      <c r="E791" s="28">
        <v>45553</v>
      </c>
      <c r="F791" s="4">
        <f t="shared" si="163"/>
        <v>13</v>
      </c>
      <c r="G791" s="4">
        <f t="shared" si="164"/>
        <v>46</v>
      </c>
      <c r="H791" s="6">
        <f t="shared" si="167"/>
        <v>3779079.3773584906</v>
      </c>
      <c r="I791" s="6">
        <v>2957550.3773584897</v>
      </c>
      <c r="J791" s="6">
        <v>0</v>
      </c>
      <c r="K791" s="6">
        <v>0</v>
      </c>
      <c r="L791" s="6">
        <f t="shared" si="168"/>
        <v>3492805.217547169</v>
      </c>
      <c r="M791" s="7">
        <f t="shared" si="165"/>
        <v>1.6651305116954035E-2</v>
      </c>
      <c r="N791" s="7">
        <f t="shared" si="157"/>
        <v>1.6651305116954035E-2</v>
      </c>
      <c r="O791" s="7">
        <f t="shared" si="161"/>
        <v>0</v>
      </c>
      <c r="P791" s="6">
        <f t="shared" si="160"/>
        <v>10229434.972264148</v>
      </c>
      <c r="Q791" s="6">
        <f t="shared" si="166"/>
        <v>173837651.35849053</v>
      </c>
      <c r="R791" s="4">
        <f t="shared" ca="1" si="162"/>
        <v>-15</v>
      </c>
      <c r="S791" s="6"/>
      <c r="T791" s="5"/>
      <c r="U791" s="30" t="str">
        <f t="shared" si="158"/>
        <v>PENDIENTE</v>
      </c>
    </row>
    <row r="792" spans="1:21" x14ac:dyDescent="0.25">
      <c r="A792" s="4" t="str">
        <f t="shared" si="159"/>
        <v>202410</v>
      </c>
      <c r="B792" s="4" t="s">
        <v>20</v>
      </c>
      <c r="C792" s="4" t="s">
        <v>21</v>
      </c>
      <c r="D792" s="29" t="s">
        <v>49</v>
      </c>
      <c r="E792" s="28">
        <v>45583</v>
      </c>
      <c r="F792" s="4">
        <f t="shared" si="163"/>
        <v>14</v>
      </c>
      <c r="G792" s="4">
        <f t="shared" si="164"/>
        <v>45</v>
      </c>
      <c r="H792" s="6">
        <f t="shared" si="167"/>
        <v>3779079.3773584906</v>
      </c>
      <c r="I792" s="6">
        <v>2894623.7735849046</v>
      </c>
      <c r="J792" s="6">
        <v>0</v>
      </c>
      <c r="K792" s="6">
        <v>0</v>
      </c>
      <c r="L792" s="6">
        <f t="shared" si="168"/>
        <v>0</v>
      </c>
      <c r="M792" s="7">
        <f t="shared" si="165"/>
        <v>1.6651305116954035E-2</v>
      </c>
      <c r="N792" s="7">
        <f t="shared" si="157"/>
        <v>1.6651305116954035E-2</v>
      </c>
      <c r="O792" s="7">
        <f t="shared" si="161"/>
        <v>0</v>
      </c>
      <c r="P792" s="6">
        <f t="shared" si="160"/>
        <v>6673703.1509433948</v>
      </c>
      <c r="Q792" s="6">
        <f t="shared" si="166"/>
        <v>170058571.98113203</v>
      </c>
      <c r="R792" s="4">
        <f t="shared" ca="1" si="162"/>
        <v>-15</v>
      </c>
      <c r="S792" s="6"/>
      <c r="T792" s="5"/>
      <c r="U792" s="30" t="str">
        <f t="shared" si="158"/>
        <v>PENDIENTE</v>
      </c>
    </row>
    <row r="793" spans="1:21" x14ac:dyDescent="0.25">
      <c r="A793" s="4" t="str">
        <f t="shared" si="159"/>
        <v>202411</v>
      </c>
      <c r="B793" s="4" t="s">
        <v>20</v>
      </c>
      <c r="C793" s="4" t="s">
        <v>21</v>
      </c>
      <c r="D793" s="29" t="s">
        <v>49</v>
      </c>
      <c r="E793" s="28">
        <v>45614</v>
      </c>
      <c r="F793" s="4">
        <f t="shared" si="163"/>
        <v>15</v>
      </c>
      <c r="G793" s="4">
        <f t="shared" si="164"/>
        <v>44</v>
      </c>
      <c r="H793" s="6">
        <f t="shared" si="167"/>
        <v>3779079.3773584906</v>
      </c>
      <c r="I793" s="6">
        <v>2831697.16981132</v>
      </c>
      <c r="J793" s="6">
        <v>0</v>
      </c>
      <c r="K793" s="6">
        <v>0</v>
      </c>
      <c r="L793" s="6">
        <f t="shared" si="168"/>
        <v>0</v>
      </c>
      <c r="M793" s="7">
        <f t="shared" si="165"/>
        <v>1.6651305116954035E-2</v>
      </c>
      <c r="N793" s="7">
        <f t="shared" si="157"/>
        <v>1.6651305116954035E-2</v>
      </c>
      <c r="O793" s="7">
        <f t="shared" si="161"/>
        <v>0</v>
      </c>
      <c r="P793" s="6">
        <f t="shared" si="160"/>
        <v>6610776.5471698102</v>
      </c>
      <c r="Q793" s="6">
        <f t="shared" si="166"/>
        <v>166279492.60377353</v>
      </c>
      <c r="R793" s="4">
        <f t="shared" ca="1" si="162"/>
        <v>-45</v>
      </c>
      <c r="S793" s="6"/>
      <c r="T793" s="5"/>
      <c r="U793" s="30" t="str">
        <f t="shared" si="158"/>
        <v>PENDIENTE</v>
      </c>
    </row>
    <row r="794" spans="1:21" x14ac:dyDescent="0.25">
      <c r="A794" s="4" t="str">
        <f t="shared" si="159"/>
        <v>202412</v>
      </c>
      <c r="B794" s="4" t="s">
        <v>20</v>
      </c>
      <c r="C794" s="4" t="s">
        <v>21</v>
      </c>
      <c r="D794" s="29" t="s">
        <v>49</v>
      </c>
      <c r="E794" s="28">
        <v>45644</v>
      </c>
      <c r="F794" s="4">
        <f t="shared" si="163"/>
        <v>16</v>
      </c>
      <c r="G794" s="4">
        <f t="shared" si="164"/>
        <v>43</v>
      </c>
      <c r="H794" s="6">
        <f t="shared" si="167"/>
        <v>3779079.3773584906</v>
      </c>
      <c r="I794" s="6">
        <v>2768770.566037735</v>
      </c>
      <c r="J794" s="6">
        <v>0</v>
      </c>
      <c r="K794" s="6">
        <v>0</v>
      </c>
      <c r="L794" s="6">
        <f t="shared" si="168"/>
        <v>0</v>
      </c>
      <c r="M794" s="7">
        <f t="shared" si="165"/>
        <v>1.6651305116954035E-2</v>
      </c>
      <c r="N794" s="7">
        <f t="shared" si="157"/>
        <v>1.6651305116954035E-2</v>
      </c>
      <c r="O794" s="7">
        <f t="shared" si="161"/>
        <v>0</v>
      </c>
      <c r="P794" s="6">
        <f t="shared" si="160"/>
        <v>6547849.9433962256</v>
      </c>
      <c r="Q794" s="6">
        <f t="shared" si="166"/>
        <v>162500413.22641504</v>
      </c>
      <c r="R794" s="4">
        <f t="shared" ca="1" si="162"/>
        <v>-76</v>
      </c>
      <c r="S794" s="6"/>
      <c r="T794" s="5"/>
      <c r="U794" s="30" t="str">
        <f t="shared" si="158"/>
        <v>PENDIENTE</v>
      </c>
    </row>
    <row r="795" spans="1:21" x14ac:dyDescent="0.25">
      <c r="A795" s="4" t="str">
        <f t="shared" si="159"/>
        <v>20251</v>
      </c>
      <c r="B795" s="4" t="s">
        <v>20</v>
      </c>
      <c r="C795" s="4" t="s">
        <v>21</v>
      </c>
      <c r="D795" s="29" t="s">
        <v>49</v>
      </c>
      <c r="E795" s="28">
        <v>45675</v>
      </c>
      <c r="F795" s="4">
        <f t="shared" si="163"/>
        <v>17</v>
      </c>
      <c r="G795" s="4">
        <f t="shared" si="164"/>
        <v>42</v>
      </c>
      <c r="H795" s="6">
        <f t="shared" si="167"/>
        <v>3779079.3773584906</v>
      </c>
      <c r="I795" s="6">
        <v>2705843.9622641499</v>
      </c>
      <c r="J795" s="6">
        <v>0</v>
      </c>
      <c r="K795" s="6">
        <v>0</v>
      </c>
      <c r="L795" s="6">
        <f t="shared" si="168"/>
        <v>0</v>
      </c>
      <c r="M795" s="7">
        <f t="shared" si="165"/>
        <v>1.6651305116954035E-2</v>
      </c>
      <c r="N795" s="7">
        <f t="shared" si="157"/>
        <v>1.6651305116954035E-2</v>
      </c>
      <c r="O795" s="7">
        <f t="shared" si="161"/>
        <v>0</v>
      </c>
      <c r="P795" s="6">
        <f t="shared" si="160"/>
        <v>6484923.339622641</v>
      </c>
      <c r="Q795" s="6">
        <f t="shared" si="166"/>
        <v>158721333.84905654</v>
      </c>
      <c r="R795" s="4">
        <f t="shared" ca="1" si="162"/>
        <v>-106</v>
      </c>
      <c r="S795" s="6"/>
      <c r="T795" s="5"/>
      <c r="U795" s="30" t="str">
        <f t="shared" si="158"/>
        <v>PENDIENTE</v>
      </c>
    </row>
    <row r="796" spans="1:21" x14ac:dyDescent="0.25">
      <c r="A796" s="4" t="str">
        <f t="shared" si="159"/>
        <v>20252</v>
      </c>
      <c r="B796" s="4" t="s">
        <v>20</v>
      </c>
      <c r="C796" s="4" t="s">
        <v>21</v>
      </c>
      <c r="D796" s="29" t="s">
        <v>49</v>
      </c>
      <c r="E796" s="28">
        <v>45706</v>
      </c>
      <c r="F796" s="4">
        <f t="shared" si="163"/>
        <v>18</v>
      </c>
      <c r="G796" s="4">
        <f t="shared" si="164"/>
        <v>41</v>
      </c>
      <c r="H796" s="6">
        <f t="shared" si="167"/>
        <v>3779079.3773584906</v>
      </c>
      <c r="I796" s="6">
        <v>2642917.3584905649</v>
      </c>
      <c r="J796" s="6">
        <v>0</v>
      </c>
      <c r="K796" s="6">
        <v>0</v>
      </c>
      <c r="L796" s="6">
        <f t="shared" si="168"/>
        <v>0</v>
      </c>
      <c r="M796" s="7">
        <f t="shared" si="165"/>
        <v>1.6651305116954035E-2</v>
      </c>
      <c r="N796" s="7">
        <f t="shared" si="157"/>
        <v>1.6651305116954035E-2</v>
      </c>
      <c r="O796" s="7">
        <f t="shared" si="161"/>
        <v>0</v>
      </c>
      <c r="P796" s="6">
        <f t="shared" si="160"/>
        <v>6421996.7358490555</v>
      </c>
      <c r="Q796" s="6">
        <f t="shared" si="166"/>
        <v>154942254.47169805</v>
      </c>
      <c r="R796" s="4">
        <f t="shared" ca="1" si="162"/>
        <v>-137</v>
      </c>
      <c r="S796" s="6"/>
      <c r="T796" s="5"/>
      <c r="U796" s="30" t="str">
        <f t="shared" si="158"/>
        <v>PENDIENTE</v>
      </c>
    </row>
    <row r="797" spans="1:21" x14ac:dyDescent="0.25">
      <c r="A797" s="4" t="str">
        <f t="shared" si="159"/>
        <v>20253</v>
      </c>
      <c r="B797" s="4" t="s">
        <v>20</v>
      </c>
      <c r="C797" s="4" t="s">
        <v>21</v>
      </c>
      <c r="D797" s="29" t="s">
        <v>49</v>
      </c>
      <c r="E797" s="28">
        <v>45734</v>
      </c>
      <c r="F797" s="4">
        <f t="shared" si="163"/>
        <v>19</v>
      </c>
      <c r="G797" s="4">
        <f t="shared" si="164"/>
        <v>40</v>
      </c>
      <c r="H797" s="6">
        <f t="shared" si="167"/>
        <v>3779079.3773584906</v>
      </c>
      <c r="I797" s="6">
        <v>2579990.7547169798</v>
      </c>
      <c r="J797" s="6">
        <v>0</v>
      </c>
      <c r="K797" s="6">
        <v>0</v>
      </c>
      <c r="L797" s="6">
        <f t="shared" si="168"/>
        <v>0</v>
      </c>
      <c r="M797" s="7">
        <f t="shared" si="165"/>
        <v>1.6651305116954035E-2</v>
      </c>
      <c r="N797" s="7">
        <f t="shared" si="157"/>
        <v>1.6651305116954035E-2</v>
      </c>
      <c r="O797" s="7">
        <f t="shared" si="161"/>
        <v>0</v>
      </c>
      <c r="P797" s="6">
        <f t="shared" si="160"/>
        <v>6359070.1320754699</v>
      </c>
      <c r="Q797" s="6">
        <f t="shared" si="166"/>
        <v>151163175.09433955</v>
      </c>
      <c r="R797" s="4">
        <f t="shared" ca="1" si="162"/>
        <v>-168</v>
      </c>
      <c r="S797" s="6"/>
      <c r="T797" s="5"/>
      <c r="U797" s="30" t="str">
        <f t="shared" si="158"/>
        <v>PENDIENTE</v>
      </c>
    </row>
    <row r="798" spans="1:21" x14ac:dyDescent="0.25">
      <c r="A798" s="4" t="str">
        <f t="shared" si="159"/>
        <v>20254</v>
      </c>
      <c r="B798" s="4" t="s">
        <v>20</v>
      </c>
      <c r="C798" s="4" t="s">
        <v>21</v>
      </c>
      <c r="D798" s="29" t="s">
        <v>49</v>
      </c>
      <c r="E798" s="28">
        <v>45765</v>
      </c>
      <c r="F798" s="4">
        <f t="shared" si="163"/>
        <v>20</v>
      </c>
      <c r="G798" s="4">
        <f t="shared" si="164"/>
        <v>39</v>
      </c>
      <c r="H798" s="6">
        <f t="shared" si="167"/>
        <v>3779079.3773584906</v>
      </c>
      <c r="I798" s="6">
        <v>2517064.1509433948</v>
      </c>
      <c r="J798" s="6">
        <v>0</v>
      </c>
      <c r="K798" s="6">
        <v>0</v>
      </c>
      <c r="L798" s="6">
        <f t="shared" si="168"/>
        <v>0</v>
      </c>
      <c r="M798" s="7">
        <f t="shared" si="165"/>
        <v>1.6651305116954035E-2</v>
      </c>
      <c r="N798" s="7">
        <f t="shared" si="157"/>
        <v>1.6651305116954035E-2</v>
      </c>
      <c r="O798" s="7">
        <f t="shared" si="161"/>
        <v>0</v>
      </c>
      <c r="P798" s="6">
        <f t="shared" si="160"/>
        <v>6296143.5283018854</v>
      </c>
      <c r="Q798" s="6">
        <f t="shared" si="166"/>
        <v>147384095.71698105</v>
      </c>
      <c r="R798" s="4">
        <f t="shared" ca="1" si="162"/>
        <v>-196</v>
      </c>
      <c r="S798" s="6"/>
      <c r="T798" s="5"/>
      <c r="U798" s="30" t="str">
        <f t="shared" si="158"/>
        <v>PENDIENTE</v>
      </c>
    </row>
    <row r="799" spans="1:21" x14ac:dyDescent="0.25">
      <c r="A799" s="4" t="str">
        <f t="shared" si="159"/>
        <v>20255</v>
      </c>
      <c r="B799" s="4" t="s">
        <v>20</v>
      </c>
      <c r="C799" s="4" t="s">
        <v>21</v>
      </c>
      <c r="D799" s="29" t="s">
        <v>49</v>
      </c>
      <c r="E799" s="28">
        <v>45795</v>
      </c>
      <c r="F799" s="4">
        <f t="shared" si="163"/>
        <v>21</v>
      </c>
      <c r="G799" s="4">
        <f t="shared" si="164"/>
        <v>38</v>
      </c>
      <c r="H799" s="6">
        <f t="shared" si="167"/>
        <v>3779079.3773584906</v>
      </c>
      <c r="I799" s="6">
        <v>2454137.5471698097</v>
      </c>
      <c r="J799" s="6">
        <v>0</v>
      </c>
      <c r="K799" s="6">
        <v>0</v>
      </c>
      <c r="L799" s="6">
        <f t="shared" si="168"/>
        <v>0</v>
      </c>
      <c r="M799" s="7">
        <f t="shared" si="165"/>
        <v>1.6651305116954035E-2</v>
      </c>
      <c r="N799" s="7">
        <f t="shared" si="157"/>
        <v>1.6651305116954035E-2</v>
      </c>
      <c r="O799" s="7">
        <f t="shared" si="161"/>
        <v>0</v>
      </c>
      <c r="P799" s="6">
        <f t="shared" si="160"/>
        <v>6233216.9245283008</v>
      </c>
      <c r="Q799" s="6">
        <f t="shared" si="166"/>
        <v>143605016.33962256</v>
      </c>
      <c r="R799" s="4">
        <f t="shared" ca="1" si="162"/>
        <v>-227</v>
      </c>
      <c r="S799" s="6"/>
      <c r="T799" s="5"/>
      <c r="U799" s="30" t="str">
        <f t="shared" si="158"/>
        <v>PENDIENTE</v>
      </c>
    </row>
    <row r="800" spans="1:21" x14ac:dyDescent="0.25">
      <c r="A800" s="4" t="str">
        <f t="shared" si="159"/>
        <v>20256</v>
      </c>
      <c r="B800" s="4" t="s">
        <v>20</v>
      </c>
      <c r="C800" s="4" t="s">
        <v>21</v>
      </c>
      <c r="D800" s="29" t="s">
        <v>49</v>
      </c>
      <c r="E800" s="28">
        <v>45826</v>
      </c>
      <c r="F800" s="4">
        <f t="shared" si="163"/>
        <v>22</v>
      </c>
      <c r="G800" s="4">
        <f t="shared" si="164"/>
        <v>37</v>
      </c>
      <c r="H800" s="6">
        <f t="shared" si="167"/>
        <v>3779079.3773584906</v>
      </c>
      <c r="I800" s="6">
        <v>2391210.9433962251</v>
      </c>
      <c r="J800" s="6">
        <v>0</v>
      </c>
      <c r="K800" s="6">
        <v>0</v>
      </c>
      <c r="L800" s="6">
        <f t="shared" si="168"/>
        <v>0</v>
      </c>
      <c r="M800" s="7">
        <f t="shared" si="165"/>
        <v>1.6651305116954035E-2</v>
      </c>
      <c r="N800" s="7">
        <f t="shared" si="157"/>
        <v>1.6651305116954035E-2</v>
      </c>
      <c r="O800" s="7">
        <f t="shared" si="161"/>
        <v>0</v>
      </c>
      <c r="P800" s="6">
        <f t="shared" si="160"/>
        <v>6170290.3207547162</v>
      </c>
      <c r="Q800" s="6">
        <f t="shared" si="166"/>
        <v>139825936.96226406</v>
      </c>
      <c r="R800" s="4">
        <f t="shared" ca="1" si="162"/>
        <v>-257</v>
      </c>
      <c r="S800" s="6"/>
      <c r="T800" s="5"/>
      <c r="U800" s="30" t="str">
        <f t="shared" si="158"/>
        <v>PENDIENTE</v>
      </c>
    </row>
    <row r="801" spans="1:21" x14ac:dyDescent="0.25">
      <c r="A801" s="4" t="str">
        <f t="shared" si="159"/>
        <v>20257</v>
      </c>
      <c r="B801" s="4" t="s">
        <v>20</v>
      </c>
      <c r="C801" s="4" t="s">
        <v>21</v>
      </c>
      <c r="D801" s="29" t="s">
        <v>49</v>
      </c>
      <c r="E801" s="28">
        <v>45856</v>
      </c>
      <c r="F801" s="4">
        <f t="shared" si="163"/>
        <v>23</v>
      </c>
      <c r="G801" s="4">
        <f t="shared" si="164"/>
        <v>36</v>
      </c>
      <c r="H801" s="6">
        <f t="shared" si="167"/>
        <v>3779079.3773584906</v>
      </c>
      <c r="I801" s="6">
        <v>2328284.3396226401</v>
      </c>
      <c r="J801" s="6">
        <v>0</v>
      </c>
      <c r="K801" s="6">
        <v>0</v>
      </c>
      <c r="L801" s="6">
        <f t="shared" si="168"/>
        <v>0</v>
      </c>
      <c r="M801" s="7">
        <f t="shared" si="165"/>
        <v>1.6651305116954035E-2</v>
      </c>
      <c r="N801" s="7">
        <f t="shared" si="157"/>
        <v>1.6651305116954035E-2</v>
      </c>
      <c r="O801" s="7">
        <f t="shared" si="161"/>
        <v>0</v>
      </c>
      <c r="P801" s="6">
        <f t="shared" si="160"/>
        <v>6107363.7169811307</v>
      </c>
      <c r="Q801" s="6">
        <f t="shared" si="166"/>
        <v>136046857.58490556</v>
      </c>
      <c r="R801" s="4">
        <f t="shared" ca="1" si="162"/>
        <v>-288</v>
      </c>
      <c r="S801" s="6"/>
      <c r="T801" s="5"/>
      <c r="U801" s="30" t="str">
        <f t="shared" si="158"/>
        <v>PENDIENTE</v>
      </c>
    </row>
    <row r="802" spans="1:21" x14ac:dyDescent="0.25">
      <c r="A802" s="4" t="str">
        <f t="shared" si="159"/>
        <v>20258</v>
      </c>
      <c r="B802" s="4" t="s">
        <v>20</v>
      </c>
      <c r="C802" s="4" t="s">
        <v>21</v>
      </c>
      <c r="D802" s="29" t="s">
        <v>49</v>
      </c>
      <c r="E802" s="28">
        <v>45887</v>
      </c>
      <c r="F802" s="4">
        <f t="shared" si="163"/>
        <v>24</v>
      </c>
      <c r="G802" s="4">
        <f t="shared" si="164"/>
        <v>35</v>
      </c>
      <c r="H802" s="6">
        <f t="shared" si="167"/>
        <v>3779079.3773584906</v>
      </c>
      <c r="I802" s="6">
        <v>2265357.735849055</v>
      </c>
      <c r="J802" s="6">
        <v>0</v>
      </c>
      <c r="K802" s="6">
        <v>0</v>
      </c>
      <c r="L802" s="6">
        <f t="shared" si="168"/>
        <v>0</v>
      </c>
      <c r="M802" s="7">
        <f t="shared" si="165"/>
        <v>1.6651305116954035E-2</v>
      </c>
      <c r="N802" s="7">
        <f t="shared" si="157"/>
        <v>1.6651305116954035E-2</v>
      </c>
      <c r="O802" s="7">
        <f t="shared" si="161"/>
        <v>0</v>
      </c>
      <c r="P802" s="6">
        <f t="shared" si="160"/>
        <v>6044437.1132075451</v>
      </c>
      <c r="Q802" s="6">
        <f t="shared" si="166"/>
        <v>132267778.20754707</v>
      </c>
      <c r="R802" s="4">
        <f t="shared" ca="1" si="162"/>
        <v>-318</v>
      </c>
      <c r="S802" s="6"/>
      <c r="T802" s="5"/>
      <c r="U802" s="30" t="str">
        <f t="shared" si="158"/>
        <v>PENDIENTE</v>
      </c>
    </row>
    <row r="803" spans="1:21" x14ac:dyDescent="0.25">
      <c r="A803" s="4" t="str">
        <f t="shared" si="159"/>
        <v>20259</v>
      </c>
      <c r="B803" s="4" t="s">
        <v>20</v>
      </c>
      <c r="C803" s="4" t="s">
        <v>21</v>
      </c>
      <c r="D803" s="29" t="s">
        <v>49</v>
      </c>
      <c r="E803" s="28">
        <v>45918</v>
      </c>
      <c r="F803" s="4">
        <f t="shared" si="163"/>
        <v>25</v>
      </c>
      <c r="G803" s="4">
        <f t="shared" si="164"/>
        <v>34</v>
      </c>
      <c r="H803" s="6">
        <f t="shared" si="167"/>
        <v>3779079.3773584906</v>
      </c>
      <c r="I803" s="6">
        <v>2202431.1320754699</v>
      </c>
      <c r="J803" s="6">
        <v>0</v>
      </c>
      <c r="K803" s="6">
        <v>0</v>
      </c>
      <c r="L803" s="6">
        <f t="shared" si="168"/>
        <v>0</v>
      </c>
      <c r="M803" s="7">
        <f t="shared" si="165"/>
        <v>1.6651305116954035E-2</v>
      </c>
      <c r="N803" s="7">
        <f t="shared" si="157"/>
        <v>1.6651305116954035E-2</v>
      </c>
      <c r="O803" s="7">
        <f t="shared" si="161"/>
        <v>0</v>
      </c>
      <c r="P803" s="6">
        <f t="shared" si="160"/>
        <v>5981510.5094339605</v>
      </c>
      <c r="Q803" s="6">
        <f t="shared" si="166"/>
        <v>128488698.83018857</v>
      </c>
      <c r="R803" s="4">
        <f t="shared" ca="1" si="162"/>
        <v>-349</v>
      </c>
      <c r="S803" s="6"/>
      <c r="T803" s="5"/>
      <c r="U803" s="30" t="str">
        <f t="shared" si="158"/>
        <v>PENDIENTE</v>
      </c>
    </row>
    <row r="804" spans="1:21" x14ac:dyDescent="0.25">
      <c r="A804" s="4" t="str">
        <f t="shared" si="159"/>
        <v>202510</v>
      </c>
      <c r="B804" s="4" t="s">
        <v>20</v>
      </c>
      <c r="C804" s="4" t="s">
        <v>21</v>
      </c>
      <c r="D804" s="29" t="s">
        <v>49</v>
      </c>
      <c r="E804" s="28">
        <v>45948</v>
      </c>
      <c r="F804" s="4">
        <f t="shared" si="163"/>
        <v>26</v>
      </c>
      <c r="G804" s="4">
        <f t="shared" si="164"/>
        <v>33</v>
      </c>
      <c r="H804" s="6">
        <f t="shared" si="167"/>
        <v>3779079.3773584906</v>
      </c>
      <c r="I804" s="6">
        <v>2139504.5283018849</v>
      </c>
      <c r="J804" s="6">
        <v>0</v>
      </c>
      <c r="K804" s="6">
        <v>0</v>
      </c>
      <c r="L804" s="6">
        <f t="shared" si="168"/>
        <v>0</v>
      </c>
      <c r="M804" s="7">
        <f t="shared" si="165"/>
        <v>1.6651305116954035E-2</v>
      </c>
      <c r="N804" s="7">
        <f t="shared" si="157"/>
        <v>1.6651305116954035E-2</v>
      </c>
      <c r="O804" s="7">
        <f t="shared" si="161"/>
        <v>0</v>
      </c>
      <c r="P804" s="6">
        <f t="shared" si="160"/>
        <v>5918583.905660376</v>
      </c>
      <c r="Q804" s="6">
        <f t="shared" si="166"/>
        <v>124709619.45283008</v>
      </c>
      <c r="R804" s="4">
        <f t="shared" ca="1" si="162"/>
        <v>-380</v>
      </c>
      <c r="S804" s="6"/>
      <c r="T804" s="5"/>
      <c r="U804" s="30" t="str">
        <f t="shared" si="158"/>
        <v>PENDIENTE</v>
      </c>
    </row>
    <row r="805" spans="1:21" x14ac:dyDescent="0.25">
      <c r="A805" s="4" t="str">
        <f t="shared" si="159"/>
        <v>202511</v>
      </c>
      <c r="B805" s="4" t="s">
        <v>20</v>
      </c>
      <c r="C805" s="4" t="s">
        <v>21</v>
      </c>
      <c r="D805" s="29" t="s">
        <v>49</v>
      </c>
      <c r="E805" s="28">
        <v>45979</v>
      </c>
      <c r="F805" s="4">
        <f t="shared" si="163"/>
        <v>27</v>
      </c>
      <c r="G805" s="4">
        <f t="shared" si="164"/>
        <v>32</v>
      </c>
      <c r="H805" s="6">
        <f t="shared" si="167"/>
        <v>3779079.3773584906</v>
      </c>
      <c r="I805" s="6">
        <v>2076577.9245282998</v>
      </c>
      <c r="J805" s="6">
        <v>0</v>
      </c>
      <c r="K805" s="6">
        <v>0</v>
      </c>
      <c r="L805" s="6">
        <f t="shared" si="168"/>
        <v>0</v>
      </c>
      <c r="M805" s="7">
        <f t="shared" si="165"/>
        <v>1.6651305116954035E-2</v>
      </c>
      <c r="N805" s="7">
        <f t="shared" si="157"/>
        <v>1.6651305116954035E-2</v>
      </c>
      <c r="O805" s="7">
        <f t="shared" si="161"/>
        <v>0</v>
      </c>
      <c r="P805" s="6">
        <f t="shared" si="160"/>
        <v>5855657.3018867904</v>
      </c>
      <c r="Q805" s="6">
        <f t="shared" si="166"/>
        <v>120930540.07547158</v>
      </c>
      <c r="R805" s="4">
        <f t="shared" ca="1" si="162"/>
        <v>-410</v>
      </c>
      <c r="S805" s="6"/>
      <c r="T805" s="5"/>
      <c r="U805" s="30" t="str">
        <f t="shared" si="158"/>
        <v>PENDIENTE</v>
      </c>
    </row>
    <row r="806" spans="1:21" x14ac:dyDescent="0.25">
      <c r="A806" s="4" t="str">
        <f t="shared" si="159"/>
        <v>202512</v>
      </c>
      <c r="B806" s="4" t="s">
        <v>20</v>
      </c>
      <c r="C806" s="4" t="s">
        <v>21</v>
      </c>
      <c r="D806" s="29" t="s">
        <v>49</v>
      </c>
      <c r="E806" s="28">
        <v>46009</v>
      </c>
      <c r="F806" s="4">
        <f t="shared" si="163"/>
        <v>28</v>
      </c>
      <c r="G806" s="4">
        <f t="shared" si="164"/>
        <v>31</v>
      </c>
      <c r="H806" s="6">
        <f t="shared" si="167"/>
        <v>3779079.3773584906</v>
      </c>
      <c r="I806" s="6">
        <v>2013651.320754715</v>
      </c>
      <c r="J806" s="6">
        <v>0</v>
      </c>
      <c r="K806" s="6">
        <v>0</v>
      </c>
      <c r="L806" s="6">
        <f t="shared" si="168"/>
        <v>0</v>
      </c>
      <c r="M806" s="7">
        <f t="shared" si="165"/>
        <v>1.6651305116954035E-2</v>
      </c>
      <c r="N806" s="7">
        <f t="shared" si="157"/>
        <v>1.6651305116954035E-2</v>
      </c>
      <c r="O806" s="7">
        <f t="shared" si="161"/>
        <v>0</v>
      </c>
      <c r="P806" s="6">
        <f t="shared" si="160"/>
        <v>5792730.6981132058</v>
      </c>
      <c r="Q806" s="6">
        <f t="shared" si="166"/>
        <v>117151460.69811308</v>
      </c>
      <c r="R806" s="4">
        <f t="shared" ca="1" si="162"/>
        <v>-441</v>
      </c>
      <c r="S806" s="6"/>
      <c r="T806" s="5"/>
      <c r="U806" s="30" t="str">
        <f t="shared" si="158"/>
        <v>PENDIENTE</v>
      </c>
    </row>
    <row r="807" spans="1:21" x14ac:dyDescent="0.25">
      <c r="A807" s="4" t="str">
        <f t="shared" si="159"/>
        <v>20261</v>
      </c>
      <c r="B807" s="4" t="s">
        <v>20</v>
      </c>
      <c r="C807" s="4" t="s">
        <v>21</v>
      </c>
      <c r="D807" s="29" t="s">
        <v>49</v>
      </c>
      <c r="E807" s="28">
        <v>46040</v>
      </c>
      <c r="F807" s="4">
        <f t="shared" si="163"/>
        <v>29</v>
      </c>
      <c r="G807" s="4">
        <f t="shared" si="164"/>
        <v>30</v>
      </c>
      <c r="H807" s="6">
        <f t="shared" si="167"/>
        <v>3779079.3773584906</v>
      </c>
      <c r="I807" s="6">
        <v>1950724.71698113</v>
      </c>
      <c r="J807" s="6">
        <v>0</v>
      </c>
      <c r="K807" s="6">
        <v>0</v>
      </c>
      <c r="L807" s="6">
        <f t="shared" si="168"/>
        <v>0</v>
      </c>
      <c r="M807" s="7">
        <f t="shared" si="165"/>
        <v>1.6651305116954035E-2</v>
      </c>
      <c r="N807" s="7">
        <f t="shared" si="157"/>
        <v>1.6651305116954035E-2</v>
      </c>
      <c r="O807" s="7">
        <f t="shared" si="161"/>
        <v>0</v>
      </c>
      <c r="P807" s="6">
        <f t="shared" si="160"/>
        <v>5729804.0943396203</v>
      </c>
      <c r="Q807" s="6">
        <f t="shared" si="166"/>
        <v>113372381.32075459</v>
      </c>
      <c r="R807" s="4">
        <f t="shared" ca="1" si="162"/>
        <v>-471</v>
      </c>
      <c r="S807" s="6"/>
      <c r="T807" s="5"/>
      <c r="U807" s="30" t="str">
        <f t="shared" si="158"/>
        <v>PENDIENTE</v>
      </c>
    </row>
    <row r="808" spans="1:21" x14ac:dyDescent="0.25">
      <c r="A808" s="4" t="str">
        <f t="shared" si="159"/>
        <v>20262</v>
      </c>
      <c r="B808" s="4" t="s">
        <v>20</v>
      </c>
      <c r="C808" s="4" t="s">
        <v>21</v>
      </c>
      <c r="D808" s="29" t="s">
        <v>49</v>
      </c>
      <c r="E808" s="28">
        <v>46071</v>
      </c>
      <c r="F808" s="4">
        <f t="shared" si="163"/>
        <v>30</v>
      </c>
      <c r="G808" s="4">
        <f t="shared" si="164"/>
        <v>29</v>
      </c>
      <c r="H808" s="6">
        <f t="shared" si="167"/>
        <v>3779079.3773584906</v>
      </c>
      <c r="I808" s="6">
        <v>1887798.1132075449</v>
      </c>
      <c r="J808" s="6">
        <v>0</v>
      </c>
      <c r="K808" s="6">
        <v>0</v>
      </c>
      <c r="L808" s="6">
        <f t="shared" si="168"/>
        <v>0</v>
      </c>
      <c r="M808" s="7">
        <f t="shared" si="165"/>
        <v>1.6651305116954035E-2</v>
      </c>
      <c r="N808" s="7">
        <f t="shared" si="157"/>
        <v>1.6651305116954035E-2</v>
      </c>
      <c r="O808" s="7">
        <f t="shared" si="161"/>
        <v>0</v>
      </c>
      <c r="P808" s="6">
        <f t="shared" si="160"/>
        <v>5666877.4905660357</v>
      </c>
      <c r="Q808" s="6">
        <f t="shared" si="166"/>
        <v>109593301.94339609</v>
      </c>
      <c r="R808" s="4">
        <f t="shared" ca="1" si="162"/>
        <v>-502</v>
      </c>
      <c r="S808" s="6"/>
      <c r="T808" s="5"/>
      <c r="U808" s="30" t="str">
        <f t="shared" si="158"/>
        <v>PENDIENTE</v>
      </c>
    </row>
    <row r="809" spans="1:21" x14ac:dyDescent="0.25">
      <c r="A809" s="4" t="str">
        <f t="shared" si="159"/>
        <v>20263</v>
      </c>
      <c r="B809" s="4" t="s">
        <v>20</v>
      </c>
      <c r="C809" s="4" t="s">
        <v>21</v>
      </c>
      <c r="D809" s="29" t="s">
        <v>49</v>
      </c>
      <c r="E809" s="28">
        <v>46099</v>
      </c>
      <c r="F809" s="4">
        <f t="shared" si="163"/>
        <v>31</v>
      </c>
      <c r="G809" s="4">
        <f t="shared" si="164"/>
        <v>28</v>
      </c>
      <c r="H809" s="6">
        <f t="shared" si="167"/>
        <v>3779079.3773584906</v>
      </c>
      <c r="I809" s="6">
        <v>1824871.5094339598</v>
      </c>
      <c r="J809" s="6">
        <v>0</v>
      </c>
      <c r="K809" s="6">
        <v>0</v>
      </c>
      <c r="L809" s="6">
        <f t="shared" si="168"/>
        <v>0</v>
      </c>
      <c r="M809" s="7">
        <f t="shared" si="165"/>
        <v>1.6651305116954035E-2</v>
      </c>
      <c r="N809" s="7">
        <f t="shared" si="157"/>
        <v>1.6651305116954035E-2</v>
      </c>
      <c r="O809" s="7">
        <f t="shared" si="161"/>
        <v>0</v>
      </c>
      <c r="P809" s="6">
        <f t="shared" si="160"/>
        <v>5603950.8867924502</v>
      </c>
      <c r="Q809" s="6">
        <f t="shared" si="166"/>
        <v>105814222.5660376</v>
      </c>
      <c r="R809" s="4">
        <f t="shared" ca="1" si="162"/>
        <v>-533</v>
      </c>
      <c r="S809" s="6"/>
      <c r="T809" s="5"/>
      <c r="U809" s="30" t="str">
        <f t="shared" si="158"/>
        <v>PENDIENTE</v>
      </c>
    </row>
    <row r="810" spans="1:21" x14ac:dyDescent="0.25">
      <c r="A810" s="4" t="str">
        <f t="shared" si="159"/>
        <v>20264</v>
      </c>
      <c r="B810" s="4" t="s">
        <v>20</v>
      </c>
      <c r="C810" s="4" t="s">
        <v>21</v>
      </c>
      <c r="D810" s="29" t="s">
        <v>49</v>
      </c>
      <c r="E810" s="28">
        <v>46130</v>
      </c>
      <c r="F810" s="4">
        <f t="shared" si="163"/>
        <v>32</v>
      </c>
      <c r="G810" s="4">
        <f t="shared" si="164"/>
        <v>27</v>
      </c>
      <c r="H810" s="6">
        <f t="shared" si="167"/>
        <v>3779079.3773584906</v>
      </c>
      <c r="I810" s="6">
        <v>1761944.905660375</v>
      </c>
      <c r="J810" s="6">
        <v>0</v>
      </c>
      <c r="K810" s="6">
        <v>0</v>
      </c>
      <c r="L810" s="6">
        <f t="shared" si="168"/>
        <v>0</v>
      </c>
      <c r="M810" s="7">
        <f t="shared" si="165"/>
        <v>1.6651305116954035E-2</v>
      </c>
      <c r="N810" s="7">
        <f t="shared" si="157"/>
        <v>1.6651305116954035E-2</v>
      </c>
      <c r="O810" s="7">
        <f t="shared" si="161"/>
        <v>0</v>
      </c>
      <c r="P810" s="6">
        <f t="shared" si="160"/>
        <v>5541024.2830188656</v>
      </c>
      <c r="Q810" s="6">
        <f t="shared" si="166"/>
        <v>102035143.1886791</v>
      </c>
      <c r="R810" s="4">
        <f t="shared" ca="1" si="162"/>
        <v>-561</v>
      </c>
      <c r="S810" s="6"/>
      <c r="T810" s="5"/>
      <c r="U810" s="30" t="str">
        <f t="shared" si="158"/>
        <v>PENDIENTE</v>
      </c>
    </row>
    <row r="811" spans="1:21" x14ac:dyDescent="0.25">
      <c r="A811" s="4" t="str">
        <f t="shared" si="159"/>
        <v>20265</v>
      </c>
      <c r="B811" s="4" t="s">
        <v>20</v>
      </c>
      <c r="C811" s="4" t="s">
        <v>21</v>
      </c>
      <c r="D811" s="29" t="s">
        <v>49</v>
      </c>
      <c r="E811" s="28">
        <v>46160</v>
      </c>
      <c r="F811" s="4">
        <f t="shared" si="163"/>
        <v>33</v>
      </c>
      <c r="G811" s="4">
        <f t="shared" si="164"/>
        <v>26</v>
      </c>
      <c r="H811" s="6">
        <f t="shared" si="167"/>
        <v>3779079.3773584906</v>
      </c>
      <c r="I811" s="6">
        <v>1699018.30188679</v>
      </c>
      <c r="J811" s="6">
        <v>0</v>
      </c>
      <c r="K811" s="6">
        <v>0</v>
      </c>
      <c r="L811" s="6">
        <f t="shared" si="168"/>
        <v>0</v>
      </c>
      <c r="M811" s="7">
        <f t="shared" si="165"/>
        <v>1.6651305116954035E-2</v>
      </c>
      <c r="N811" s="7">
        <f t="shared" si="157"/>
        <v>1.6651305116954035E-2</v>
      </c>
      <c r="O811" s="7">
        <f t="shared" si="161"/>
        <v>0</v>
      </c>
      <c r="P811" s="6">
        <f t="shared" si="160"/>
        <v>5478097.6792452801</v>
      </c>
      <c r="Q811" s="6">
        <f t="shared" si="166"/>
        <v>98256063.811320603</v>
      </c>
      <c r="R811" s="4">
        <f t="shared" ca="1" si="162"/>
        <v>-592</v>
      </c>
      <c r="S811" s="6"/>
      <c r="T811" s="5"/>
      <c r="U811" s="30" t="str">
        <f t="shared" si="158"/>
        <v>PENDIENTE</v>
      </c>
    </row>
    <row r="812" spans="1:21" x14ac:dyDescent="0.25">
      <c r="A812" s="4" t="str">
        <f t="shared" si="159"/>
        <v>20266</v>
      </c>
      <c r="B812" s="4" t="s">
        <v>20</v>
      </c>
      <c r="C812" s="4" t="s">
        <v>21</v>
      </c>
      <c r="D812" s="29" t="s">
        <v>49</v>
      </c>
      <c r="E812" s="28">
        <v>46191</v>
      </c>
      <c r="F812" s="4">
        <f t="shared" si="163"/>
        <v>34</v>
      </c>
      <c r="G812" s="4">
        <f t="shared" si="164"/>
        <v>25</v>
      </c>
      <c r="H812" s="6">
        <f t="shared" si="167"/>
        <v>3779079.3773584906</v>
      </c>
      <c r="I812" s="6">
        <v>1636091.6981132049</v>
      </c>
      <c r="J812" s="6">
        <v>0</v>
      </c>
      <c r="K812" s="6">
        <v>0</v>
      </c>
      <c r="L812" s="6">
        <f t="shared" si="168"/>
        <v>0</v>
      </c>
      <c r="M812" s="7">
        <f t="shared" si="165"/>
        <v>1.6651305116954035E-2</v>
      </c>
      <c r="N812" s="7">
        <f t="shared" si="157"/>
        <v>1.6651305116954035E-2</v>
      </c>
      <c r="O812" s="7">
        <f t="shared" si="161"/>
        <v>0</v>
      </c>
      <c r="P812" s="6">
        <f t="shared" si="160"/>
        <v>5415171.0754716955</v>
      </c>
      <c r="Q812" s="6">
        <f t="shared" si="166"/>
        <v>94476984.433962107</v>
      </c>
      <c r="R812" s="4">
        <f t="shared" ca="1" si="162"/>
        <v>-622</v>
      </c>
      <c r="S812" s="6"/>
      <c r="T812" s="5"/>
      <c r="U812" s="30" t="str">
        <f t="shared" si="158"/>
        <v>PENDIENTE</v>
      </c>
    </row>
    <row r="813" spans="1:21" x14ac:dyDescent="0.25">
      <c r="A813" s="4" t="str">
        <f t="shared" si="159"/>
        <v>20267</v>
      </c>
      <c r="B813" s="4" t="s">
        <v>20</v>
      </c>
      <c r="C813" s="4" t="s">
        <v>21</v>
      </c>
      <c r="D813" s="29" t="s">
        <v>49</v>
      </c>
      <c r="E813" s="28">
        <v>46221</v>
      </c>
      <c r="F813" s="4">
        <f t="shared" si="163"/>
        <v>35</v>
      </c>
      <c r="G813" s="4">
        <f t="shared" si="164"/>
        <v>24</v>
      </c>
      <c r="H813" s="6">
        <f t="shared" si="167"/>
        <v>3779079.3773584906</v>
      </c>
      <c r="I813" s="6">
        <v>1573165.0943396199</v>
      </c>
      <c r="J813" s="6">
        <v>0</v>
      </c>
      <c r="K813" s="6">
        <v>0</v>
      </c>
      <c r="L813" s="6">
        <f t="shared" si="168"/>
        <v>0</v>
      </c>
      <c r="M813" s="7">
        <f t="shared" si="165"/>
        <v>1.6651305116954035E-2</v>
      </c>
      <c r="N813" s="7">
        <f t="shared" si="157"/>
        <v>1.6651305116954035E-2</v>
      </c>
      <c r="O813" s="7">
        <f t="shared" si="161"/>
        <v>0</v>
      </c>
      <c r="P813" s="6">
        <f t="shared" si="160"/>
        <v>5352244.4716981109</v>
      </c>
      <c r="Q813" s="6">
        <f t="shared" si="166"/>
        <v>90697905.056603611</v>
      </c>
      <c r="R813" s="4">
        <f t="shared" ca="1" si="162"/>
        <v>-653</v>
      </c>
      <c r="S813" s="6"/>
      <c r="T813" s="5"/>
      <c r="U813" s="30" t="str">
        <f t="shared" si="158"/>
        <v>PENDIENTE</v>
      </c>
    </row>
    <row r="814" spans="1:21" x14ac:dyDescent="0.25">
      <c r="A814" s="4" t="str">
        <f t="shared" si="159"/>
        <v>20268</v>
      </c>
      <c r="B814" s="4" t="s">
        <v>20</v>
      </c>
      <c r="C814" s="4" t="s">
        <v>21</v>
      </c>
      <c r="D814" s="29" t="s">
        <v>49</v>
      </c>
      <c r="E814" s="28">
        <v>46252</v>
      </c>
      <c r="F814" s="4">
        <f t="shared" si="163"/>
        <v>36</v>
      </c>
      <c r="G814" s="4">
        <f t="shared" si="164"/>
        <v>23</v>
      </c>
      <c r="H814" s="6">
        <f t="shared" si="167"/>
        <v>3779079.3773584906</v>
      </c>
      <c r="I814" s="6">
        <v>1510238.490566035</v>
      </c>
      <c r="J814" s="6">
        <v>0</v>
      </c>
      <c r="K814" s="6">
        <v>0</v>
      </c>
      <c r="L814" s="6">
        <f t="shared" si="168"/>
        <v>0</v>
      </c>
      <c r="M814" s="7">
        <f t="shared" si="165"/>
        <v>1.6651305116954035E-2</v>
      </c>
      <c r="N814" s="7">
        <f t="shared" si="157"/>
        <v>1.6651305116954035E-2</v>
      </c>
      <c r="O814" s="7">
        <f t="shared" si="161"/>
        <v>0</v>
      </c>
      <c r="P814" s="6">
        <f t="shared" si="160"/>
        <v>5289317.8679245254</v>
      </c>
      <c r="Q814" s="6">
        <f t="shared" si="166"/>
        <v>86918825.679245114</v>
      </c>
      <c r="R814" s="4">
        <f t="shared" ca="1" si="162"/>
        <v>-683</v>
      </c>
      <c r="S814" s="6"/>
      <c r="T814" s="5"/>
      <c r="U814" s="30" t="str">
        <f t="shared" si="158"/>
        <v>PENDIENTE</v>
      </c>
    </row>
    <row r="815" spans="1:21" x14ac:dyDescent="0.25">
      <c r="A815" s="4" t="str">
        <f t="shared" si="159"/>
        <v>20269</v>
      </c>
      <c r="B815" s="4" t="s">
        <v>20</v>
      </c>
      <c r="C815" s="4" t="s">
        <v>21</v>
      </c>
      <c r="D815" s="29" t="s">
        <v>49</v>
      </c>
      <c r="E815" s="28">
        <v>46283</v>
      </c>
      <c r="F815" s="4">
        <f t="shared" si="163"/>
        <v>37</v>
      </c>
      <c r="G815" s="4">
        <f t="shared" si="164"/>
        <v>22</v>
      </c>
      <c r="H815" s="6">
        <f t="shared" si="167"/>
        <v>3779079.3773584906</v>
      </c>
      <c r="I815" s="6">
        <v>1447311.88679245</v>
      </c>
      <c r="J815" s="6">
        <v>0</v>
      </c>
      <c r="K815" s="6">
        <v>0</v>
      </c>
      <c r="L815" s="6">
        <f t="shared" si="168"/>
        <v>0</v>
      </c>
      <c r="M815" s="7">
        <f t="shared" si="165"/>
        <v>1.6651305116954035E-2</v>
      </c>
      <c r="N815" s="7">
        <f t="shared" si="157"/>
        <v>1.6651305116954035E-2</v>
      </c>
      <c r="O815" s="7">
        <f t="shared" si="161"/>
        <v>0</v>
      </c>
      <c r="P815" s="6">
        <f t="shared" si="160"/>
        <v>5226391.2641509408</v>
      </c>
      <c r="Q815" s="6">
        <f t="shared" si="166"/>
        <v>83139746.301886618</v>
      </c>
      <c r="R815" s="4">
        <f t="shared" ca="1" si="162"/>
        <v>-714</v>
      </c>
      <c r="S815" s="6"/>
      <c r="T815" s="5"/>
      <c r="U815" s="30" t="str">
        <f t="shared" si="158"/>
        <v>PENDIENTE</v>
      </c>
    </row>
    <row r="816" spans="1:21" x14ac:dyDescent="0.25">
      <c r="A816" s="4" t="str">
        <f t="shared" si="159"/>
        <v>202610</v>
      </c>
      <c r="B816" s="4" t="s">
        <v>20</v>
      </c>
      <c r="C816" s="4" t="s">
        <v>21</v>
      </c>
      <c r="D816" s="29" t="s">
        <v>49</v>
      </c>
      <c r="E816" s="28">
        <v>46313</v>
      </c>
      <c r="F816" s="4">
        <f t="shared" si="163"/>
        <v>38</v>
      </c>
      <c r="G816" s="4">
        <f t="shared" si="164"/>
        <v>21</v>
      </c>
      <c r="H816" s="6">
        <f t="shared" si="167"/>
        <v>3779079.3773584906</v>
      </c>
      <c r="I816" s="6">
        <v>1384385.2830188649</v>
      </c>
      <c r="J816" s="6">
        <v>0</v>
      </c>
      <c r="K816" s="6">
        <v>0</v>
      </c>
      <c r="L816" s="6">
        <f t="shared" si="168"/>
        <v>0</v>
      </c>
      <c r="M816" s="7">
        <f t="shared" si="165"/>
        <v>1.6651305116954035E-2</v>
      </c>
      <c r="N816" s="7">
        <f t="shared" ref="N816:N879" si="169">IF(I816="","",I816/Q815)</f>
        <v>1.6651305116954035E-2</v>
      </c>
      <c r="O816" s="7">
        <f t="shared" si="161"/>
        <v>0</v>
      </c>
      <c r="P816" s="6">
        <f t="shared" si="160"/>
        <v>5163464.6603773553</v>
      </c>
      <c r="Q816" s="6">
        <f t="shared" si="166"/>
        <v>79360666.924528122</v>
      </c>
      <c r="R816" s="4">
        <f t="shared" ca="1" si="162"/>
        <v>-745</v>
      </c>
      <c r="S816" s="6"/>
      <c r="T816" s="5"/>
      <c r="U816" s="30" t="str">
        <f t="shared" si="158"/>
        <v>PENDIENTE</v>
      </c>
    </row>
    <row r="817" spans="1:21" x14ac:dyDescent="0.25">
      <c r="A817" s="4" t="str">
        <f t="shared" si="159"/>
        <v>202611</v>
      </c>
      <c r="B817" s="4" t="s">
        <v>20</v>
      </c>
      <c r="C817" s="4" t="s">
        <v>21</v>
      </c>
      <c r="D817" s="29" t="s">
        <v>49</v>
      </c>
      <c r="E817" s="28">
        <v>46344</v>
      </c>
      <c r="F817" s="4">
        <f t="shared" si="163"/>
        <v>39</v>
      </c>
      <c r="G817" s="4">
        <f t="shared" si="164"/>
        <v>20</v>
      </c>
      <c r="H817" s="6">
        <f t="shared" si="167"/>
        <v>3779079.3773584906</v>
      </c>
      <c r="I817" s="6">
        <v>1321458.6792452799</v>
      </c>
      <c r="J817" s="6">
        <v>0</v>
      </c>
      <c r="K817" s="6">
        <v>0</v>
      </c>
      <c r="L817" s="6">
        <f t="shared" si="168"/>
        <v>0</v>
      </c>
      <c r="M817" s="7">
        <f t="shared" si="165"/>
        <v>1.6651305116954035E-2</v>
      </c>
      <c r="N817" s="7">
        <f t="shared" si="169"/>
        <v>1.6651305116954035E-2</v>
      </c>
      <c r="O817" s="7">
        <f t="shared" si="161"/>
        <v>0</v>
      </c>
      <c r="P817" s="6">
        <f t="shared" si="160"/>
        <v>5100538.0566037707</v>
      </c>
      <c r="Q817" s="6">
        <f t="shared" si="166"/>
        <v>75581587.547169626</v>
      </c>
      <c r="R817" s="4">
        <f t="shared" ca="1" si="162"/>
        <v>-775</v>
      </c>
      <c r="S817" s="6"/>
      <c r="T817" s="5"/>
      <c r="U817" s="30" t="str">
        <f t="shared" si="158"/>
        <v>PENDIENTE</v>
      </c>
    </row>
    <row r="818" spans="1:21" x14ac:dyDescent="0.25">
      <c r="A818" s="4" t="str">
        <f t="shared" si="159"/>
        <v>202612</v>
      </c>
      <c r="B818" s="4" t="s">
        <v>20</v>
      </c>
      <c r="C818" s="4" t="s">
        <v>21</v>
      </c>
      <c r="D818" s="29" t="s">
        <v>49</v>
      </c>
      <c r="E818" s="28">
        <v>46374</v>
      </c>
      <c r="F818" s="4">
        <f t="shared" si="163"/>
        <v>40</v>
      </c>
      <c r="G818" s="4">
        <f t="shared" si="164"/>
        <v>19</v>
      </c>
      <c r="H818" s="6">
        <f t="shared" si="167"/>
        <v>3779079.3773584906</v>
      </c>
      <c r="I818" s="6">
        <v>1258532.075471695</v>
      </c>
      <c r="J818" s="6">
        <v>0</v>
      </c>
      <c r="K818" s="6">
        <v>0</v>
      </c>
      <c r="L818" s="6">
        <f t="shared" si="168"/>
        <v>0</v>
      </c>
      <c r="M818" s="7">
        <f t="shared" si="165"/>
        <v>1.6651305116954035E-2</v>
      </c>
      <c r="N818" s="7">
        <f t="shared" si="169"/>
        <v>1.6651305116954035E-2</v>
      </c>
      <c r="O818" s="7">
        <f t="shared" si="161"/>
        <v>0</v>
      </c>
      <c r="P818" s="6">
        <f t="shared" si="160"/>
        <v>5037611.4528301861</v>
      </c>
      <c r="Q818" s="6">
        <f t="shared" si="166"/>
        <v>71802508.16981113</v>
      </c>
      <c r="R818" s="4">
        <f t="shared" ca="1" si="162"/>
        <v>-806</v>
      </c>
      <c r="S818" s="6"/>
      <c r="T818" s="5"/>
      <c r="U818" s="30" t="str">
        <f t="shared" si="158"/>
        <v>PENDIENTE</v>
      </c>
    </row>
    <row r="819" spans="1:21" x14ac:dyDescent="0.25">
      <c r="A819" s="4" t="str">
        <f t="shared" si="159"/>
        <v>20271</v>
      </c>
      <c r="B819" s="4" t="s">
        <v>20</v>
      </c>
      <c r="C819" s="4" t="s">
        <v>21</v>
      </c>
      <c r="D819" s="29" t="s">
        <v>49</v>
      </c>
      <c r="E819" s="28">
        <v>46405</v>
      </c>
      <c r="F819" s="4">
        <f t="shared" si="163"/>
        <v>41</v>
      </c>
      <c r="G819" s="4">
        <f t="shared" si="164"/>
        <v>18</v>
      </c>
      <c r="H819" s="6">
        <f t="shared" si="167"/>
        <v>3779079.3773584906</v>
      </c>
      <c r="I819" s="6">
        <v>1195605.47169811</v>
      </c>
      <c r="J819" s="6">
        <v>0</v>
      </c>
      <c r="K819" s="6">
        <v>0</v>
      </c>
      <c r="L819" s="6">
        <f t="shared" si="168"/>
        <v>0</v>
      </c>
      <c r="M819" s="7">
        <f t="shared" si="165"/>
        <v>1.6651305116954035E-2</v>
      </c>
      <c r="N819" s="7">
        <f t="shared" si="169"/>
        <v>1.6651305116954035E-2</v>
      </c>
      <c r="O819" s="7">
        <f t="shared" si="161"/>
        <v>0</v>
      </c>
      <c r="P819" s="6">
        <f t="shared" si="160"/>
        <v>4974684.8490566006</v>
      </c>
      <c r="Q819" s="6">
        <f t="shared" si="166"/>
        <v>68023428.792452633</v>
      </c>
      <c r="R819" s="4">
        <f t="shared" ca="1" si="162"/>
        <v>-836</v>
      </c>
      <c r="S819" s="6"/>
      <c r="T819" s="5"/>
      <c r="U819" s="30" t="str">
        <f t="shared" si="158"/>
        <v>PENDIENTE</v>
      </c>
    </row>
    <row r="820" spans="1:21" x14ac:dyDescent="0.25">
      <c r="A820" s="4" t="str">
        <f t="shared" si="159"/>
        <v>20272</v>
      </c>
      <c r="B820" s="4" t="s">
        <v>20</v>
      </c>
      <c r="C820" s="4" t="s">
        <v>21</v>
      </c>
      <c r="D820" s="29" t="s">
        <v>49</v>
      </c>
      <c r="E820" s="28">
        <v>46436</v>
      </c>
      <c r="F820" s="4">
        <f t="shared" si="163"/>
        <v>42</v>
      </c>
      <c r="G820" s="4">
        <f t="shared" si="164"/>
        <v>17</v>
      </c>
      <c r="H820" s="6">
        <f t="shared" si="167"/>
        <v>3779079.3773584906</v>
      </c>
      <c r="I820" s="6">
        <v>1132678.8679245249</v>
      </c>
      <c r="J820" s="6">
        <v>0</v>
      </c>
      <c r="K820" s="6">
        <v>0</v>
      </c>
      <c r="L820" s="6">
        <f t="shared" si="168"/>
        <v>0</v>
      </c>
      <c r="M820" s="7">
        <f t="shared" si="165"/>
        <v>1.6651305116954035E-2</v>
      </c>
      <c r="N820" s="7">
        <f t="shared" si="169"/>
        <v>1.6651305116954035E-2</v>
      </c>
      <c r="O820" s="7">
        <f t="shared" si="161"/>
        <v>0</v>
      </c>
      <c r="P820" s="6">
        <f t="shared" si="160"/>
        <v>4911758.2452830151</v>
      </c>
      <c r="Q820" s="6">
        <f t="shared" si="166"/>
        <v>64244349.415094145</v>
      </c>
      <c r="R820" s="4">
        <f t="shared" ca="1" si="162"/>
        <v>-867</v>
      </c>
      <c r="S820" s="6"/>
      <c r="T820" s="5"/>
      <c r="U820" s="30" t="str">
        <f t="shared" si="158"/>
        <v>PENDIENTE</v>
      </c>
    </row>
    <row r="821" spans="1:21" x14ac:dyDescent="0.25">
      <c r="A821" s="4" t="str">
        <f t="shared" si="159"/>
        <v>20273</v>
      </c>
      <c r="B821" s="4" t="s">
        <v>20</v>
      </c>
      <c r="C821" s="4" t="s">
        <v>21</v>
      </c>
      <c r="D821" s="29" t="s">
        <v>49</v>
      </c>
      <c r="E821" s="28">
        <v>46464</v>
      </c>
      <c r="F821" s="4">
        <f t="shared" si="163"/>
        <v>43</v>
      </c>
      <c r="G821" s="4">
        <f t="shared" si="164"/>
        <v>16</v>
      </c>
      <c r="H821" s="6">
        <f t="shared" si="167"/>
        <v>3779079.3773584906</v>
      </c>
      <c r="I821" s="6">
        <v>1069752.2641509401</v>
      </c>
      <c r="J821" s="6">
        <v>0</v>
      </c>
      <c r="K821" s="6">
        <v>0</v>
      </c>
      <c r="L821" s="6">
        <f t="shared" si="168"/>
        <v>0</v>
      </c>
      <c r="M821" s="7">
        <f t="shared" si="165"/>
        <v>1.6651305116954035E-2</v>
      </c>
      <c r="N821" s="7">
        <f t="shared" si="169"/>
        <v>1.6651305116954035E-2</v>
      </c>
      <c r="O821" s="7">
        <f t="shared" si="161"/>
        <v>0</v>
      </c>
      <c r="P821" s="6">
        <f t="shared" si="160"/>
        <v>4848831.6415094305</v>
      </c>
      <c r="Q821" s="6">
        <f t="shared" si="166"/>
        <v>60465270.037735656</v>
      </c>
      <c r="R821" s="4">
        <f t="shared" ca="1" si="162"/>
        <v>-898</v>
      </c>
      <c r="S821" s="6"/>
      <c r="T821" s="5"/>
      <c r="U821" s="30" t="str">
        <f t="shared" si="158"/>
        <v>PENDIENTE</v>
      </c>
    </row>
    <row r="822" spans="1:21" x14ac:dyDescent="0.25">
      <c r="A822" s="4" t="str">
        <f t="shared" si="159"/>
        <v>20274</v>
      </c>
      <c r="B822" s="4" t="s">
        <v>20</v>
      </c>
      <c r="C822" s="4" t="s">
        <v>21</v>
      </c>
      <c r="D822" s="29" t="s">
        <v>49</v>
      </c>
      <c r="E822" s="28">
        <v>46495</v>
      </c>
      <c r="F822" s="4">
        <f t="shared" si="163"/>
        <v>44</v>
      </c>
      <c r="G822" s="4">
        <f t="shared" si="164"/>
        <v>15</v>
      </c>
      <c r="H822" s="6">
        <f t="shared" si="167"/>
        <v>3779079.3773584906</v>
      </c>
      <c r="I822" s="6">
        <v>1006825.6603773552</v>
      </c>
      <c r="J822" s="6">
        <v>0</v>
      </c>
      <c r="K822" s="6">
        <v>0</v>
      </c>
      <c r="L822" s="6">
        <f t="shared" si="168"/>
        <v>0</v>
      </c>
      <c r="M822" s="7">
        <f t="shared" si="165"/>
        <v>1.6651305116954035E-2</v>
      </c>
      <c r="N822" s="7">
        <f t="shared" si="169"/>
        <v>1.6651305116954035E-2</v>
      </c>
      <c r="O822" s="7">
        <f t="shared" si="161"/>
        <v>0</v>
      </c>
      <c r="P822" s="6">
        <f t="shared" si="160"/>
        <v>4785905.0377358459</v>
      </c>
      <c r="Q822" s="6">
        <f t="shared" si="166"/>
        <v>56686190.660377167</v>
      </c>
      <c r="R822" s="4">
        <f t="shared" ca="1" si="162"/>
        <v>-926</v>
      </c>
      <c r="S822" s="6"/>
      <c r="T822" s="5"/>
      <c r="U822" s="30" t="str">
        <f t="shared" si="158"/>
        <v>PENDIENTE</v>
      </c>
    </row>
    <row r="823" spans="1:21" x14ac:dyDescent="0.25">
      <c r="A823" s="4" t="str">
        <f t="shared" si="159"/>
        <v>20275</v>
      </c>
      <c r="B823" s="4" t="s">
        <v>20</v>
      </c>
      <c r="C823" s="4" t="s">
        <v>21</v>
      </c>
      <c r="D823" s="29" t="s">
        <v>49</v>
      </c>
      <c r="E823" s="28">
        <v>46525</v>
      </c>
      <c r="F823" s="4">
        <f t="shared" si="163"/>
        <v>45</v>
      </c>
      <c r="G823" s="4">
        <f t="shared" si="164"/>
        <v>14</v>
      </c>
      <c r="H823" s="6">
        <f t="shared" si="167"/>
        <v>3779079.3773584906</v>
      </c>
      <c r="I823" s="6">
        <v>943899.05660377035</v>
      </c>
      <c r="J823" s="6">
        <v>0</v>
      </c>
      <c r="K823" s="6">
        <v>0</v>
      </c>
      <c r="L823" s="6">
        <f t="shared" si="168"/>
        <v>0</v>
      </c>
      <c r="M823" s="7">
        <f t="shared" si="165"/>
        <v>1.6651305116954035E-2</v>
      </c>
      <c r="N823" s="7">
        <f t="shared" si="169"/>
        <v>1.6651305116954035E-2</v>
      </c>
      <c r="O823" s="7">
        <f t="shared" si="161"/>
        <v>0</v>
      </c>
      <c r="P823" s="6">
        <f t="shared" si="160"/>
        <v>4722978.4339622613</v>
      </c>
      <c r="Q823" s="6">
        <f t="shared" si="166"/>
        <v>52907111.283018678</v>
      </c>
      <c r="R823" s="4">
        <f t="shared" ca="1" si="162"/>
        <v>-957</v>
      </c>
      <c r="S823" s="6"/>
      <c r="T823" s="5"/>
      <c r="U823" s="30" t="str">
        <f t="shared" si="158"/>
        <v>PENDIENTE</v>
      </c>
    </row>
    <row r="824" spans="1:21" x14ac:dyDescent="0.25">
      <c r="A824" s="4" t="str">
        <f t="shared" si="159"/>
        <v>20276</v>
      </c>
      <c r="B824" s="4" t="s">
        <v>20</v>
      </c>
      <c r="C824" s="4" t="s">
        <v>21</v>
      </c>
      <c r="D824" s="29" t="s">
        <v>49</v>
      </c>
      <c r="E824" s="28">
        <v>46556</v>
      </c>
      <c r="F824" s="4">
        <f t="shared" si="163"/>
        <v>46</v>
      </c>
      <c r="G824" s="4">
        <f t="shared" si="164"/>
        <v>13</v>
      </c>
      <c r="H824" s="6">
        <f t="shared" si="167"/>
        <v>3779079.3773584906</v>
      </c>
      <c r="I824" s="6">
        <v>880972.45283018553</v>
      </c>
      <c r="J824" s="6">
        <v>0</v>
      </c>
      <c r="K824" s="6">
        <v>0</v>
      </c>
      <c r="L824" s="6">
        <f t="shared" si="168"/>
        <v>0</v>
      </c>
      <c r="M824" s="7">
        <f t="shared" si="165"/>
        <v>1.6651305116954035E-2</v>
      </c>
      <c r="N824" s="7">
        <f t="shared" si="169"/>
        <v>1.6651305116954035E-2</v>
      </c>
      <c r="O824" s="7">
        <f t="shared" si="161"/>
        <v>0</v>
      </c>
      <c r="P824" s="6">
        <f t="shared" si="160"/>
        <v>4660051.8301886758</v>
      </c>
      <c r="Q824" s="6">
        <f t="shared" si="166"/>
        <v>49128031.90566019</v>
      </c>
      <c r="R824" s="4">
        <f t="shared" ca="1" si="162"/>
        <v>-987</v>
      </c>
      <c r="S824" s="6"/>
      <c r="T824" s="5"/>
      <c r="U824" s="30" t="str">
        <f t="shared" si="158"/>
        <v>PENDIENTE</v>
      </c>
    </row>
    <row r="825" spans="1:21" x14ac:dyDescent="0.25">
      <c r="A825" s="4" t="str">
        <f t="shared" si="159"/>
        <v>20277</v>
      </c>
      <c r="B825" s="4" t="s">
        <v>20</v>
      </c>
      <c r="C825" s="4" t="s">
        <v>21</v>
      </c>
      <c r="D825" s="29" t="s">
        <v>49</v>
      </c>
      <c r="E825" s="28">
        <v>46586</v>
      </c>
      <c r="F825" s="4">
        <f t="shared" si="163"/>
        <v>47</v>
      </c>
      <c r="G825" s="4">
        <f t="shared" si="164"/>
        <v>12</v>
      </c>
      <c r="H825" s="6">
        <f t="shared" si="167"/>
        <v>3779079.3773584906</v>
      </c>
      <c r="I825" s="6">
        <v>818045.84905660059</v>
      </c>
      <c r="J825" s="6">
        <v>0</v>
      </c>
      <c r="K825" s="6">
        <v>0</v>
      </c>
      <c r="L825" s="6">
        <f t="shared" si="168"/>
        <v>0</v>
      </c>
      <c r="M825" s="7">
        <f t="shared" si="165"/>
        <v>1.6651305116954035E-2</v>
      </c>
      <c r="N825" s="7">
        <f t="shared" si="169"/>
        <v>1.6651305116954035E-2</v>
      </c>
      <c r="O825" s="7">
        <f t="shared" si="161"/>
        <v>0</v>
      </c>
      <c r="P825" s="6">
        <f t="shared" si="160"/>
        <v>4597125.2264150912</v>
      </c>
      <c r="Q825" s="6">
        <f t="shared" si="166"/>
        <v>45348952.528301701</v>
      </c>
      <c r="R825" s="4">
        <f t="shared" ca="1" si="162"/>
        <v>-1018</v>
      </c>
      <c r="S825" s="6"/>
      <c r="T825" s="5"/>
      <c r="U825" s="30" t="str">
        <f t="shared" si="158"/>
        <v>PENDIENTE</v>
      </c>
    </row>
    <row r="826" spans="1:21" x14ac:dyDescent="0.25">
      <c r="A826" s="4" t="str">
        <f t="shared" si="159"/>
        <v>20278</v>
      </c>
      <c r="B826" s="4" t="s">
        <v>20</v>
      </c>
      <c r="C826" s="4" t="s">
        <v>21</v>
      </c>
      <c r="D826" s="29" t="s">
        <v>49</v>
      </c>
      <c r="E826" s="28">
        <v>46617</v>
      </c>
      <c r="F826" s="4">
        <f t="shared" si="163"/>
        <v>48</v>
      </c>
      <c r="G826" s="4">
        <f t="shared" si="164"/>
        <v>11</v>
      </c>
      <c r="H826" s="6">
        <f t="shared" si="167"/>
        <v>3779079.3773584906</v>
      </c>
      <c r="I826" s="6">
        <v>755119.24528301577</v>
      </c>
      <c r="J826" s="6">
        <v>0</v>
      </c>
      <c r="K826" s="6">
        <v>0</v>
      </c>
      <c r="L826" s="6">
        <f t="shared" si="168"/>
        <v>0</v>
      </c>
      <c r="M826" s="7">
        <f t="shared" si="165"/>
        <v>1.6651305116954035E-2</v>
      </c>
      <c r="N826" s="7">
        <f t="shared" si="169"/>
        <v>1.6651305116954035E-2</v>
      </c>
      <c r="O826" s="7">
        <f t="shared" si="161"/>
        <v>0</v>
      </c>
      <c r="P826" s="6">
        <f t="shared" si="160"/>
        <v>4534198.6226415066</v>
      </c>
      <c r="Q826" s="6">
        <f t="shared" si="166"/>
        <v>41569873.150943212</v>
      </c>
      <c r="R826" s="4">
        <f t="shared" ca="1" si="162"/>
        <v>-1048</v>
      </c>
      <c r="S826" s="6"/>
      <c r="T826" s="5"/>
      <c r="U826" s="30" t="str">
        <f t="shared" si="158"/>
        <v>PENDIENTE</v>
      </c>
    </row>
    <row r="827" spans="1:21" x14ac:dyDescent="0.25">
      <c r="A827" s="4" t="str">
        <f t="shared" si="159"/>
        <v>20279</v>
      </c>
      <c r="B827" s="4" t="s">
        <v>20</v>
      </c>
      <c r="C827" s="4" t="s">
        <v>21</v>
      </c>
      <c r="D827" s="29" t="s">
        <v>49</v>
      </c>
      <c r="E827" s="28">
        <v>46648</v>
      </c>
      <c r="F827" s="4">
        <f t="shared" si="163"/>
        <v>49</v>
      </c>
      <c r="G827" s="4">
        <f t="shared" si="164"/>
        <v>10</v>
      </c>
      <c r="H827" s="6">
        <f t="shared" si="167"/>
        <v>3779079.3773584906</v>
      </c>
      <c r="I827" s="6">
        <v>692192.64150943083</v>
      </c>
      <c r="J827" s="6">
        <v>0</v>
      </c>
      <c r="K827" s="6">
        <v>0</v>
      </c>
      <c r="L827" s="6">
        <f t="shared" si="168"/>
        <v>0</v>
      </c>
      <c r="M827" s="7">
        <f t="shared" si="165"/>
        <v>1.6651305116954035E-2</v>
      </c>
      <c r="N827" s="7">
        <f t="shared" si="169"/>
        <v>1.6651305116954035E-2</v>
      </c>
      <c r="O827" s="7">
        <f t="shared" si="161"/>
        <v>0</v>
      </c>
      <c r="P827" s="6">
        <f t="shared" si="160"/>
        <v>4471272.0188679211</v>
      </c>
      <c r="Q827" s="6">
        <f t="shared" si="166"/>
        <v>37790793.773584723</v>
      </c>
      <c r="R827" s="4">
        <f t="shared" ca="1" si="162"/>
        <v>-1079</v>
      </c>
      <c r="S827" s="6"/>
      <c r="T827" s="5"/>
      <c r="U827" s="30" t="str">
        <f t="shared" si="158"/>
        <v>PENDIENTE</v>
      </c>
    </row>
    <row r="828" spans="1:21" x14ac:dyDescent="0.25">
      <c r="A828" s="4" t="str">
        <f t="shared" si="159"/>
        <v>202710</v>
      </c>
      <c r="B828" s="4" t="s">
        <v>20</v>
      </c>
      <c r="C828" s="4" t="s">
        <v>21</v>
      </c>
      <c r="D828" s="29" t="s">
        <v>49</v>
      </c>
      <c r="E828" s="28">
        <v>46678</v>
      </c>
      <c r="F828" s="4">
        <f t="shared" si="163"/>
        <v>50</v>
      </c>
      <c r="G828" s="4">
        <f t="shared" si="164"/>
        <v>9</v>
      </c>
      <c r="H828" s="6">
        <f t="shared" si="167"/>
        <v>3779079.3773584906</v>
      </c>
      <c r="I828" s="6">
        <v>629266.03773584601</v>
      </c>
      <c r="J828" s="6">
        <v>0</v>
      </c>
      <c r="K828" s="6">
        <v>0</v>
      </c>
      <c r="L828" s="6">
        <f t="shared" si="168"/>
        <v>0</v>
      </c>
      <c r="M828" s="7">
        <f t="shared" si="165"/>
        <v>1.6651305116954035E-2</v>
      </c>
      <c r="N828" s="7">
        <f t="shared" si="169"/>
        <v>1.6651305116954035E-2</v>
      </c>
      <c r="O828" s="7">
        <f t="shared" si="161"/>
        <v>0</v>
      </c>
      <c r="P828" s="6">
        <f t="shared" si="160"/>
        <v>4408345.4150943365</v>
      </c>
      <c r="Q828" s="6">
        <f t="shared" si="166"/>
        <v>34011714.396226235</v>
      </c>
      <c r="R828" s="4">
        <f t="shared" ca="1" si="162"/>
        <v>-1110</v>
      </c>
      <c r="S828" s="6"/>
      <c r="T828" s="5"/>
      <c r="U828" s="30" t="str">
        <f t="shared" si="158"/>
        <v>PENDIENTE</v>
      </c>
    </row>
    <row r="829" spans="1:21" x14ac:dyDescent="0.25">
      <c r="A829" s="4" t="str">
        <f t="shared" si="159"/>
        <v>202711</v>
      </c>
      <c r="B829" s="4" t="s">
        <v>20</v>
      </c>
      <c r="C829" s="4" t="s">
        <v>21</v>
      </c>
      <c r="D829" s="29" t="s">
        <v>49</v>
      </c>
      <c r="E829" s="28">
        <v>46709</v>
      </c>
      <c r="F829" s="4">
        <f t="shared" si="163"/>
        <v>51</v>
      </c>
      <c r="G829" s="4">
        <f t="shared" si="164"/>
        <v>8</v>
      </c>
      <c r="H829" s="6">
        <f t="shared" si="167"/>
        <v>3779079.3773584906</v>
      </c>
      <c r="I829" s="6">
        <v>566339.43396226107</v>
      </c>
      <c r="J829" s="6">
        <v>0</v>
      </c>
      <c r="K829" s="6">
        <v>0</v>
      </c>
      <c r="L829" s="6">
        <f t="shared" si="168"/>
        <v>0</v>
      </c>
      <c r="M829" s="7">
        <f t="shared" si="165"/>
        <v>1.6651305116954035E-2</v>
      </c>
      <c r="N829" s="7">
        <f t="shared" si="169"/>
        <v>1.6651305116954035E-2</v>
      </c>
      <c r="O829" s="7">
        <f t="shared" si="161"/>
        <v>0</v>
      </c>
      <c r="P829" s="6">
        <f t="shared" si="160"/>
        <v>4345418.8113207519</v>
      </c>
      <c r="Q829" s="6">
        <f t="shared" si="166"/>
        <v>30232635.018867746</v>
      </c>
      <c r="R829" s="4">
        <f t="shared" ca="1" si="162"/>
        <v>-1140</v>
      </c>
      <c r="S829" s="6"/>
      <c r="T829" s="5"/>
      <c r="U829" s="30" t="str">
        <f t="shared" si="158"/>
        <v>PENDIENTE</v>
      </c>
    </row>
    <row r="830" spans="1:21" x14ac:dyDescent="0.25">
      <c r="A830" s="4" t="str">
        <f t="shared" si="159"/>
        <v>202712</v>
      </c>
      <c r="B830" s="4" t="s">
        <v>20</v>
      </c>
      <c r="C830" s="4" t="s">
        <v>21</v>
      </c>
      <c r="D830" s="29" t="s">
        <v>49</v>
      </c>
      <c r="E830" s="28">
        <v>46739</v>
      </c>
      <c r="F830" s="4">
        <f t="shared" si="163"/>
        <v>52</v>
      </c>
      <c r="G830" s="4">
        <f t="shared" si="164"/>
        <v>7</v>
      </c>
      <c r="H830" s="6">
        <f t="shared" si="167"/>
        <v>3779079.3773584906</v>
      </c>
      <c r="I830" s="6">
        <v>503412.83018867625</v>
      </c>
      <c r="J830" s="6">
        <v>0</v>
      </c>
      <c r="K830" s="6">
        <v>0</v>
      </c>
      <c r="L830" s="6">
        <f t="shared" si="168"/>
        <v>0</v>
      </c>
      <c r="M830" s="7">
        <f t="shared" si="165"/>
        <v>1.6651305116954035E-2</v>
      </c>
      <c r="N830" s="7">
        <f t="shared" si="169"/>
        <v>1.6651305116954035E-2</v>
      </c>
      <c r="O830" s="7">
        <f t="shared" si="161"/>
        <v>0</v>
      </c>
      <c r="P830" s="6">
        <f t="shared" si="160"/>
        <v>4282492.2075471673</v>
      </c>
      <c r="Q830" s="6">
        <f t="shared" si="166"/>
        <v>26453555.641509257</v>
      </c>
      <c r="R830" s="4">
        <f t="shared" ca="1" si="162"/>
        <v>-1171</v>
      </c>
      <c r="S830" s="6"/>
      <c r="T830" s="5"/>
      <c r="U830" s="30" t="str">
        <f t="shared" si="158"/>
        <v>PENDIENTE</v>
      </c>
    </row>
    <row r="831" spans="1:21" x14ac:dyDescent="0.25">
      <c r="A831" s="4" t="str">
        <f t="shared" si="159"/>
        <v>20281</v>
      </c>
      <c r="B831" s="4" t="s">
        <v>20</v>
      </c>
      <c r="C831" s="4" t="s">
        <v>21</v>
      </c>
      <c r="D831" s="29" t="s">
        <v>49</v>
      </c>
      <c r="E831" s="28">
        <v>46770</v>
      </c>
      <c r="F831" s="4">
        <f t="shared" si="163"/>
        <v>53</v>
      </c>
      <c r="G831" s="4">
        <f t="shared" si="164"/>
        <v>6</v>
      </c>
      <c r="H831" s="6">
        <f t="shared" si="167"/>
        <v>3779079.3773584906</v>
      </c>
      <c r="I831" s="6">
        <v>440486.22641509137</v>
      </c>
      <c r="J831" s="6">
        <v>0</v>
      </c>
      <c r="K831" s="6">
        <v>0</v>
      </c>
      <c r="L831" s="6">
        <f t="shared" si="168"/>
        <v>0</v>
      </c>
      <c r="M831" s="7">
        <f t="shared" si="165"/>
        <v>1.6651305116954035E-2</v>
      </c>
      <c r="N831" s="7">
        <f t="shared" si="169"/>
        <v>1.6651305116954035E-2</v>
      </c>
      <c r="O831" s="7">
        <f t="shared" si="161"/>
        <v>0</v>
      </c>
      <c r="P831" s="6">
        <f t="shared" si="160"/>
        <v>4219565.6037735818</v>
      </c>
      <c r="Q831" s="6">
        <f t="shared" si="166"/>
        <v>22674476.264150769</v>
      </c>
      <c r="R831" s="4">
        <f t="shared" ca="1" si="162"/>
        <v>-1201</v>
      </c>
      <c r="S831" s="6"/>
      <c r="T831" s="5"/>
      <c r="U831" s="30" t="str">
        <f t="shared" si="158"/>
        <v>PENDIENTE</v>
      </c>
    </row>
    <row r="832" spans="1:21" x14ac:dyDescent="0.25">
      <c r="A832" s="4" t="str">
        <f t="shared" si="159"/>
        <v>20282</v>
      </c>
      <c r="B832" s="4" t="s">
        <v>20</v>
      </c>
      <c r="C832" s="4" t="s">
        <v>21</v>
      </c>
      <c r="D832" s="29" t="s">
        <v>49</v>
      </c>
      <c r="E832" s="28">
        <v>46801</v>
      </c>
      <c r="F832" s="4">
        <f t="shared" si="163"/>
        <v>54</v>
      </c>
      <c r="G832" s="4">
        <f t="shared" si="164"/>
        <v>5</v>
      </c>
      <c r="H832" s="6">
        <f t="shared" si="167"/>
        <v>3779079.3773584906</v>
      </c>
      <c r="I832" s="6">
        <v>377559.62264150649</v>
      </c>
      <c r="J832" s="6">
        <v>0</v>
      </c>
      <c r="K832" s="6">
        <v>0</v>
      </c>
      <c r="L832" s="6">
        <f t="shared" si="168"/>
        <v>0</v>
      </c>
      <c r="M832" s="7">
        <f t="shared" si="165"/>
        <v>1.6651305116954035E-2</v>
      </c>
      <c r="N832" s="7">
        <f t="shared" si="169"/>
        <v>1.6651305116954035E-2</v>
      </c>
      <c r="O832" s="7">
        <f t="shared" si="161"/>
        <v>0</v>
      </c>
      <c r="P832" s="6">
        <f t="shared" si="160"/>
        <v>4156638.9999999972</v>
      </c>
      <c r="Q832" s="6">
        <f t="shared" si="166"/>
        <v>18895396.88679228</v>
      </c>
      <c r="R832" s="4">
        <f t="shared" ca="1" si="162"/>
        <v>-1232</v>
      </c>
      <c r="S832" s="6"/>
      <c r="T832" s="5"/>
      <c r="U832" s="30" t="str">
        <f t="shared" si="158"/>
        <v>PENDIENTE</v>
      </c>
    </row>
    <row r="833" spans="1:21" x14ac:dyDescent="0.25">
      <c r="A833" s="4" t="str">
        <f t="shared" si="159"/>
        <v>20283</v>
      </c>
      <c r="B833" s="4" t="s">
        <v>20</v>
      </c>
      <c r="C833" s="4" t="s">
        <v>21</v>
      </c>
      <c r="D833" s="29" t="s">
        <v>49</v>
      </c>
      <c r="E833" s="28">
        <v>46830</v>
      </c>
      <c r="F833" s="4">
        <f t="shared" si="163"/>
        <v>55</v>
      </c>
      <c r="G833" s="4">
        <f t="shared" si="164"/>
        <v>4</v>
      </c>
      <c r="H833" s="6">
        <f t="shared" si="167"/>
        <v>3779079.3773584906</v>
      </c>
      <c r="I833" s="6">
        <v>314633.01886792161</v>
      </c>
      <c r="J833" s="6">
        <v>0</v>
      </c>
      <c r="K833" s="6">
        <v>0</v>
      </c>
      <c r="L833" s="6">
        <f t="shared" si="168"/>
        <v>0</v>
      </c>
      <c r="M833" s="7">
        <f t="shared" si="165"/>
        <v>1.6651305116954035E-2</v>
      </c>
      <c r="N833" s="7">
        <f t="shared" si="169"/>
        <v>1.6651305116954035E-2</v>
      </c>
      <c r="O833" s="7">
        <f t="shared" si="161"/>
        <v>0</v>
      </c>
      <c r="P833" s="6">
        <f t="shared" si="160"/>
        <v>4093712.3962264122</v>
      </c>
      <c r="Q833" s="6">
        <f t="shared" si="166"/>
        <v>15116317.509433789</v>
      </c>
      <c r="R833" s="4">
        <f t="shared" ca="1" si="162"/>
        <v>-1263</v>
      </c>
      <c r="S833" s="6"/>
      <c r="T833" s="5"/>
      <c r="U833" s="30" t="str">
        <f t="shared" si="158"/>
        <v>PENDIENTE</v>
      </c>
    </row>
    <row r="834" spans="1:21" x14ac:dyDescent="0.25">
      <c r="A834" s="4" t="str">
        <f t="shared" si="159"/>
        <v>20284</v>
      </c>
      <c r="B834" s="4" t="s">
        <v>20</v>
      </c>
      <c r="C834" s="4" t="s">
        <v>21</v>
      </c>
      <c r="D834" s="29" t="s">
        <v>49</v>
      </c>
      <c r="E834" s="28">
        <v>46861</v>
      </c>
      <c r="F834" s="4">
        <f t="shared" si="163"/>
        <v>56</v>
      </c>
      <c r="G834" s="4">
        <f t="shared" si="164"/>
        <v>3</v>
      </c>
      <c r="H834" s="6">
        <f t="shared" si="167"/>
        <v>3779079.3773584906</v>
      </c>
      <c r="I834" s="6">
        <v>251706.41509433673</v>
      </c>
      <c r="J834" s="6">
        <v>0</v>
      </c>
      <c r="K834" s="6">
        <v>0</v>
      </c>
      <c r="L834" s="6">
        <f t="shared" si="168"/>
        <v>0</v>
      </c>
      <c r="M834" s="7">
        <f t="shared" si="165"/>
        <v>1.6651305116954035E-2</v>
      </c>
      <c r="N834" s="7">
        <f t="shared" si="169"/>
        <v>1.6651305116954035E-2</v>
      </c>
      <c r="O834" s="7">
        <f t="shared" si="161"/>
        <v>0</v>
      </c>
      <c r="P834" s="6">
        <f t="shared" si="160"/>
        <v>4030785.7924528271</v>
      </c>
      <c r="Q834" s="6">
        <f t="shared" si="166"/>
        <v>11337238.132075299</v>
      </c>
      <c r="R834" s="4">
        <f t="shared" ca="1" si="162"/>
        <v>-1292</v>
      </c>
      <c r="S834" s="6"/>
      <c r="T834" s="5"/>
      <c r="U834" s="30" t="str">
        <f t="shared" ref="U834:U897" si="170">IF(AND(S834="",T834=""),"PENDIENTE",IF(AND(S834&lt;&gt;"",T834&lt;&gt;""),"PAGADO","ABONADO"))</f>
        <v>PENDIENTE</v>
      </c>
    </row>
    <row r="835" spans="1:21" x14ac:dyDescent="0.25">
      <c r="A835" s="4" t="str">
        <f t="shared" ref="A835:A898" si="171">CONCATENATE(YEAR($E835),MONTH($E835))</f>
        <v>20285</v>
      </c>
      <c r="B835" s="4" t="s">
        <v>20</v>
      </c>
      <c r="C835" s="4" t="s">
        <v>21</v>
      </c>
      <c r="D835" s="29" t="s">
        <v>49</v>
      </c>
      <c r="E835" s="28">
        <v>46891</v>
      </c>
      <c r="F835" s="4">
        <f t="shared" si="163"/>
        <v>57</v>
      </c>
      <c r="G835" s="4">
        <f t="shared" si="164"/>
        <v>2</v>
      </c>
      <c r="H835" s="6">
        <f t="shared" si="167"/>
        <v>3779079.3773584906</v>
      </c>
      <c r="I835" s="6">
        <v>188779.81132075182</v>
      </c>
      <c r="J835" s="6">
        <v>0</v>
      </c>
      <c r="K835" s="6">
        <v>0</v>
      </c>
      <c r="L835" s="6">
        <f t="shared" si="168"/>
        <v>0</v>
      </c>
      <c r="M835" s="7">
        <f t="shared" si="165"/>
        <v>1.6651305116954035E-2</v>
      </c>
      <c r="N835" s="7">
        <f t="shared" si="169"/>
        <v>1.6651305116954035E-2</v>
      </c>
      <c r="O835" s="7">
        <f t="shared" si="161"/>
        <v>0</v>
      </c>
      <c r="P835" s="6">
        <f t="shared" si="160"/>
        <v>3967859.1886792425</v>
      </c>
      <c r="Q835" s="6">
        <f t="shared" si="166"/>
        <v>7558158.754716808</v>
      </c>
      <c r="R835" s="4">
        <f t="shared" ca="1" si="162"/>
        <v>-1323</v>
      </c>
      <c r="S835" s="6"/>
      <c r="T835" s="5"/>
      <c r="U835" s="30" t="str">
        <f t="shared" si="170"/>
        <v>PENDIENTE</v>
      </c>
    </row>
    <row r="836" spans="1:21" x14ac:dyDescent="0.25">
      <c r="A836" s="4" t="str">
        <f t="shared" si="171"/>
        <v>20286</v>
      </c>
      <c r="B836" s="4" t="s">
        <v>20</v>
      </c>
      <c r="C836" s="4" t="s">
        <v>21</v>
      </c>
      <c r="D836" s="29" t="s">
        <v>49</v>
      </c>
      <c r="E836" s="28">
        <v>46922</v>
      </c>
      <c r="F836" s="4">
        <f t="shared" si="163"/>
        <v>58</v>
      </c>
      <c r="G836" s="4">
        <f t="shared" si="164"/>
        <v>1</v>
      </c>
      <c r="H836" s="6">
        <f t="shared" si="167"/>
        <v>3779079.3773584906</v>
      </c>
      <c r="I836" s="6">
        <v>125853.20754716692</v>
      </c>
      <c r="J836" s="6">
        <v>0</v>
      </c>
      <c r="K836" s="6">
        <v>0</v>
      </c>
      <c r="L836" s="6">
        <f t="shared" si="168"/>
        <v>0</v>
      </c>
      <c r="M836" s="7">
        <f t="shared" si="165"/>
        <v>1.6651305116954035E-2</v>
      </c>
      <c r="N836" s="7">
        <f t="shared" si="169"/>
        <v>1.6651305116954035E-2</v>
      </c>
      <c r="O836" s="7">
        <f t="shared" si="161"/>
        <v>0</v>
      </c>
      <c r="P836" s="6">
        <f t="shared" si="160"/>
        <v>3904932.5849056575</v>
      </c>
      <c r="Q836" s="6">
        <f t="shared" si="166"/>
        <v>3779079.3773583174</v>
      </c>
      <c r="R836" s="4">
        <f t="shared" ca="1" si="162"/>
        <v>-1353</v>
      </c>
      <c r="S836" s="6"/>
      <c r="T836" s="5"/>
      <c r="U836" s="30" t="str">
        <f t="shared" si="170"/>
        <v>PENDIENTE</v>
      </c>
    </row>
    <row r="837" spans="1:21" x14ac:dyDescent="0.25">
      <c r="A837" s="4" t="str">
        <f t="shared" si="171"/>
        <v>20287</v>
      </c>
      <c r="B837" s="4" t="s">
        <v>20</v>
      </c>
      <c r="C837" s="4" t="s">
        <v>21</v>
      </c>
      <c r="D837" s="29" t="s">
        <v>49</v>
      </c>
      <c r="E837" s="28">
        <v>46952</v>
      </c>
      <c r="F837" s="4">
        <f t="shared" si="163"/>
        <v>59</v>
      </c>
      <c r="G837" s="4">
        <f t="shared" si="164"/>
        <v>0</v>
      </c>
      <c r="H837" s="6">
        <f t="shared" si="167"/>
        <v>3779079.3773584906</v>
      </c>
      <c r="I837" s="6">
        <v>62926.603773582021</v>
      </c>
      <c r="J837" s="6">
        <v>0</v>
      </c>
      <c r="K837" s="6">
        <v>0</v>
      </c>
      <c r="L837" s="6">
        <f t="shared" si="168"/>
        <v>0</v>
      </c>
      <c r="M837" s="7">
        <f t="shared" si="165"/>
        <v>1.6651305116954035E-2</v>
      </c>
      <c r="N837" s="7">
        <f t="shared" si="169"/>
        <v>1.6651305116954035E-2</v>
      </c>
      <c r="O837" s="7">
        <f t="shared" si="161"/>
        <v>0</v>
      </c>
      <c r="P837" s="6">
        <f t="shared" si="160"/>
        <v>3842005.9811320724</v>
      </c>
      <c r="Q837" s="6">
        <f t="shared" si="166"/>
        <v>-1.73225998878479E-7</v>
      </c>
      <c r="R837" s="4">
        <f t="shared" ca="1" si="162"/>
        <v>-1384</v>
      </c>
      <c r="S837" s="6"/>
      <c r="T837" s="5"/>
      <c r="U837" s="30" t="str">
        <f t="shared" si="170"/>
        <v>PENDIENTE</v>
      </c>
    </row>
    <row r="838" spans="1:21" x14ac:dyDescent="0.25">
      <c r="A838" s="4" t="str">
        <f t="shared" si="171"/>
        <v>20238</v>
      </c>
      <c r="B838" s="4" t="s">
        <v>20</v>
      </c>
      <c r="C838" s="4" t="s">
        <v>25</v>
      </c>
      <c r="D838" s="29" t="s">
        <v>50</v>
      </c>
      <c r="E838" s="28">
        <v>45169</v>
      </c>
      <c r="F838" s="4">
        <v>0</v>
      </c>
      <c r="G838" s="4">
        <v>22</v>
      </c>
      <c r="H838" s="6">
        <v>0</v>
      </c>
      <c r="I838" s="6">
        <v>0</v>
      </c>
      <c r="J838" s="6">
        <v>0</v>
      </c>
      <c r="K838" s="6">
        <v>0</v>
      </c>
      <c r="L838" s="6">
        <f t="shared" si="168"/>
        <v>0</v>
      </c>
      <c r="M838" s="7">
        <v>0</v>
      </c>
      <c r="N838" s="7">
        <f t="shared" si="169"/>
        <v>0</v>
      </c>
      <c r="O838" s="7">
        <v>0</v>
      </c>
      <c r="P838" s="6">
        <f t="shared" si="160"/>
        <v>0</v>
      </c>
      <c r="Q838" s="6">
        <v>37090568</v>
      </c>
      <c r="R838" s="4" t="s">
        <v>27</v>
      </c>
      <c r="S838" s="6">
        <v>0</v>
      </c>
      <c r="T838" s="5">
        <v>45156</v>
      </c>
      <c r="U838" s="30" t="str">
        <f t="shared" si="170"/>
        <v>PAGADO</v>
      </c>
    </row>
    <row r="839" spans="1:21" x14ac:dyDescent="0.25">
      <c r="A839" s="4" t="str">
        <f t="shared" si="171"/>
        <v>20239</v>
      </c>
      <c r="B839" s="4" t="s">
        <v>20</v>
      </c>
      <c r="C839" s="4" t="s">
        <v>25</v>
      </c>
      <c r="D839" s="29" t="s">
        <v>50</v>
      </c>
      <c r="E839" s="28">
        <v>45199</v>
      </c>
      <c r="F839" s="4">
        <f>F838+1</f>
        <v>1</v>
      </c>
      <c r="G839" s="4">
        <f>G838-1</f>
        <v>21</v>
      </c>
      <c r="H839" s="6">
        <v>1685922</v>
      </c>
      <c r="I839" s="6">
        <v>566646</v>
      </c>
      <c r="J839" s="6">
        <v>0</v>
      </c>
      <c r="K839" s="6">
        <v>0</v>
      </c>
      <c r="L839" s="6">
        <f t="shared" si="168"/>
        <v>0</v>
      </c>
      <c r="M839" s="7">
        <f>I839/Q838</f>
        <v>1.5277361080046011E-2</v>
      </c>
      <c r="N839" s="7">
        <f t="shared" si="169"/>
        <v>1.5277361080046011E-2</v>
      </c>
      <c r="O839" s="7">
        <f t="shared" ref="O839:O902" si="172">IF(N839="","",(N839/M839)-1)</f>
        <v>0</v>
      </c>
      <c r="P839" s="6">
        <f t="shared" si="160"/>
        <v>2252568</v>
      </c>
      <c r="Q839" s="6">
        <f>Q838-H839</f>
        <v>35404646</v>
      </c>
      <c r="R839" s="4" t="str">
        <f t="shared" ref="R839:R860" ca="1" si="173">IF(B838="","",IF(T838="",TODAY()-E838,IF(T839="",TODAY()-E839,"OK")))</f>
        <v>OK</v>
      </c>
      <c r="S839" s="6">
        <v>2252568</v>
      </c>
      <c r="T839" s="5">
        <v>45196</v>
      </c>
      <c r="U839" s="30" t="str">
        <f t="shared" si="170"/>
        <v>PAGADO</v>
      </c>
    </row>
    <row r="840" spans="1:21" x14ac:dyDescent="0.25">
      <c r="A840" s="4" t="str">
        <f t="shared" si="171"/>
        <v>202310</v>
      </c>
      <c r="B840" s="4" t="s">
        <v>20</v>
      </c>
      <c r="C840" s="4" t="s">
        <v>25</v>
      </c>
      <c r="D840" s="29" t="s">
        <v>50</v>
      </c>
      <c r="E840" s="28">
        <v>45230</v>
      </c>
      <c r="F840" s="4">
        <f t="shared" ref="F840:F860" si="174">F839+1</f>
        <v>2</v>
      </c>
      <c r="G840" s="4">
        <f t="shared" ref="G840:G860" si="175">G839-1</f>
        <v>20</v>
      </c>
      <c r="H840" s="6">
        <v>1685922</v>
      </c>
      <c r="I840" s="6">
        <f>Q839*$M$839</f>
        <v>540889.56085320667</v>
      </c>
      <c r="J840" s="6">
        <v>0</v>
      </c>
      <c r="K840" s="6">
        <v>0</v>
      </c>
      <c r="L840" s="6">
        <f t="shared" si="168"/>
        <v>0</v>
      </c>
      <c r="M840" s="7">
        <f t="shared" ref="M840:M903" si="176">I840/Q839</f>
        <v>1.5277361080046011E-2</v>
      </c>
      <c r="N840" s="7">
        <f t="shared" si="169"/>
        <v>1.5277361080046011E-2</v>
      </c>
      <c r="O840" s="7">
        <f t="shared" si="172"/>
        <v>0</v>
      </c>
      <c r="P840" s="6">
        <f t="shared" si="160"/>
        <v>2226811.5608532066</v>
      </c>
      <c r="Q840" s="6">
        <f t="shared" ref="Q840:Q903" si="177">Q839-H840</f>
        <v>33718724</v>
      </c>
      <c r="R840" s="4" t="str">
        <f t="shared" ca="1" si="173"/>
        <v>OK</v>
      </c>
      <c r="S840" s="6">
        <v>2297280</v>
      </c>
      <c r="T840" s="5">
        <v>45230</v>
      </c>
      <c r="U840" s="30" t="str">
        <f t="shared" si="170"/>
        <v>PAGADO</v>
      </c>
    </row>
    <row r="841" spans="1:21" x14ac:dyDescent="0.25">
      <c r="A841" s="4" t="str">
        <f t="shared" si="171"/>
        <v>202311</v>
      </c>
      <c r="B841" s="4" t="s">
        <v>20</v>
      </c>
      <c r="C841" s="4" t="s">
        <v>25</v>
      </c>
      <c r="D841" s="29" t="s">
        <v>50</v>
      </c>
      <c r="E841" s="28">
        <v>45260</v>
      </c>
      <c r="F841" s="4">
        <f t="shared" si="174"/>
        <v>3</v>
      </c>
      <c r="G841" s="4">
        <f t="shared" si="175"/>
        <v>19</v>
      </c>
      <c r="H841" s="6">
        <v>1685922</v>
      </c>
      <c r="I841" s="6">
        <v>514352</v>
      </c>
      <c r="J841" s="6">
        <v>0</v>
      </c>
      <c r="K841" s="6">
        <v>0</v>
      </c>
      <c r="L841" s="6">
        <f t="shared" si="168"/>
        <v>0</v>
      </c>
      <c r="M841" s="7">
        <f t="shared" si="176"/>
        <v>1.5254195265514792E-2</v>
      </c>
      <c r="N841" s="7">
        <f t="shared" si="169"/>
        <v>1.5254195265514792E-2</v>
      </c>
      <c r="O841" s="7">
        <f t="shared" si="172"/>
        <v>0</v>
      </c>
      <c r="P841" s="6">
        <f t="shared" si="160"/>
        <v>2200274</v>
      </c>
      <c r="Q841" s="6">
        <f t="shared" si="177"/>
        <v>32032802</v>
      </c>
      <c r="R841" s="4" t="str">
        <f t="shared" ca="1" si="173"/>
        <v>OK</v>
      </c>
      <c r="S841" s="6">
        <v>2200274</v>
      </c>
      <c r="T841" s="5">
        <v>45260</v>
      </c>
      <c r="U841" s="30" t="str">
        <f t="shared" si="170"/>
        <v>PAGADO</v>
      </c>
    </row>
    <row r="842" spans="1:21" x14ac:dyDescent="0.25">
      <c r="A842" s="4" t="str">
        <f t="shared" si="171"/>
        <v>202312</v>
      </c>
      <c r="B842" s="4" t="s">
        <v>20</v>
      </c>
      <c r="C842" s="4" t="s">
        <v>25</v>
      </c>
      <c r="D842" s="29" t="s">
        <v>50</v>
      </c>
      <c r="E842" s="28">
        <v>45291</v>
      </c>
      <c r="F842" s="4">
        <f t="shared" si="174"/>
        <v>4</v>
      </c>
      <c r="G842" s="4">
        <f t="shared" si="175"/>
        <v>18</v>
      </c>
      <c r="H842" s="6">
        <v>1685922</v>
      </c>
      <c r="I842" s="6">
        <v>504051</v>
      </c>
      <c r="J842" s="6">
        <v>0</v>
      </c>
      <c r="K842" s="6">
        <v>0</v>
      </c>
      <c r="L842" s="6">
        <f t="shared" si="168"/>
        <v>0</v>
      </c>
      <c r="M842" s="7">
        <f t="shared" si="176"/>
        <v>1.5735463916019585E-2</v>
      </c>
      <c r="N842" s="7">
        <f t="shared" si="169"/>
        <v>1.5735463916019585E-2</v>
      </c>
      <c r="O842" s="7">
        <f t="shared" si="172"/>
        <v>0</v>
      </c>
      <c r="P842" s="6">
        <f t="shared" ref="P842:P905" si="178">IFERROR(H842+I842+J842+K842+L842,"")</f>
        <v>2189973</v>
      </c>
      <c r="Q842" s="6">
        <f t="shared" si="177"/>
        <v>30346880</v>
      </c>
      <c r="R842" s="4" t="str">
        <f t="shared" ca="1" si="173"/>
        <v>OK</v>
      </c>
      <c r="S842" s="6">
        <f>460532.81+1749941</f>
        <v>2210473.81</v>
      </c>
      <c r="T842" s="5">
        <v>45306</v>
      </c>
      <c r="U842" s="30" t="str">
        <f t="shared" si="170"/>
        <v>PAGADO</v>
      </c>
    </row>
    <row r="843" spans="1:21" x14ac:dyDescent="0.25">
      <c r="A843" s="4" t="str">
        <f t="shared" si="171"/>
        <v>20241</v>
      </c>
      <c r="B843" s="4" t="s">
        <v>20</v>
      </c>
      <c r="C843" s="4" t="s">
        <v>25</v>
      </c>
      <c r="D843" s="29" t="s">
        <v>50</v>
      </c>
      <c r="E843" s="28">
        <v>45322</v>
      </c>
      <c r="F843" s="4">
        <f t="shared" si="174"/>
        <v>5</v>
      </c>
      <c r="G843" s="4">
        <f t="shared" si="175"/>
        <v>17</v>
      </c>
      <c r="H843" s="6">
        <v>1685922</v>
      </c>
      <c r="I843" s="6">
        <f t="shared" ref="I843:I860" si="179">Q842*$M$839</f>
        <v>463620.24341282668</v>
      </c>
      <c r="J843" s="6">
        <v>0</v>
      </c>
      <c r="K843" s="6">
        <v>0</v>
      </c>
      <c r="L843" s="6">
        <f t="shared" si="168"/>
        <v>0</v>
      </c>
      <c r="M843" s="7">
        <f t="shared" si="176"/>
        <v>1.5277361080046011E-2</v>
      </c>
      <c r="N843" s="7">
        <f t="shared" si="169"/>
        <v>1.5277361080046011E-2</v>
      </c>
      <c r="O843" s="7">
        <f t="shared" si="172"/>
        <v>0</v>
      </c>
      <c r="P843" s="6">
        <f t="shared" si="178"/>
        <v>2149542.2434128267</v>
      </c>
      <c r="Q843" s="6">
        <f t="shared" si="177"/>
        <v>28660958</v>
      </c>
      <c r="R843" s="4" t="str">
        <f t="shared" ca="1" si="173"/>
        <v>OK</v>
      </c>
      <c r="S843" s="6">
        <v>2157451</v>
      </c>
      <c r="T843" s="5">
        <v>45322</v>
      </c>
      <c r="U843" s="30" t="str">
        <f t="shared" si="170"/>
        <v>PAGADO</v>
      </c>
    </row>
    <row r="844" spans="1:21" x14ac:dyDescent="0.25">
      <c r="A844" s="4" t="str">
        <f t="shared" si="171"/>
        <v>20242</v>
      </c>
      <c r="B844" s="4" t="s">
        <v>20</v>
      </c>
      <c r="C844" s="4" t="s">
        <v>25</v>
      </c>
      <c r="D844" s="29" t="s">
        <v>50</v>
      </c>
      <c r="E844" s="28">
        <v>45351</v>
      </c>
      <c r="F844" s="4">
        <f t="shared" si="174"/>
        <v>6</v>
      </c>
      <c r="G844" s="4">
        <f t="shared" si="175"/>
        <v>16</v>
      </c>
      <c r="H844" s="6">
        <v>1685922</v>
      </c>
      <c r="I844" s="6">
        <f>2095726-H844</f>
        <v>409804</v>
      </c>
      <c r="J844" s="6">
        <v>0</v>
      </c>
      <c r="K844" s="6">
        <v>0</v>
      </c>
      <c r="L844" s="6">
        <f t="shared" si="168"/>
        <v>0</v>
      </c>
      <c r="M844" s="7">
        <f t="shared" si="176"/>
        <v>1.4298335736021106E-2</v>
      </c>
      <c r="N844" s="7">
        <f t="shared" si="169"/>
        <v>1.4298335736021106E-2</v>
      </c>
      <c r="O844" s="7">
        <f t="shared" si="172"/>
        <v>0</v>
      </c>
      <c r="P844" s="6">
        <f t="shared" si="178"/>
        <v>2095726</v>
      </c>
      <c r="Q844" s="6">
        <f t="shared" si="177"/>
        <v>26975036</v>
      </c>
      <c r="R844" s="4" t="str">
        <f t="shared" ca="1" si="173"/>
        <v>OK</v>
      </c>
      <c r="S844" s="6">
        <v>2095726</v>
      </c>
      <c r="T844" s="5">
        <v>45351</v>
      </c>
      <c r="U844" s="30" t="str">
        <f t="shared" si="170"/>
        <v>PAGADO</v>
      </c>
    </row>
    <row r="845" spans="1:21" x14ac:dyDescent="0.25">
      <c r="A845" s="4" t="str">
        <f t="shared" si="171"/>
        <v>20243</v>
      </c>
      <c r="B845" s="4" t="s">
        <v>20</v>
      </c>
      <c r="C845" s="4" t="s">
        <v>25</v>
      </c>
      <c r="D845" s="29" t="s">
        <v>50</v>
      </c>
      <c r="E845" s="28">
        <v>45382</v>
      </c>
      <c r="F845" s="4">
        <f t="shared" si="174"/>
        <v>7</v>
      </c>
      <c r="G845" s="4">
        <f t="shared" si="175"/>
        <v>15</v>
      </c>
      <c r="H845" s="6">
        <v>1685922</v>
      </c>
      <c r="I845" s="6">
        <f t="shared" si="179"/>
        <v>412107.36511924001</v>
      </c>
      <c r="J845" s="6">
        <v>0</v>
      </c>
      <c r="K845" s="6">
        <v>0</v>
      </c>
      <c r="L845" s="6">
        <f t="shared" si="168"/>
        <v>0</v>
      </c>
      <c r="M845" s="7">
        <f t="shared" si="176"/>
        <v>1.5277361080046011E-2</v>
      </c>
      <c r="N845" s="7">
        <f t="shared" si="169"/>
        <v>1.5277361080046011E-2</v>
      </c>
      <c r="O845" s="7">
        <f t="shared" si="172"/>
        <v>0</v>
      </c>
      <c r="P845" s="6">
        <f t="shared" si="178"/>
        <v>2098029.3651192402</v>
      </c>
      <c r="Q845" s="6">
        <f t="shared" si="177"/>
        <v>25289114</v>
      </c>
      <c r="R845" s="4" t="str">
        <f t="shared" ca="1" si="173"/>
        <v>OK</v>
      </c>
      <c r="S845" s="6">
        <v>2099050</v>
      </c>
      <c r="T845" s="5">
        <v>45383</v>
      </c>
      <c r="U845" s="30" t="str">
        <f t="shared" si="170"/>
        <v>PAGADO</v>
      </c>
    </row>
    <row r="846" spans="1:21" x14ac:dyDescent="0.25">
      <c r="A846" s="4" t="str">
        <f t="shared" si="171"/>
        <v>20244</v>
      </c>
      <c r="B846" s="4" t="s">
        <v>20</v>
      </c>
      <c r="C846" s="4" t="s">
        <v>25</v>
      </c>
      <c r="D846" s="29" t="s">
        <v>50</v>
      </c>
      <c r="E846" s="28">
        <v>45412</v>
      </c>
      <c r="F846" s="4">
        <f t="shared" si="174"/>
        <v>8</v>
      </c>
      <c r="G846" s="4">
        <f t="shared" si="175"/>
        <v>14</v>
      </c>
      <c r="H846" s="6">
        <v>1685922</v>
      </c>
      <c r="I846" s="6">
        <f t="shared" si="179"/>
        <v>386350.92597244668</v>
      </c>
      <c r="J846" s="6">
        <v>0</v>
      </c>
      <c r="K846" s="6">
        <v>0</v>
      </c>
      <c r="L846" s="6">
        <f t="shared" si="168"/>
        <v>0</v>
      </c>
      <c r="M846" s="7">
        <f t="shared" si="176"/>
        <v>1.5277361080046011E-2</v>
      </c>
      <c r="N846" s="7">
        <f t="shared" si="169"/>
        <v>1.5277361080046011E-2</v>
      </c>
      <c r="O846" s="7">
        <f t="shared" si="172"/>
        <v>0</v>
      </c>
      <c r="P846" s="6">
        <f t="shared" si="178"/>
        <v>2072272.9259724468</v>
      </c>
      <c r="Q846" s="6">
        <f t="shared" si="177"/>
        <v>23603192</v>
      </c>
      <c r="R846" s="4" t="str">
        <f t="shared" ca="1" si="173"/>
        <v>OK</v>
      </c>
      <c r="S846" s="6">
        <v>2052671</v>
      </c>
      <c r="T846" s="5">
        <v>45412</v>
      </c>
      <c r="U846" s="30" t="str">
        <f t="shared" si="170"/>
        <v>PAGADO</v>
      </c>
    </row>
    <row r="847" spans="1:21" x14ac:dyDescent="0.25">
      <c r="A847" s="4" t="str">
        <f t="shared" si="171"/>
        <v>20245</v>
      </c>
      <c r="B847" s="4" t="s">
        <v>20</v>
      </c>
      <c r="C847" s="4" t="s">
        <v>25</v>
      </c>
      <c r="D847" s="29" t="s">
        <v>50</v>
      </c>
      <c r="E847" s="28">
        <v>45443</v>
      </c>
      <c r="F847" s="4">
        <f t="shared" si="174"/>
        <v>9</v>
      </c>
      <c r="G847" s="4">
        <f t="shared" si="175"/>
        <v>13</v>
      </c>
      <c r="H847" s="6">
        <v>1685922</v>
      </c>
      <c r="I847" s="6">
        <f t="shared" si="179"/>
        <v>360594.48682565335</v>
      </c>
      <c r="J847" s="6">
        <v>0</v>
      </c>
      <c r="K847" s="6">
        <v>0</v>
      </c>
      <c r="L847" s="6">
        <f t="shared" si="168"/>
        <v>19601.925972446799</v>
      </c>
      <c r="M847" s="7">
        <f t="shared" si="176"/>
        <v>1.5277361080046011E-2</v>
      </c>
      <c r="N847" s="7">
        <f t="shared" si="169"/>
        <v>1.5277361080046011E-2</v>
      </c>
      <c r="O847" s="7">
        <f t="shared" si="172"/>
        <v>0</v>
      </c>
      <c r="P847" s="6">
        <f t="shared" si="178"/>
        <v>2066118.4127981002</v>
      </c>
      <c r="Q847" s="6">
        <f t="shared" si="177"/>
        <v>21917270</v>
      </c>
      <c r="R847" s="4" t="str">
        <f t="shared" ca="1" si="173"/>
        <v>OK</v>
      </c>
      <c r="S847" s="6">
        <v>2039951</v>
      </c>
      <c r="T847" s="5">
        <v>45450</v>
      </c>
      <c r="U847" s="30" t="str">
        <f t="shared" si="170"/>
        <v>PAGADO</v>
      </c>
    </row>
    <row r="848" spans="1:21" x14ac:dyDescent="0.25">
      <c r="A848" s="4" t="str">
        <f t="shared" si="171"/>
        <v>20246</v>
      </c>
      <c r="B848" s="4" t="s">
        <v>20</v>
      </c>
      <c r="C848" s="4" t="s">
        <v>25</v>
      </c>
      <c r="D848" s="29" t="s">
        <v>50</v>
      </c>
      <c r="E848" s="28">
        <v>45473</v>
      </c>
      <c r="F848" s="4">
        <f t="shared" si="174"/>
        <v>10</v>
      </c>
      <c r="G848" s="4">
        <f t="shared" si="175"/>
        <v>12</v>
      </c>
      <c r="H848" s="6">
        <v>1685922</v>
      </c>
      <c r="I848" s="6">
        <f t="shared" si="179"/>
        <v>334838.04767886002</v>
      </c>
      <c r="J848" s="6">
        <v>0</v>
      </c>
      <c r="K848" s="6">
        <v>0</v>
      </c>
      <c r="L848" s="6">
        <f t="shared" si="168"/>
        <v>26167.412798100151</v>
      </c>
      <c r="M848" s="7">
        <f t="shared" si="176"/>
        <v>1.5277361080046009E-2</v>
      </c>
      <c r="N848" s="7">
        <f t="shared" si="169"/>
        <v>1.5277361080046009E-2</v>
      </c>
      <c r="O848" s="7">
        <f t="shared" si="172"/>
        <v>0</v>
      </c>
      <c r="P848" s="6">
        <f t="shared" si="178"/>
        <v>2046927.4604769601</v>
      </c>
      <c r="Q848" s="6">
        <f t="shared" si="177"/>
        <v>20231348</v>
      </c>
      <c r="R848" s="4" t="str">
        <f t="shared" ca="1" si="173"/>
        <v>OK</v>
      </c>
      <c r="S848" s="6">
        <v>2002640</v>
      </c>
      <c r="T848" s="5">
        <v>45479</v>
      </c>
      <c r="U848" s="30" t="str">
        <f t="shared" si="170"/>
        <v>PAGADO</v>
      </c>
    </row>
    <row r="849" spans="1:21" x14ac:dyDescent="0.25">
      <c r="A849" s="4" t="str">
        <f t="shared" si="171"/>
        <v>20247</v>
      </c>
      <c r="B849" s="4" t="s">
        <v>20</v>
      </c>
      <c r="C849" s="4" t="s">
        <v>25</v>
      </c>
      <c r="D849" s="29" t="s">
        <v>50</v>
      </c>
      <c r="E849" s="28">
        <v>45504</v>
      </c>
      <c r="F849" s="4">
        <f t="shared" si="174"/>
        <v>11</v>
      </c>
      <c r="G849" s="4">
        <f t="shared" si="175"/>
        <v>11</v>
      </c>
      <c r="H849" s="6">
        <v>1685922</v>
      </c>
      <c r="I849" s="6">
        <f t="shared" si="179"/>
        <v>309081.60853206669</v>
      </c>
      <c r="J849" s="6">
        <v>0</v>
      </c>
      <c r="K849" s="6">
        <v>0</v>
      </c>
      <c r="L849" s="6">
        <f t="shared" si="168"/>
        <v>44287.460476960056</v>
      </c>
      <c r="M849" s="7">
        <f t="shared" si="176"/>
        <v>1.5277361080046009E-2</v>
      </c>
      <c r="N849" s="7">
        <f t="shared" si="169"/>
        <v>1.5277361080046009E-2</v>
      </c>
      <c r="O849" s="7">
        <f t="shared" si="172"/>
        <v>0</v>
      </c>
      <c r="P849" s="6">
        <f t="shared" si="178"/>
        <v>2039291.0690090267</v>
      </c>
      <c r="Q849" s="6">
        <f t="shared" si="177"/>
        <v>18545426</v>
      </c>
      <c r="R849" s="4" t="str">
        <f t="shared" ca="1" si="173"/>
        <v>OK</v>
      </c>
      <c r="S849" s="6">
        <v>1974304</v>
      </c>
      <c r="T849" s="5">
        <v>45504</v>
      </c>
      <c r="U849" s="30" t="str">
        <f t="shared" si="170"/>
        <v>PAGADO</v>
      </c>
    </row>
    <row r="850" spans="1:21" x14ac:dyDescent="0.25">
      <c r="A850" s="4" t="str">
        <f t="shared" si="171"/>
        <v>20248</v>
      </c>
      <c r="B850" s="4" t="s">
        <v>20</v>
      </c>
      <c r="C850" s="4" t="s">
        <v>25</v>
      </c>
      <c r="D850" s="29" t="s">
        <v>50</v>
      </c>
      <c r="E850" s="28">
        <v>45535</v>
      </c>
      <c r="F850" s="4">
        <f t="shared" si="174"/>
        <v>12</v>
      </c>
      <c r="G850" s="4">
        <f t="shared" si="175"/>
        <v>10</v>
      </c>
      <c r="H850" s="6">
        <v>1685922</v>
      </c>
      <c r="I850" s="6">
        <f t="shared" si="179"/>
        <v>283325.16938527336</v>
      </c>
      <c r="J850" s="6">
        <v>0</v>
      </c>
      <c r="K850" s="6">
        <v>0</v>
      </c>
      <c r="L850" s="6">
        <f t="shared" si="168"/>
        <v>64987.069009026745</v>
      </c>
      <c r="M850" s="7">
        <f t="shared" si="176"/>
        <v>1.5277361080046009E-2</v>
      </c>
      <c r="N850" s="7">
        <f t="shared" si="169"/>
        <v>1.5277361080046009E-2</v>
      </c>
      <c r="O850" s="7">
        <f t="shared" si="172"/>
        <v>0</v>
      </c>
      <c r="P850" s="6">
        <f t="shared" si="178"/>
        <v>2034234.2383943002</v>
      </c>
      <c r="Q850" s="6">
        <f t="shared" si="177"/>
        <v>16859504</v>
      </c>
      <c r="R850" s="4">
        <f t="shared" ca="1" si="173"/>
        <v>3</v>
      </c>
      <c r="S850" s="6"/>
      <c r="T850" s="5"/>
      <c r="U850" s="30" t="str">
        <f t="shared" si="170"/>
        <v>PENDIENTE</v>
      </c>
    </row>
    <row r="851" spans="1:21" x14ac:dyDescent="0.25">
      <c r="A851" s="4" t="str">
        <f t="shared" si="171"/>
        <v>20249</v>
      </c>
      <c r="B851" s="4" t="s">
        <v>20</v>
      </c>
      <c r="C851" s="4" t="s">
        <v>25</v>
      </c>
      <c r="D851" s="29" t="s">
        <v>50</v>
      </c>
      <c r="E851" s="28">
        <v>45565</v>
      </c>
      <c r="F851" s="4">
        <f t="shared" si="174"/>
        <v>13</v>
      </c>
      <c r="G851" s="4">
        <f t="shared" si="175"/>
        <v>9</v>
      </c>
      <c r="H851" s="6">
        <v>1685922</v>
      </c>
      <c r="I851" s="6">
        <f t="shared" si="179"/>
        <v>257568.73023848006</v>
      </c>
      <c r="J851" s="6">
        <v>0</v>
      </c>
      <c r="K851" s="6">
        <v>0</v>
      </c>
      <c r="L851" s="6">
        <f t="shared" si="168"/>
        <v>0</v>
      </c>
      <c r="M851" s="7">
        <f t="shared" si="176"/>
        <v>1.5277361080046011E-2</v>
      </c>
      <c r="N851" s="7">
        <f t="shared" si="169"/>
        <v>1.5277361080046011E-2</v>
      </c>
      <c r="O851" s="7">
        <f t="shared" si="172"/>
        <v>0</v>
      </c>
      <c r="P851" s="6">
        <f t="shared" si="178"/>
        <v>1943490.73023848</v>
      </c>
      <c r="Q851" s="6">
        <f t="shared" si="177"/>
        <v>15173582</v>
      </c>
      <c r="R851" s="4">
        <f t="shared" ca="1" si="173"/>
        <v>3</v>
      </c>
      <c r="S851" s="6"/>
      <c r="T851" s="5"/>
      <c r="U851" s="30" t="str">
        <f t="shared" si="170"/>
        <v>PENDIENTE</v>
      </c>
    </row>
    <row r="852" spans="1:21" x14ac:dyDescent="0.25">
      <c r="A852" s="4" t="str">
        <f t="shared" si="171"/>
        <v>202410</v>
      </c>
      <c r="B852" s="4" t="s">
        <v>20</v>
      </c>
      <c r="C852" s="4" t="s">
        <v>25</v>
      </c>
      <c r="D852" s="29" t="s">
        <v>50</v>
      </c>
      <c r="E852" s="28">
        <v>45596</v>
      </c>
      <c r="F852" s="4">
        <f t="shared" si="174"/>
        <v>14</v>
      </c>
      <c r="G852" s="4">
        <f t="shared" si="175"/>
        <v>8</v>
      </c>
      <c r="H852" s="6">
        <v>1685922</v>
      </c>
      <c r="I852" s="6">
        <f t="shared" si="179"/>
        <v>231812.29109168673</v>
      </c>
      <c r="J852" s="6">
        <v>0</v>
      </c>
      <c r="K852" s="6">
        <v>0</v>
      </c>
      <c r="L852" s="6">
        <f t="shared" si="168"/>
        <v>0</v>
      </c>
      <c r="M852" s="7">
        <f t="shared" si="176"/>
        <v>1.5277361080046011E-2</v>
      </c>
      <c r="N852" s="7">
        <f t="shared" si="169"/>
        <v>1.5277361080046011E-2</v>
      </c>
      <c r="O852" s="7">
        <f t="shared" si="172"/>
        <v>0</v>
      </c>
      <c r="P852" s="6">
        <f t="shared" si="178"/>
        <v>1917734.2910916868</v>
      </c>
      <c r="Q852" s="6">
        <f t="shared" si="177"/>
        <v>13487660</v>
      </c>
      <c r="R852" s="4">
        <f t="shared" ca="1" si="173"/>
        <v>-27</v>
      </c>
      <c r="S852" s="6"/>
      <c r="T852" s="5"/>
      <c r="U852" s="30" t="str">
        <f t="shared" si="170"/>
        <v>PENDIENTE</v>
      </c>
    </row>
    <row r="853" spans="1:21" x14ac:dyDescent="0.25">
      <c r="A853" s="4" t="str">
        <f t="shared" si="171"/>
        <v>202411</v>
      </c>
      <c r="B853" s="4" t="s">
        <v>20</v>
      </c>
      <c r="C853" s="4" t="s">
        <v>25</v>
      </c>
      <c r="D853" s="29" t="s">
        <v>50</v>
      </c>
      <c r="E853" s="28">
        <v>45626</v>
      </c>
      <c r="F853" s="4">
        <f t="shared" si="174"/>
        <v>15</v>
      </c>
      <c r="G853" s="4">
        <f t="shared" si="175"/>
        <v>7</v>
      </c>
      <c r="H853" s="6">
        <v>1685922</v>
      </c>
      <c r="I853" s="6">
        <f t="shared" si="179"/>
        <v>206055.85194489339</v>
      </c>
      <c r="J853" s="6">
        <v>0</v>
      </c>
      <c r="K853" s="6">
        <v>0</v>
      </c>
      <c r="L853" s="6">
        <f t="shared" ref="L853:L916" si="180">IF(S852="",0,IF(S852&lt;=P852,P852-S852,0))</f>
        <v>0</v>
      </c>
      <c r="M853" s="7">
        <f t="shared" si="176"/>
        <v>1.5277361080046011E-2</v>
      </c>
      <c r="N853" s="7">
        <f t="shared" si="169"/>
        <v>1.5277361080046011E-2</v>
      </c>
      <c r="O853" s="7">
        <f t="shared" si="172"/>
        <v>0</v>
      </c>
      <c r="P853" s="6">
        <f t="shared" si="178"/>
        <v>1891977.8519448934</v>
      </c>
      <c r="Q853" s="6">
        <f t="shared" si="177"/>
        <v>11801738</v>
      </c>
      <c r="R853" s="4">
        <f t="shared" ca="1" si="173"/>
        <v>-58</v>
      </c>
      <c r="S853" s="6"/>
      <c r="T853" s="5"/>
      <c r="U853" s="30" t="str">
        <f t="shared" si="170"/>
        <v>PENDIENTE</v>
      </c>
    </row>
    <row r="854" spans="1:21" x14ac:dyDescent="0.25">
      <c r="A854" s="4" t="str">
        <f t="shared" si="171"/>
        <v>202412</v>
      </c>
      <c r="B854" s="4" t="s">
        <v>20</v>
      </c>
      <c r="C854" s="4" t="s">
        <v>25</v>
      </c>
      <c r="D854" s="29" t="s">
        <v>50</v>
      </c>
      <c r="E854" s="28">
        <v>45657</v>
      </c>
      <c r="F854" s="4">
        <f t="shared" si="174"/>
        <v>16</v>
      </c>
      <c r="G854" s="4">
        <f t="shared" si="175"/>
        <v>6</v>
      </c>
      <c r="H854" s="6">
        <v>1685922</v>
      </c>
      <c r="I854" s="6">
        <f t="shared" si="179"/>
        <v>180299.41279810006</v>
      </c>
      <c r="J854" s="6">
        <v>0</v>
      </c>
      <c r="K854" s="6">
        <v>0</v>
      </c>
      <c r="L854" s="6">
        <f t="shared" si="180"/>
        <v>0</v>
      </c>
      <c r="M854" s="7">
        <f t="shared" si="176"/>
        <v>1.5277361080046013E-2</v>
      </c>
      <c r="N854" s="7">
        <f t="shared" si="169"/>
        <v>1.5277361080046013E-2</v>
      </c>
      <c r="O854" s="7">
        <f t="shared" si="172"/>
        <v>0</v>
      </c>
      <c r="P854" s="6">
        <f t="shared" si="178"/>
        <v>1866221.4127981002</v>
      </c>
      <c r="Q854" s="6">
        <f t="shared" si="177"/>
        <v>10115816</v>
      </c>
      <c r="R854" s="4">
        <f t="shared" ca="1" si="173"/>
        <v>-88</v>
      </c>
      <c r="S854" s="6"/>
      <c r="T854" s="5"/>
      <c r="U854" s="30" t="str">
        <f t="shared" si="170"/>
        <v>PENDIENTE</v>
      </c>
    </row>
    <row r="855" spans="1:21" x14ac:dyDescent="0.25">
      <c r="A855" s="4" t="str">
        <f t="shared" si="171"/>
        <v>20251</v>
      </c>
      <c r="B855" s="4" t="s">
        <v>20</v>
      </c>
      <c r="C855" s="4" t="s">
        <v>25</v>
      </c>
      <c r="D855" s="29" t="s">
        <v>50</v>
      </c>
      <c r="E855" s="28">
        <v>45688</v>
      </c>
      <c r="F855" s="4">
        <f t="shared" si="174"/>
        <v>17</v>
      </c>
      <c r="G855" s="4">
        <f t="shared" si="175"/>
        <v>5</v>
      </c>
      <c r="H855" s="6">
        <v>1685922</v>
      </c>
      <c r="I855" s="6">
        <f t="shared" si="179"/>
        <v>154542.97365130673</v>
      </c>
      <c r="J855" s="6">
        <v>0</v>
      </c>
      <c r="K855" s="6">
        <v>0</v>
      </c>
      <c r="L855" s="6">
        <f t="shared" si="180"/>
        <v>0</v>
      </c>
      <c r="M855" s="7">
        <f t="shared" si="176"/>
        <v>1.5277361080046013E-2</v>
      </c>
      <c r="N855" s="7">
        <f t="shared" si="169"/>
        <v>1.5277361080046013E-2</v>
      </c>
      <c r="O855" s="7">
        <f t="shared" si="172"/>
        <v>0</v>
      </c>
      <c r="P855" s="6">
        <f t="shared" si="178"/>
        <v>1840464.9736513067</v>
      </c>
      <c r="Q855" s="6">
        <f t="shared" si="177"/>
        <v>8429894</v>
      </c>
      <c r="R855" s="4">
        <f t="shared" ca="1" si="173"/>
        <v>-119</v>
      </c>
      <c r="S855" s="6"/>
      <c r="T855" s="5"/>
      <c r="U855" s="30" t="str">
        <f t="shared" si="170"/>
        <v>PENDIENTE</v>
      </c>
    </row>
    <row r="856" spans="1:21" x14ac:dyDescent="0.25">
      <c r="A856" s="4" t="str">
        <f t="shared" si="171"/>
        <v>20252</v>
      </c>
      <c r="B856" s="4" t="s">
        <v>20</v>
      </c>
      <c r="C856" s="4" t="s">
        <v>25</v>
      </c>
      <c r="D856" s="29" t="s">
        <v>50</v>
      </c>
      <c r="E856" s="28">
        <v>45716</v>
      </c>
      <c r="F856" s="4">
        <f t="shared" si="174"/>
        <v>18</v>
      </c>
      <c r="G856" s="4">
        <f t="shared" si="175"/>
        <v>4</v>
      </c>
      <c r="H856" s="6">
        <v>1685922</v>
      </c>
      <c r="I856" s="6">
        <f t="shared" si="179"/>
        <v>128786.53450451339</v>
      </c>
      <c r="J856" s="6">
        <v>0</v>
      </c>
      <c r="K856" s="6">
        <v>0</v>
      </c>
      <c r="L856" s="6">
        <f t="shared" si="180"/>
        <v>0</v>
      </c>
      <c r="M856" s="7">
        <f t="shared" si="176"/>
        <v>1.5277361080046011E-2</v>
      </c>
      <c r="N856" s="7">
        <f t="shared" si="169"/>
        <v>1.5277361080046011E-2</v>
      </c>
      <c r="O856" s="7">
        <f t="shared" si="172"/>
        <v>0</v>
      </c>
      <c r="P856" s="6">
        <f t="shared" si="178"/>
        <v>1814708.5345045135</v>
      </c>
      <c r="Q856" s="6">
        <f t="shared" si="177"/>
        <v>6743972</v>
      </c>
      <c r="R856" s="4">
        <f t="shared" ca="1" si="173"/>
        <v>-150</v>
      </c>
      <c r="S856" s="6"/>
      <c r="T856" s="5"/>
      <c r="U856" s="30" t="str">
        <f t="shared" si="170"/>
        <v>PENDIENTE</v>
      </c>
    </row>
    <row r="857" spans="1:21" x14ac:dyDescent="0.25">
      <c r="A857" s="4" t="str">
        <f t="shared" si="171"/>
        <v>20253</v>
      </c>
      <c r="B857" s="4" t="s">
        <v>20</v>
      </c>
      <c r="C857" s="4" t="s">
        <v>25</v>
      </c>
      <c r="D857" s="29" t="s">
        <v>50</v>
      </c>
      <c r="E857" s="28">
        <v>45747</v>
      </c>
      <c r="F857" s="4">
        <f t="shared" si="174"/>
        <v>19</v>
      </c>
      <c r="G857" s="4">
        <f t="shared" si="175"/>
        <v>3</v>
      </c>
      <c r="H857" s="6">
        <v>1685922</v>
      </c>
      <c r="I857" s="6">
        <f t="shared" si="179"/>
        <v>103030.09535772006</v>
      </c>
      <c r="J857" s="6">
        <v>0</v>
      </c>
      <c r="K857" s="6">
        <v>0</v>
      </c>
      <c r="L857" s="6">
        <f t="shared" si="180"/>
        <v>0</v>
      </c>
      <c r="M857" s="7">
        <f t="shared" si="176"/>
        <v>1.5277361080046011E-2</v>
      </c>
      <c r="N857" s="7">
        <f t="shared" si="169"/>
        <v>1.5277361080046011E-2</v>
      </c>
      <c r="O857" s="7">
        <f t="shared" si="172"/>
        <v>0</v>
      </c>
      <c r="P857" s="6">
        <f t="shared" si="178"/>
        <v>1788952.09535772</v>
      </c>
      <c r="Q857" s="6">
        <f t="shared" si="177"/>
        <v>5058050</v>
      </c>
      <c r="R857" s="4">
        <f t="shared" ca="1" si="173"/>
        <v>-178</v>
      </c>
      <c r="S857" s="6"/>
      <c r="T857" s="5"/>
      <c r="U857" s="30" t="str">
        <f t="shared" si="170"/>
        <v>PENDIENTE</v>
      </c>
    </row>
    <row r="858" spans="1:21" x14ac:dyDescent="0.25">
      <c r="A858" s="4" t="str">
        <f t="shared" si="171"/>
        <v>20254</v>
      </c>
      <c r="B858" s="4" t="s">
        <v>20</v>
      </c>
      <c r="C858" s="4" t="s">
        <v>25</v>
      </c>
      <c r="D858" s="29" t="s">
        <v>50</v>
      </c>
      <c r="E858" s="28">
        <v>45777</v>
      </c>
      <c r="F858" s="4">
        <f t="shared" si="174"/>
        <v>20</v>
      </c>
      <c r="G858" s="4">
        <f t="shared" si="175"/>
        <v>2</v>
      </c>
      <c r="H858" s="6">
        <v>1685922</v>
      </c>
      <c r="I858" s="6">
        <f t="shared" si="179"/>
        <v>77273.656210926725</v>
      </c>
      <c r="J858" s="6">
        <v>0</v>
      </c>
      <c r="K858" s="6">
        <v>0</v>
      </c>
      <c r="L858" s="6">
        <f t="shared" si="180"/>
        <v>0</v>
      </c>
      <c r="M858" s="7">
        <f t="shared" si="176"/>
        <v>1.5277361080046011E-2</v>
      </c>
      <c r="N858" s="7">
        <f t="shared" si="169"/>
        <v>1.5277361080046011E-2</v>
      </c>
      <c r="O858" s="7">
        <f t="shared" si="172"/>
        <v>0</v>
      </c>
      <c r="P858" s="6">
        <f t="shared" si="178"/>
        <v>1763195.6562109268</v>
      </c>
      <c r="Q858" s="6">
        <f t="shared" si="177"/>
        <v>3372128</v>
      </c>
      <c r="R858" s="4">
        <f t="shared" ca="1" si="173"/>
        <v>-209</v>
      </c>
      <c r="S858" s="6"/>
      <c r="T858" s="5"/>
      <c r="U858" s="30" t="str">
        <f t="shared" si="170"/>
        <v>PENDIENTE</v>
      </c>
    </row>
    <row r="859" spans="1:21" x14ac:dyDescent="0.25">
      <c r="A859" s="4" t="str">
        <f t="shared" si="171"/>
        <v>20255</v>
      </c>
      <c r="B859" s="4" t="s">
        <v>20</v>
      </c>
      <c r="C859" s="4" t="s">
        <v>25</v>
      </c>
      <c r="D859" s="29" t="s">
        <v>50</v>
      </c>
      <c r="E859" s="28">
        <v>45808</v>
      </c>
      <c r="F859" s="4">
        <f t="shared" si="174"/>
        <v>21</v>
      </c>
      <c r="G859" s="4">
        <f t="shared" si="175"/>
        <v>1</v>
      </c>
      <c r="H859" s="6">
        <v>1685922</v>
      </c>
      <c r="I859" s="6">
        <f t="shared" si="179"/>
        <v>51517.217064133394</v>
      </c>
      <c r="J859" s="6">
        <v>0</v>
      </c>
      <c r="K859" s="6">
        <v>0</v>
      </c>
      <c r="L859" s="6">
        <f t="shared" si="180"/>
        <v>0</v>
      </c>
      <c r="M859" s="7">
        <f t="shared" si="176"/>
        <v>1.5277361080046011E-2</v>
      </c>
      <c r="N859" s="7">
        <f t="shared" si="169"/>
        <v>1.5277361080046011E-2</v>
      </c>
      <c r="O859" s="7">
        <f t="shared" si="172"/>
        <v>0</v>
      </c>
      <c r="P859" s="6">
        <f t="shared" si="178"/>
        <v>1737439.2170641334</v>
      </c>
      <c r="Q859" s="6">
        <f t="shared" si="177"/>
        <v>1686206</v>
      </c>
      <c r="R859" s="4">
        <f t="shared" ca="1" si="173"/>
        <v>-239</v>
      </c>
      <c r="S859" s="6"/>
      <c r="T859" s="5"/>
      <c r="U859" s="30" t="str">
        <f t="shared" si="170"/>
        <v>PENDIENTE</v>
      </c>
    </row>
    <row r="860" spans="1:21" x14ac:dyDescent="0.25">
      <c r="A860" s="4" t="str">
        <f t="shared" si="171"/>
        <v>20256</v>
      </c>
      <c r="B860" s="4" t="s">
        <v>20</v>
      </c>
      <c r="C860" s="4" t="s">
        <v>25</v>
      </c>
      <c r="D860" s="29" t="s">
        <v>50</v>
      </c>
      <c r="E860" s="28">
        <v>45838</v>
      </c>
      <c r="F860" s="4">
        <f t="shared" si="174"/>
        <v>22</v>
      </c>
      <c r="G860" s="4">
        <f t="shared" si="175"/>
        <v>0</v>
      </c>
      <c r="H860" s="6">
        <v>1685922</v>
      </c>
      <c r="I860" s="6">
        <f t="shared" si="179"/>
        <v>25760.777917340063</v>
      </c>
      <c r="J860" s="6">
        <v>0</v>
      </c>
      <c r="K860" s="6">
        <v>0</v>
      </c>
      <c r="L860" s="6">
        <f t="shared" si="180"/>
        <v>0</v>
      </c>
      <c r="M860" s="7">
        <f t="shared" si="176"/>
        <v>1.5277361080046011E-2</v>
      </c>
      <c r="N860" s="7">
        <f t="shared" si="169"/>
        <v>1.5277361080046011E-2</v>
      </c>
      <c r="O860" s="7">
        <f t="shared" si="172"/>
        <v>0</v>
      </c>
      <c r="P860" s="6">
        <f t="shared" si="178"/>
        <v>1711682.7779173402</v>
      </c>
      <c r="Q860" s="6">
        <f t="shared" si="177"/>
        <v>284</v>
      </c>
      <c r="R860" s="4">
        <f t="shared" ca="1" si="173"/>
        <v>-270</v>
      </c>
      <c r="S860" s="6"/>
      <c r="T860" s="5"/>
      <c r="U860" s="30" t="str">
        <f t="shared" si="170"/>
        <v>PENDIENTE</v>
      </c>
    </row>
    <row r="861" spans="1:21" x14ac:dyDescent="0.25">
      <c r="A861" s="4" t="str">
        <f t="shared" si="171"/>
        <v>20238</v>
      </c>
      <c r="B861" s="4" t="s">
        <v>20</v>
      </c>
      <c r="C861" s="4" t="s">
        <v>25</v>
      </c>
      <c r="D861" s="29" t="s">
        <v>51</v>
      </c>
      <c r="E861" s="28">
        <v>45169</v>
      </c>
      <c r="F861" s="4">
        <v>0</v>
      </c>
      <c r="G861" s="4">
        <v>38</v>
      </c>
      <c r="H861" s="6">
        <v>0</v>
      </c>
      <c r="I861" s="6">
        <v>0</v>
      </c>
      <c r="J861" s="6">
        <v>0</v>
      </c>
      <c r="K861" s="6">
        <v>0</v>
      </c>
      <c r="L861" s="6">
        <f t="shared" si="180"/>
        <v>0</v>
      </c>
      <c r="M861" s="7">
        <f t="shared" si="176"/>
        <v>0</v>
      </c>
      <c r="N861" s="7">
        <f t="shared" si="169"/>
        <v>0</v>
      </c>
      <c r="O861" s="7">
        <v>0</v>
      </c>
      <c r="P861" s="6">
        <f t="shared" si="178"/>
        <v>0</v>
      </c>
      <c r="Q861" s="6">
        <v>160140564.00999999</v>
      </c>
      <c r="R861" s="4" t="s">
        <v>27</v>
      </c>
      <c r="S861" s="6">
        <v>0</v>
      </c>
      <c r="T861" s="5">
        <v>45169</v>
      </c>
      <c r="U861" s="30" t="str">
        <f t="shared" si="170"/>
        <v>PAGADO</v>
      </c>
    </row>
    <row r="862" spans="1:21" x14ac:dyDescent="0.25">
      <c r="A862" s="4" t="str">
        <f t="shared" si="171"/>
        <v>20239</v>
      </c>
      <c r="B862" s="4" t="s">
        <v>20</v>
      </c>
      <c r="C862" s="4" t="s">
        <v>25</v>
      </c>
      <c r="D862" s="29" t="s">
        <v>51</v>
      </c>
      <c r="E862" s="28">
        <v>45199</v>
      </c>
      <c r="F862" s="4">
        <f>F861+1</f>
        <v>1</v>
      </c>
      <c r="G862" s="4">
        <f t="shared" ref="G862:G899" si="181">G861-1</f>
        <v>37</v>
      </c>
      <c r="H862" s="6">
        <v>4214225</v>
      </c>
      <c r="I862" s="6">
        <v>2579999</v>
      </c>
      <c r="J862" s="6">
        <v>0</v>
      </c>
      <c r="K862" s="6">
        <v>0</v>
      </c>
      <c r="L862" s="6">
        <f>IF(S861="",0,IF(S861&lt;=P861,P861-S861,0))</f>
        <v>0</v>
      </c>
      <c r="M862" s="7">
        <f t="shared" si="176"/>
        <v>1.6110839973305525E-2</v>
      </c>
      <c r="N862" s="7">
        <f t="shared" si="169"/>
        <v>1.6110839973305525E-2</v>
      </c>
      <c r="O862" s="7">
        <f t="shared" si="172"/>
        <v>0</v>
      </c>
      <c r="P862" s="6">
        <f t="shared" si="178"/>
        <v>6794224</v>
      </c>
      <c r="Q862" s="6">
        <f t="shared" si="177"/>
        <v>155926339.00999999</v>
      </c>
      <c r="R862" s="4" t="str">
        <f t="shared" ref="R862:R899" ca="1" si="182">IF(B861="","",IF(T861="",TODAY()-E861,IF(T862="",TODAY()-E862,"OK")))</f>
        <v>OK</v>
      </c>
      <c r="S862" s="6">
        <v>6794222</v>
      </c>
      <c r="T862" s="5">
        <v>45201</v>
      </c>
      <c r="U862" s="30" t="str">
        <f t="shared" si="170"/>
        <v>PAGADO</v>
      </c>
    </row>
    <row r="863" spans="1:21" x14ac:dyDescent="0.25">
      <c r="A863" s="4" t="str">
        <f t="shared" si="171"/>
        <v>202310</v>
      </c>
      <c r="B863" s="4" t="s">
        <v>20</v>
      </c>
      <c r="C863" s="4" t="s">
        <v>25</v>
      </c>
      <c r="D863" s="29" t="s">
        <v>51</v>
      </c>
      <c r="E863" s="28">
        <v>45230</v>
      </c>
      <c r="F863" s="4">
        <f t="shared" ref="F863:F899" si="183">F862+1</f>
        <v>2</v>
      </c>
      <c r="G863" s="4">
        <f t="shared" si="181"/>
        <v>36</v>
      </c>
      <c r="H863" s="6">
        <v>4214225</v>
      </c>
      <c r="I863" s="6">
        <f>Q862*$M$862</f>
        <v>2512104.2954134964</v>
      </c>
      <c r="J863" s="6">
        <v>0</v>
      </c>
      <c r="K863" s="6">
        <v>0</v>
      </c>
      <c r="L863" s="6">
        <v>0</v>
      </c>
      <c r="M863" s="7">
        <f t="shared" si="176"/>
        <v>1.6110839973305525E-2</v>
      </c>
      <c r="N863" s="7">
        <f t="shared" si="169"/>
        <v>1.6110839973305525E-2</v>
      </c>
      <c r="O863" s="7">
        <f t="shared" si="172"/>
        <v>0</v>
      </c>
      <c r="P863" s="6">
        <f t="shared" si="178"/>
        <v>6726329.295413496</v>
      </c>
      <c r="Q863" s="6">
        <f t="shared" si="177"/>
        <v>151712114.00999999</v>
      </c>
      <c r="R863" s="4" t="str">
        <f t="shared" ca="1" si="182"/>
        <v>OK</v>
      </c>
      <c r="S863" s="6">
        <f>192963.65+1144188.48+5528999.87</f>
        <v>6866152</v>
      </c>
      <c r="T863" s="5">
        <v>45246</v>
      </c>
      <c r="U863" s="30" t="str">
        <f t="shared" si="170"/>
        <v>PAGADO</v>
      </c>
    </row>
    <row r="864" spans="1:21" x14ac:dyDescent="0.25">
      <c r="A864" s="4" t="str">
        <f t="shared" si="171"/>
        <v>202311</v>
      </c>
      <c r="B864" s="4" t="s">
        <v>20</v>
      </c>
      <c r="C864" s="4" t="s">
        <v>25</v>
      </c>
      <c r="D864" s="29" t="s">
        <v>51</v>
      </c>
      <c r="E864" s="28">
        <v>45260</v>
      </c>
      <c r="F864" s="4">
        <f t="shared" si="183"/>
        <v>3</v>
      </c>
      <c r="G864" s="4">
        <f t="shared" si="181"/>
        <v>35</v>
      </c>
      <c r="H864" s="6">
        <v>4214225</v>
      </c>
      <c r="I864" s="6">
        <v>2444587</v>
      </c>
      <c r="J864" s="6">
        <v>0</v>
      </c>
      <c r="K864" s="6">
        <v>0</v>
      </c>
      <c r="L864" s="6">
        <f t="shared" ref="L864:L873" si="184">IF(S863="",0,IF(S863&lt;=P863,P863-S863,0))</f>
        <v>0</v>
      </c>
      <c r="M864" s="7">
        <f t="shared" si="176"/>
        <v>1.6113327639998919E-2</v>
      </c>
      <c r="N864" s="7">
        <f t="shared" si="169"/>
        <v>1.6113327639998919E-2</v>
      </c>
      <c r="O864" s="7">
        <f t="shared" si="172"/>
        <v>0</v>
      </c>
      <c r="P864" s="6">
        <f t="shared" si="178"/>
        <v>6658812</v>
      </c>
      <c r="Q864" s="6">
        <f t="shared" si="177"/>
        <v>147497889.00999999</v>
      </c>
      <c r="R864" s="4" t="str">
        <f t="shared" ca="1" si="182"/>
        <v>OK</v>
      </c>
      <c r="S864" s="6">
        <v>6658812</v>
      </c>
      <c r="T864" s="5">
        <v>45260</v>
      </c>
      <c r="U864" s="30" t="str">
        <f t="shared" si="170"/>
        <v>PAGADO</v>
      </c>
    </row>
    <row r="865" spans="1:21" x14ac:dyDescent="0.25">
      <c r="A865" s="4" t="str">
        <f t="shared" si="171"/>
        <v>202312</v>
      </c>
      <c r="B865" s="4" t="s">
        <v>20</v>
      </c>
      <c r="C865" s="4" t="s">
        <v>25</v>
      </c>
      <c r="D865" s="29" t="s">
        <v>51</v>
      </c>
      <c r="E865" s="28">
        <v>45291</v>
      </c>
      <c r="F865" s="4">
        <f t="shared" si="183"/>
        <v>4</v>
      </c>
      <c r="G865" s="4">
        <f t="shared" si="181"/>
        <v>34</v>
      </c>
      <c r="H865" s="6">
        <v>4214225</v>
      </c>
      <c r="I865" s="6">
        <v>2452095</v>
      </c>
      <c r="J865" s="6">
        <v>0</v>
      </c>
      <c r="K865" s="6">
        <v>0</v>
      </c>
      <c r="L865" s="6">
        <f t="shared" si="184"/>
        <v>0</v>
      </c>
      <c r="M865" s="7">
        <f t="shared" si="176"/>
        <v>1.6624610809404562E-2</v>
      </c>
      <c r="N865" s="7">
        <f t="shared" si="169"/>
        <v>1.6624610809404562E-2</v>
      </c>
      <c r="O865" s="7">
        <f t="shared" si="172"/>
        <v>0</v>
      </c>
      <c r="P865" s="6">
        <f t="shared" si="178"/>
        <v>6666320</v>
      </c>
      <c r="Q865" s="6">
        <f t="shared" si="177"/>
        <v>143283664.00999999</v>
      </c>
      <c r="R865" s="4" t="str">
        <f t="shared" ca="1" si="182"/>
        <v>OK</v>
      </c>
      <c r="S865" s="6">
        <f>2900000+3353659.57+467702.43</f>
        <v>6721362</v>
      </c>
      <c r="T865" s="5">
        <v>45307</v>
      </c>
      <c r="U865" s="30" t="str">
        <f t="shared" si="170"/>
        <v>PAGADO</v>
      </c>
    </row>
    <row r="866" spans="1:21" x14ac:dyDescent="0.25">
      <c r="A866" s="4" t="str">
        <f t="shared" si="171"/>
        <v>20241</v>
      </c>
      <c r="B866" s="4" t="s">
        <v>20</v>
      </c>
      <c r="C866" s="4" t="s">
        <v>25</v>
      </c>
      <c r="D866" s="29" t="s">
        <v>51</v>
      </c>
      <c r="E866" s="28">
        <v>45322</v>
      </c>
      <c r="F866" s="4">
        <f t="shared" si="183"/>
        <v>5</v>
      </c>
      <c r="G866" s="4">
        <f t="shared" si="181"/>
        <v>33</v>
      </c>
      <c r="H866" s="6">
        <v>4214225</v>
      </c>
      <c r="I866" s="6">
        <f t="shared" ref="I866:I899" si="185">Q865*$M$862</f>
        <v>2308420.1816539862</v>
      </c>
      <c r="J866" s="6">
        <v>0</v>
      </c>
      <c r="K866" s="6">
        <v>0</v>
      </c>
      <c r="L866" s="6">
        <f t="shared" si="184"/>
        <v>0</v>
      </c>
      <c r="M866" s="7">
        <f t="shared" si="176"/>
        <v>1.6110839973305525E-2</v>
      </c>
      <c r="N866" s="7">
        <f t="shared" si="169"/>
        <v>1.6110839973305525E-2</v>
      </c>
      <c r="O866" s="7">
        <f t="shared" si="172"/>
        <v>0</v>
      </c>
      <c r="P866" s="6">
        <f t="shared" si="178"/>
        <v>6522645.1816539858</v>
      </c>
      <c r="Q866" s="6">
        <f t="shared" si="177"/>
        <v>139069439.00999999</v>
      </c>
      <c r="R866" s="4" t="str">
        <f t="shared" ca="1" si="182"/>
        <v>OK</v>
      </c>
      <c r="S866" s="6">
        <v>6568129</v>
      </c>
      <c r="T866" s="5">
        <v>45322</v>
      </c>
      <c r="U866" s="30" t="str">
        <f t="shared" si="170"/>
        <v>PAGADO</v>
      </c>
    </row>
    <row r="867" spans="1:21" x14ac:dyDescent="0.25">
      <c r="A867" s="4" t="str">
        <f t="shared" si="171"/>
        <v>20242</v>
      </c>
      <c r="B867" s="4" t="s">
        <v>20</v>
      </c>
      <c r="C867" s="4" t="s">
        <v>25</v>
      </c>
      <c r="D867" s="29" t="s">
        <v>51</v>
      </c>
      <c r="E867" s="28">
        <v>45351</v>
      </c>
      <c r="F867" s="4">
        <f t="shared" si="183"/>
        <v>6</v>
      </c>
      <c r="G867" s="4">
        <f t="shared" si="181"/>
        <v>32</v>
      </c>
      <c r="H867" s="6">
        <v>4214225</v>
      </c>
      <c r="I867" s="6">
        <f>6318674-H867</f>
        <v>2104449</v>
      </c>
      <c r="J867" s="6">
        <v>0</v>
      </c>
      <c r="K867" s="6">
        <v>0</v>
      </c>
      <c r="L867" s="6">
        <f t="shared" si="184"/>
        <v>0</v>
      </c>
      <c r="M867" s="7">
        <f t="shared" si="176"/>
        <v>1.5132361322379941E-2</v>
      </c>
      <c r="N867" s="7">
        <f t="shared" si="169"/>
        <v>1.5132361322379941E-2</v>
      </c>
      <c r="O867" s="7">
        <f t="shared" si="172"/>
        <v>0</v>
      </c>
      <c r="P867" s="6">
        <f t="shared" si="178"/>
        <v>6318674</v>
      </c>
      <c r="Q867" s="6">
        <f t="shared" si="177"/>
        <v>134855214.00999999</v>
      </c>
      <c r="R867" s="4" t="str">
        <f t="shared" ca="1" si="182"/>
        <v>OK</v>
      </c>
      <c r="S867" s="6">
        <v>6318674</v>
      </c>
      <c r="T867" s="5">
        <v>45351</v>
      </c>
      <c r="U867" s="30" t="str">
        <f t="shared" si="170"/>
        <v>PAGADO</v>
      </c>
    </row>
    <row r="868" spans="1:21" x14ac:dyDescent="0.25">
      <c r="A868" s="4" t="str">
        <f t="shared" si="171"/>
        <v>20243</v>
      </c>
      <c r="B868" s="4" t="s">
        <v>20</v>
      </c>
      <c r="C868" s="4" t="s">
        <v>25</v>
      </c>
      <c r="D868" s="29" t="s">
        <v>51</v>
      </c>
      <c r="E868" s="28">
        <v>45382</v>
      </c>
      <c r="F868" s="4">
        <f t="shared" si="183"/>
        <v>7</v>
      </c>
      <c r="G868" s="4">
        <f t="shared" si="181"/>
        <v>31</v>
      </c>
      <c r="H868" s="6">
        <v>4214225</v>
      </c>
      <c r="I868" s="6">
        <f t="shared" si="185"/>
        <v>2172630.7724809791</v>
      </c>
      <c r="J868" s="6">
        <v>0</v>
      </c>
      <c r="K868" s="6">
        <v>0</v>
      </c>
      <c r="L868" s="6">
        <f t="shared" si="184"/>
        <v>0</v>
      </c>
      <c r="M868" s="7">
        <f t="shared" si="176"/>
        <v>1.6110839973305525E-2</v>
      </c>
      <c r="N868" s="7">
        <f t="shared" si="169"/>
        <v>1.6110839973305525E-2</v>
      </c>
      <c r="O868" s="7">
        <f t="shared" si="172"/>
        <v>0</v>
      </c>
      <c r="P868" s="6">
        <f t="shared" si="178"/>
        <v>6386855.7724809796</v>
      </c>
      <c r="Q868" s="6">
        <f t="shared" si="177"/>
        <v>130640989.00999999</v>
      </c>
      <c r="R868" s="4" t="str">
        <f t="shared" ca="1" si="182"/>
        <v>OK</v>
      </c>
      <c r="S868" s="6">
        <v>6400052</v>
      </c>
      <c r="T868" s="5">
        <v>45383</v>
      </c>
      <c r="U868" s="30" t="str">
        <f t="shared" si="170"/>
        <v>PAGADO</v>
      </c>
    </row>
    <row r="869" spans="1:21" x14ac:dyDescent="0.25">
      <c r="A869" s="4" t="str">
        <f t="shared" si="171"/>
        <v>20244</v>
      </c>
      <c r="B869" s="4" t="s">
        <v>20</v>
      </c>
      <c r="C869" s="4" t="s">
        <v>25</v>
      </c>
      <c r="D869" s="29" t="s">
        <v>51</v>
      </c>
      <c r="E869" s="28">
        <v>45412</v>
      </c>
      <c r="F869" s="4">
        <f t="shared" si="183"/>
        <v>8</v>
      </c>
      <c r="G869" s="4">
        <f t="shared" si="181"/>
        <v>30</v>
      </c>
      <c r="H869" s="6">
        <v>4214225</v>
      </c>
      <c r="I869" s="6">
        <f t="shared" si="185"/>
        <v>2104736.0678944755</v>
      </c>
      <c r="J869" s="6">
        <v>0</v>
      </c>
      <c r="K869" s="6">
        <v>0</v>
      </c>
      <c r="L869" s="6">
        <f t="shared" si="184"/>
        <v>0</v>
      </c>
      <c r="M869" s="7">
        <f t="shared" si="176"/>
        <v>1.6110839973305525E-2</v>
      </c>
      <c r="N869" s="7">
        <f t="shared" si="169"/>
        <v>1.6110839973305525E-2</v>
      </c>
      <c r="O869" s="7">
        <f t="shared" si="172"/>
        <v>0</v>
      </c>
      <c r="P869" s="6">
        <f t="shared" si="178"/>
        <v>6318961.0678944755</v>
      </c>
      <c r="Q869" s="6">
        <f t="shared" si="177"/>
        <v>126426764.00999999</v>
      </c>
      <c r="R869" s="4" t="str">
        <f t="shared" ca="1" si="182"/>
        <v>OK</v>
      </c>
      <c r="S869" s="6">
        <v>6221959</v>
      </c>
      <c r="T869" s="5">
        <v>45412</v>
      </c>
      <c r="U869" s="30" t="str">
        <f t="shared" si="170"/>
        <v>PAGADO</v>
      </c>
    </row>
    <row r="870" spans="1:21" x14ac:dyDescent="0.25">
      <c r="A870" s="4" t="str">
        <f t="shared" si="171"/>
        <v>20245</v>
      </c>
      <c r="B870" s="4" t="s">
        <v>20</v>
      </c>
      <c r="C870" s="4" t="s">
        <v>25</v>
      </c>
      <c r="D870" s="29" t="s">
        <v>51</v>
      </c>
      <c r="E870" s="28">
        <v>45443</v>
      </c>
      <c r="F870" s="4">
        <f t="shared" si="183"/>
        <v>9</v>
      </c>
      <c r="G870" s="4">
        <f t="shared" si="181"/>
        <v>29</v>
      </c>
      <c r="H870" s="6">
        <v>4214225</v>
      </c>
      <c r="I870" s="6">
        <v>1963752</v>
      </c>
      <c r="J870" s="6">
        <v>0</v>
      </c>
      <c r="K870" s="6">
        <v>0</v>
      </c>
      <c r="L870" s="6">
        <f t="shared" si="184"/>
        <v>97002.067894475535</v>
      </c>
      <c r="M870" s="7">
        <f t="shared" si="176"/>
        <v>1.5532723750207455E-2</v>
      </c>
      <c r="N870" s="7">
        <f t="shared" si="169"/>
        <v>1.5532723750207455E-2</v>
      </c>
      <c r="O870" s="7">
        <f t="shared" si="172"/>
        <v>0</v>
      </c>
      <c r="P870" s="6">
        <f t="shared" si="178"/>
        <v>6274979.0678944755</v>
      </c>
      <c r="Q870" s="6">
        <f t="shared" si="177"/>
        <v>122212539.00999999</v>
      </c>
      <c r="R870" s="4" t="str">
        <f t="shared" ca="1" si="182"/>
        <v>OK</v>
      </c>
      <c r="S870" s="6">
        <v>6177977</v>
      </c>
      <c r="T870" s="5">
        <v>45443</v>
      </c>
      <c r="U870" s="30" t="str">
        <f t="shared" si="170"/>
        <v>PAGADO</v>
      </c>
    </row>
    <row r="871" spans="1:21" x14ac:dyDescent="0.25">
      <c r="A871" s="4" t="str">
        <f t="shared" si="171"/>
        <v>20246</v>
      </c>
      <c r="B871" s="4" t="s">
        <v>20</v>
      </c>
      <c r="C871" s="4" t="s">
        <v>25</v>
      </c>
      <c r="D871" s="29" t="s">
        <v>51</v>
      </c>
      <c r="E871" s="28">
        <v>45473</v>
      </c>
      <c r="F871" s="4">
        <f t="shared" si="183"/>
        <v>10</v>
      </c>
      <c r="G871" s="4">
        <f t="shared" si="181"/>
        <v>28</v>
      </c>
      <c r="H871" s="6">
        <v>4214225</v>
      </c>
      <c r="I871" s="6">
        <v>1832985</v>
      </c>
      <c r="J871" s="6">
        <v>0</v>
      </c>
      <c r="K871" s="6">
        <v>0</v>
      </c>
      <c r="L871" s="6">
        <f t="shared" si="184"/>
        <v>97002.067894475535</v>
      </c>
      <c r="M871" s="7">
        <f t="shared" si="176"/>
        <v>1.4998338262573995E-2</v>
      </c>
      <c r="N871" s="7">
        <f t="shared" si="169"/>
        <v>1.4998338262573995E-2</v>
      </c>
      <c r="O871" s="7">
        <f t="shared" si="172"/>
        <v>0</v>
      </c>
      <c r="P871" s="6">
        <f t="shared" si="178"/>
        <v>6144212.0678944755</v>
      </c>
      <c r="Q871" s="6">
        <f t="shared" si="177"/>
        <v>117998314.00999999</v>
      </c>
      <c r="R871" s="4" t="str">
        <f t="shared" ca="1" si="182"/>
        <v>OK</v>
      </c>
      <c r="S871" s="6">
        <f>618903.47+5472462.53</f>
        <v>6091366</v>
      </c>
      <c r="T871" s="5">
        <v>45488</v>
      </c>
      <c r="U871" s="30" t="str">
        <f t="shared" si="170"/>
        <v>PAGADO</v>
      </c>
    </row>
    <row r="872" spans="1:21" x14ac:dyDescent="0.25">
      <c r="A872" s="4" t="str">
        <f t="shared" si="171"/>
        <v>20247</v>
      </c>
      <c r="B872" s="4" t="s">
        <v>20</v>
      </c>
      <c r="C872" s="4" t="s">
        <v>25</v>
      </c>
      <c r="D872" s="29" t="s">
        <v>51</v>
      </c>
      <c r="E872" s="28">
        <v>45504</v>
      </c>
      <c r="F872" s="4">
        <f t="shared" si="183"/>
        <v>11</v>
      </c>
      <c r="G872" s="4">
        <f t="shared" si="181"/>
        <v>27</v>
      </c>
      <c r="H872" s="6">
        <v>4214225</v>
      </c>
      <c r="I872" s="6">
        <v>1632285</v>
      </c>
      <c r="J872" s="6">
        <v>0</v>
      </c>
      <c r="K872" s="6">
        <v>0</v>
      </c>
      <c r="L872" s="6">
        <f t="shared" si="184"/>
        <v>52846.067894475535</v>
      </c>
      <c r="M872" s="7">
        <f t="shared" si="176"/>
        <v>1.3833121377155175E-2</v>
      </c>
      <c r="N872" s="7">
        <f t="shared" si="169"/>
        <v>1.3833121377155175E-2</v>
      </c>
      <c r="O872" s="7">
        <f t="shared" si="172"/>
        <v>0</v>
      </c>
      <c r="P872" s="6">
        <f t="shared" si="178"/>
        <v>5899356.0678944755</v>
      </c>
      <c r="Q872" s="6">
        <f t="shared" si="177"/>
        <v>113784089.00999999</v>
      </c>
      <c r="R872" s="4" t="str">
        <f t="shared" ca="1" si="182"/>
        <v>OK</v>
      </c>
      <c r="S872" s="6">
        <v>5507867.1299999999</v>
      </c>
      <c r="T872" s="5">
        <v>45526</v>
      </c>
      <c r="U872" s="30" t="str">
        <f t="shared" si="170"/>
        <v>PAGADO</v>
      </c>
    </row>
    <row r="873" spans="1:21" x14ac:dyDescent="0.25">
      <c r="A873" s="4" t="str">
        <f t="shared" si="171"/>
        <v>20248</v>
      </c>
      <c r="B873" s="4" t="s">
        <v>20</v>
      </c>
      <c r="C873" s="4" t="s">
        <v>25</v>
      </c>
      <c r="D873" s="29" t="s">
        <v>51</v>
      </c>
      <c r="E873" s="28">
        <v>45535</v>
      </c>
      <c r="F873" s="4">
        <f t="shared" si="183"/>
        <v>12</v>
      </c>
      <c r="G873" s="4">
        <f t="shared" si="181"/>
        <v>26</v>
      </c>
      <c r="H873" s="6">
        <v>4214225</v>
      </c>
      <c r="I873" s="6">
        <f>Q872*$M$862</f>
        <v>1833157.2495484618</v>
      </c>
      <c r="J873" s="6">
        <v>0</v>
      </c>
      <c r="K873" s="6">
        <v>0</v>
      </c>
      <c r="L873" s="6">
        <f t="shared" si="184"/>
        <v>391488.93789447565</v>
      </c>
      <c r="M873" s="7">
        <f t="shared" si="176"/>
        <v>1.6110839973305525E-2</v>
      </c>
      <c r="N873" s="7">
        <f t="shared" si="169"/>
        <v>1.6110839973305525E-2</v>
      </c>
      <c r="O873" s="7">
        <f t="shared" si="172"/>
        <v>0</v>
      </c>
      <c r="P873" s="6">
        <f t="shared" si="178"/>
        <v>6438871.1874429369</v>
      </c>
      <c r="Q873" s="6">
        <f t="shared" si="177"/>
        <v>109569864.00999999</v>
      </c>
      <c r="R873" s="4">
        <f t="shared" ca="1" si="182"/>
        <v>3</v>
      </c>
      <c r="S873" s="6"/>
      <c r="T873" s="5"/>
      <c r="U873" s="30" t="str">
        <f t="shared" si="170"/>
        <v>PENDIENTE</v>
      </c>
    </row>
    <row r="874" spans="1:21" x14ac:dyDescent="0.25">
      <c r="A874" s="4" t="str">
        <f t="shared" si="171"/>
        <v>20249</v>
      </c>
      <c r="B874" s="4" t="s">
        <v>20</v>
      </c>
      <c r="C874" s="4" t="s">
        <v>25</v>
      </c>
      <c r="D874" s="29" t="s">
        <v>51</v>
      </c>
      <c r="E874" s="28">
        <v>45565</v>
      </c>
      <c r="F874" s="4">
        <f t="shared" si="183"/>
        <v>13</v>
      </c>
      <c r="G874" s="4">
        <f t="shared" si="181"/>
        <v>25</v>
      </c>
      <c r="H874" s="6">
        <v>4214225</v>
      </c>
      <c r="I874" s="6">
        <f t="shared" si="185"/>
        <v>1765262.5449619582</v>
      </c>
      <c r="J874" s="6">
        <v>0</v>
      </c>
      <c r="K874" s="6">
        <v>0</v>
      </c>
      <c r="L874" s="6">
        <f t="shared" si="180"/>
        <v>0</v>
      </c>
      <c r="M874" s="7">
        <f t="shared" si="176"/>
        <v>1.6110839973305525E-2</v>
      </c>
      <c r="N874" s="7">
        <f t="shared" si="169"/>
        <v>1.6110839973305525E-2</v>
      </c>
      <c r="O874" s="7">
        <f t="shared" si="172"/>
        <v>0</v>
      </c>
      <c r="P874" s="6">
        <f t="shared" si="178"/>
        <v>5979487.5449619582</v>
      </c>
      <c r="Q874" s="6">
        <f t="shared" si="177"/>
        <v>105355639.00999999</v>
      </c>
      <c r="R874" s="4">
        <f t="shared" ca="1" si="182"/>
        <v>3</v>
      </c>
      <c r="S874" s="6"/>
      <c r="T874" s="5"/>
      <c r="U874" s="30" t="str">
        <f t="shared" si="170"/>
        <v>PENDIENTE</v>
      </c>
    </row>
    <row r="875" spans="1:21" x14ac:dyDescent="0.25">
      <c r="A875" s="4" t="str">
        <f t="shared" si="171"/>
        <v>202410</v>
      </c>
      <c r="B875" s="4" t="s">
        <v>20</v>
      </c>
      <c r="C875" s="4" t="s">
        <v>25</v>
      </c>
      <c r="D875" s="29" t="s">
        <v>51</v>
      </c>
      <c r="E875" s="28">
        <v>45596</v>
      </c>
      <c r="F875" s="4">
        <f t="shared" si="183"/>
        <v>14</v>
      </c>
      <c r="G875" s="4">
        <f t="shared" si="181"/>
        <v>24</v>
      </c>
      <c r="H875" s="6">
        <v>4214225</v>
      </c>
      <c r="I875" s="6">
        <f t="shared" si="185"/>
        <v>1697367.8403754549</v>
      </c>
      <c r="J875" s="6">
        <v>0</v>
      </c>
      <c r="K875" s="6">
        <v>0</v>
      </c>
      <c r="L875" s="6">
        <f t="shared" si="180"/>
        <v>0</v>
      </c>
      <c r="M875" s="7">
        <f t="shared" si="176"/>
        <v>1.6110839973305525E-2</v>
      </c>
      <c r="N875" s="7">
        <f t="shared" si="169"/>
        <v>1.6110839973305525E-2</v>
      </c>
      <c r="O875" s="7">
        <f t="shared" si="172"/>
        <v>0</v>
      </c>
      <c r="P875" s="6">
        <f t="shared" si="178"/>
        <v>5911592.8403754551</v>
      </c>
      <c r="Q875" s="6">
        <f t="shared" si="177"/>
        <v>101141414.00999999</v>
      </c>
      <c r="R875" s="4">
        <f t="shared" ca="1" si="182"/>
        <v>-27</v>
      </c>
      <c r="S875" s="6"/>
      <c r="T875" s="5"/>
      <c r="U875" s="30" t="str">
        <f t="shared" si="170"/>
        <v>PENDIENTE</v>
      </c>
    </row>
    <row r="876" spans="1:21" x14ac:dyDescent="0.25">
      <c r="A876" s="4" t="str">
        <f t="shared" si="171"/>
        <v>202411</v>
      </c>
      <c r="B876" s="4" t="s">
        <v>20</v>
      </c>
      <c r="C876" s="4" t="s">
        <v>25</v>
      </c>
      <c r="D876" s="29" t="s">
        <v>51</v>
      </c>
      <c r="E876" s="28">
        <v>45626</v>
      </c>
      <c r="F876" s="4">
        <f t="shared" si="183"/>
        <v>15</v>
      </c>
      <c r="G876" s="4">
        <f t="shared" si="181"/>
        <v>23</v>
      </c>
      <c r="H876" s="6">
        <v>4214225</v>
      </c>
      <c r="I876" s="6">
        <f t="shared" si="185"/>
        <v>1629473.1357889513</v>
      </c>
      <c r="J876" s="6">
        <v>0</v>
      </c>
      <c r="K876" s="6">
        <v>0</v>
      </c>
      <c r="L876" s="6">
        <f t="shared" si="180"/>
        <v>0</v>
      </c>
      <c r="M876" s="7">
        <f t="shared" si="176"/>
        <v>1.6110839973305525E-2</v>
      </c>
      <c r="N876" s="7">
        <f t="shared" si="169"/>
        <v>1.6110839973305525E-2</v>
      </c>
      <c r="O876" s="7">
        <f t="shared" si="172"/>
        <v>0</v>
      </c>
      <c r="P876" s="6">
        <f t="shared" si="178"/>
        <v>5843698.1357889511</v>
      </c>
      <c r="Q876" s="6">
        <f t="shared" si="177"/>
        <v>96927189.00999999</v>
      </c>
      <c r="R876" s="4">
        <f t="shared" ca="1" si="182"/>
        <v>-58</v>
      </c>
      <c r="S876" s="6"/>
      <c r="T876" s="5"/>
      <c r="U876" s="30" t="str">
        <f t="shared" si="170"/>
        <v>PENDIENTE</v>
      </c>
    </row>
    <row r="877" spans="1:21" x14ac:dyDescent="0.25">
      <c r="A877" s="4" t="str">
        <f t="shared" si="171"/>
        <v>202412</v>
      </c>
      <c r="B877" s="4" t="s">
        <v>20</v>
      </c>
      <c r="C877" s="4" t="s">
        <v>25</v>
      </c>
      <c r="D877" s="29" t="s">
        <v>51</v>
      </c>
      <c r="E877" s="28">
        <v>45657</v>
      </c>
      <c r="F877" s="4">
        <f t="shared" si="183"/>
        <v>16</v>
      </c>
      <c r="G877" s="4">
        <f t="shared" si="181"/>
        <v>22</v>
      </c>
      <c r="H877" s="6">
        <v>4214225</v>
      </c>
      <c r="I877" s="6">
        <f t="shared" si="185"/>
        <v>1561578.4312024477</v>
      </c>
      <c r="J877" s="6">
        <v>0</v>
      </c>
      <c r="K877" s="6">
        <v>0</v>
      </c>
      <c r="L877" s="6">
        <f t="shared" si="180"/>
        <v>0</v>
      </c>
      <c r="M877" s="7">
        <f t="shared" si="176"/>
        <v>1.6110839973305525E-2</v>
      </c>
      <c r="N877" s="7">
        <f t="shared" si="169"/>
        <v>1.6110839973305525E-2</v>
      </c>
      <c r="O877" s="7">
        <f t="shared" si="172"/>
        <v>0</v>
      </c>
      <c r="P877" s="6">
        <f t="shared" si="178"/>
        <v>5775803.431202448</v>
      </c>
      <c r="Q877" s="6">
        <f t="shared" si="177"/>
        <v>92712964.00999999</v>
      </c>
      <c r="R877" s="4">
        <f t="shared" ca="1" si="182"/>
        <v>-88</v>
      </c>
      <c r="S877" s="6"/>
      <c r="T877" s="5"/>
      <c r="U877" s="30" t="str">
        <f t="shared" si="170"/>
        <v>PENDIENTE</v>
      </c>
    </row>
    <row r="878" spans="1:21" x14ac:dyDescent="0.25">
      <c r="A878" s="4" t="str">
        <f t="shared" si="171"/>
        <v>20251</v>
      </c>
      <c r="B878" s="4" t="s">
        <v>20</v>
      </c>
      <c r="C878" s="4" t="s">
        <v>25</v>
      </c>
      <c r="D878" s="29" t="s">
        <v>51</v>
      </c>
      <c r="E878" s="28">
        <v>45688</v>
      </c>
      <c r="F878" s="4">
        <f t="shared" si="183"/>
        <v>17</v>
      </c>
      <c r="G878" s="4">
        <f t="shared" si="181"/>
        <v>21</v>
      </c>
      <c r="H878" s="6">
        <v>4214225</v>
      </c>
      <c r="I878" s="6">
        <f t="shared" si="185"/>
        <v>1493683.7266159444</v>
      </c>
      <c r="J878" s="6">
        <v>0</v>
      </c>
      <c r="K878" s="6">
        <v>0</v>
      </c>
      <c r="L878" s="6">
        <f t="shared" si="180"/>
        <v>0</v>
      </c>
      <c r="M878" s="7">
        <f t="shared" si="176"/>
        <v>1.6110839973305525E-2</v>
      </c>
      <c r="N878" s="7">
        <f t="shared" si="169"/>
        <v>1.6110839973305525E-2</v>
      </c>
      <c r="O878" s="7">
        <f t="shared" si="172"/>
        <v>0</v>
      </c>
      <c r="P878" s="6">
        <f t="shared" si="178"/>
        <v>5707908.7266159449</v>
      </c>
      <c r="Q878" s="6">
        <f t="shared" si="177"/>
        <v>88498739.00999999</v>
      </c>
      <c r="R878" s="4">
        <f t="shared" ca="1" si="182"/>
        <v>-119</v>
      </c>
      <c r="S878" s="6"/>
      <c r="T878" s="5"/>
      <c r="U878" s="30" t="str">
        <f t="shared" si="170"/>
        <v>PENDIENTE</v>
      </c>
    </row>
    <row r="879" spans="1:21" x14ac:dyDescent="0.25">
      <c r="A879" s="4" t="str">
        <f t="shared" si="171"/>
        <v>20252</v>
      </c>
      <c r="B879" s="4" t="s">
        <v>20</v>
      </c>
      <c r="C879" s="4" t="s">
        <v>25</v>
      </c>
      <c r="D879" s="29" t="s">
        <v>51</v>
      </c>
      <c r="E879" s="28">
        <v>45716</v>
      </c>
      <c r="F879" s="4">
        <f t="shared" si="183"/>
        <v>18</v>
      </c>
      <c r="G879" s="4">
        <f t="shared" si="181"/>
        <v>20</v>
      </c>
      <c r="H879" s="6">
        <v>4214225</v>
      </c>
      <c r="I879" s="6">
        <f t="shared" si="185"/>
        <v>1425789.0220294409</v>
      </c>
      <c r="J879" s="6">
        <v>0</v>
      </c>
      <c r="K879" s="6">
        <v>0</v>
      </c>
      <c r="L879" s="6">
        <f t="shared" si="180"/>
        <v>0</v>
      </c>
      <c r="M879" s="7">
        <f t="shared" si="176"/>
        <v>1.6110839973305525E-2</v>
      </c>
      <c r="N879" s="7">
        <f t="shared" si="169"/>
        <v>1.6110839973305525E-2</v>
      </c>
      <c r="O879" s="7">
        <f t="shared" si="172"/>
        <v>0</v>
      </c>
      <c r="P879" s="6">
        <f t="shared" si="178"/>
        <v>5640014.0220294409</v>
      </c>
      <c r="Q879" s="6">
        <f t="shared" si="177"/>
        <v>84284514.00999999</v>
      </c>
      <c r="R879" s="4">
        <f t="shared" ca="1" si="182"/>
        <v>-150</v>
      </c>
      <c r="S879" s="6"/>
      <c r="T879" s="5"/>
      <c r="U879" s="30" t="str">
        <f t="shared" si="170"/>
        <v>PENDIENTE</v>
      </c>
    </row>
    <row r="880" spans="1:21" x14ac:dyDescent="0.25">
      <c r="A880" s="4" t="str">
        <f t="shared" si="171"/>
        <v>20253</v>
      </c>
      <c r="B880" s="4" t="s">
        <v>20</v>
      </c>
      <c r="C880" s="4" t="s">
        <v>25</v>
      </c>
      <c r="D880" s="29" t="s">
        <v>51</v>
      </c>
      <c r="E880" s="28">
        <v>45747</v>
      </c>
      <c r="F880" s="4">
        <f t="shared" si="183"/>
        <v>19</v>
      </c>
      <c r="G880" s="4">
        <f t="shared" si="181"/>
        <v>19</v>
      </c>
      <c r="H880" s="6">
        <v>4214225</v>
      </c>
      <c r="I880" s="6">
        <f t="shared" si="185"/>
        <v>1357894.3174429373</v>
      </c>
      <c r="J880" s="6">
        <v>0</v>
      </c>
      <c r="K880" s="6">
        <v>0</v>
      </c>
      <c r="L880" s="6">
        <f t="shared" si="180"/>
        <v>0</v>
      </c>
      <c r="M880" s="7">
        <f t="shared" si="176"/>
        <v>1.6110839973305525E-2</v>
      </c>
      <c r="N880" s="7">
        <f t="shared" ref="N880:N943" si="186">IF(I880="","",I880/Q879)</f>
        <v>1.6110839973305525E-2</v>
      </c>
      <c r="O880" s="7">
        <f t="shared" si="172"/>
        <v>0</v>
      </c>
      <c r="P880" s="6">
        <f t="shared" si="178"/>
        <v>5572119.3174429368</v>
      </c>
      <c r="Q880" s="6">
        <f t="shared" si="177"/>
        <v>80070289.00999999</v>
      </c>
      <c r="R880" s="4">
        <f t="shared" ca="1" si="182"/>
        <v>-178</v>
      </c>
      <c r="S880" s="6"/>
      <c r="T880" s="5"/>
      <c r="U880" s="30" t="str">
        <f t="shared" si="170"/>
        <v>PENDIENTE</v>
      </c>
    </row>
    <row r="881" spans="1:21" x14ac:dyDescent="0.25">
      <c r="A881" s="4" t="str">
        <f t="shared" si="171"/>
        <v>20254</v>
      </c>
      <c r="B881" s="4" t="s">
        <v>20</v>
      </c>
      <c r="C881" s="4" t="s">
        <v>25</v>
      </c>
      <c r="D881" s="29" t="s">
        <v>51</v>
      </c>
      <c r="E881" s="28">
        <v>45777</v>
      </c>
      <c r="F881" s="4">
        <f t="shared" si="183"/>
        <v>20</v>
      </c>
      <c r="G881" s="4">
        <f t="shared" si="181"/>
        <v>18</v>
      </c>
      <c r="H881" s="6">
        <v>4214225</v>
      </c>
      <c r="I881" s="6">
        <f t="shared" si="185"/>
        <v>1289999.612856434</v>
      </c>
      <c r="J881" s="6">
        <v>0</v>
      </c>
      <c r="K881" s="6">
        <v>0</v>
      </c>
      <c r="L881" s="6">
        <f t="shared" si="180"/>
        <v>0</v>
      </c>
      <c r="M881" s="7">
        <f t="shared" si="176"/>
        <v>1.6110839973305525E-2</v>
      </c>
      <c r="N881" s="7">
        <f t="shared" si="186"/>
        <v>1.6110839973305525E-2</v>
      </c>
      <c r="O881" s="7">
        <f t="shared" si="172"/>
        <v>0</v>
      </c>
      <c r="P881" s="6">
        <f t="shared" si="178"/>
        <v>5504224.6128564337</v>
      </c>
      <c r="Q881" s="6">
        <f t="shared" si="177"/>
        <v>75856064.00999999</v>
      </c>
      <c r="R881" s="4">
        <f t="shared" ca="1" si="182"/>
        <v>-209</v>
      </c>
      <c r="S881" s="6"/>
      <c r="T881" s="5"/>
      <c r="U881" s="30" t="str">
        <f t="shared" si="170"/>
        <v>PENDIENTE</v>
      </c>
    </row>
    <row r="882" spans="1:21" x14ac:dyDescent="0.25">
      <c r="A882" s="4" t="str">
        <f t="shared" si="171"/>
        <v>20255</v>
      </c>
      <c r="B882" s="4" t="s">
        <v>20</v>
      </c>
      <c r="C882" s="4" t="s">
        <v>25</v>
      </c>
      <c r="D882" s="29" t="s">
        <v>51</v>
      </c>
      <c r="E882" s="28">
        <v>45808</v>
      </c>
      <c r="F882" s="4">
        <f t="shared" si="183"/>
        <v>21</v>
      </c>
      <c r="G882" s="4">
        <f t="shared" si="181"/>
        <v>17</v>
      </c>
      <c r="H882" s="6">
        <v>4214225</v>
      </c>
      <c r="I882" s="6">
        <f t="shared" si="185"/>
        <v>1222104.9082699304</v>
      </c>
      <c r="J882" s="6">
        <v>0</v>
      </c>
      <c r="K882" s="6">
        <v>0</v>
      </c>
      <c r="L882" s="6">
        <f t="shared" si="180"/>
        <v>0</v>
      </c>
      <c r="M882" s="7">
        <f t="shared" si="176"/>
        <v>1.6110839973305525E-2</v>
      </c>
      <c r="N882" s="7">
        <f t="shared" si="186"/>
        <v>1.6110839973305525E-2</v>
      </c>
      <c r="O882" s="7">
        <f t="shared" si="172"/>
        <v>0</v>
      </c>
      <c r="P882" s="6">
        <f t="shared" si="178"/>
        <v>5436329.9082699306</v>
      </c>
      <c r="Q882" s="6">
        <f t="shared" si="177"/>
        <v>71641839.00999999</v>
      </c>
      <c r="R882" s="4">
        <f t="shared" ca="1" si="182"/>
        <v>-239</v>
      </c>
      <c r="S882" s="6"/>
      <c r="T882" s="5"/>
      <c r="U882" s="30" t="str">
        <f t="shared" si="170"/>
        <v>PENDIENTE</v>
      </c>
    </row>
    <row r="883" spans="1:21" x14ac:dyDescent="0.25">
      <c r="A883" s="4" t="str">
        <f t="shared" si="171"/>
        <v>20256</v>
      </c>
      <c r="B883" s="4" t="s">
        <v>20</v>
      </c>
      <c r="C883" s="4" t="s">
        <v>25</v>
      </c>
      <c r="D883" s="29" t="s">
        <v>51</v>
      </c>
      <c r="E883" s="28">
        <v>45838</v>
      </c>
      <c r="F883" s="4">
        <f t="shared" si="183"/>
        <v>22</v>
      </c>
      <c r="G883" s="4">
        <f t="shared" si="181"/>
        <v>16</v>
      </c>
      <c r="H883" s="6">
        <v>4214225</v>
      </c>
      <c r="I883" s="6">
        <f t="shared" si="185"/>
        <v>1154210.2036834268</v>
      </c>
      <c r="J883" s="6">
        <v>0</v>
      </c>
      <c r="K883" s="6">
        <v>0</v>
      </c>
      <c r="L883" s="6">
        <f t="shared" si="180"/>
        <v>0</v>
      </c>
      <c r="M883" s="7">
        <f t="shared" si="176"/>
        <v>1.6110839973305525E-2</v>
      </c>
      <c r="N883" s="7">
        <f t="shared" si="186"/>
        <v>1.6110839973305525E-2</v>
      </c>
      <c r="O883" s="7">
        <f t="shared" si="172"/>
        <v>0</v>
      </c>
      <c r="P883" s="6">
        <f t="shared" si="178"/>
        <v>5368435.2036834266</v>
      </c>
      <c r="Q883" s="6">
        <f t="shared" si="177"/>
        <v>67427614.00999999</v>
      </c>
      <c r="R883" s="4">
        <f t="shared" ca="1" si="182"/>
        <v>-270</v>
      </c>
      <c r="S883" s="6"/>
      <c r="T883" s="5"/>
      <c r="U883" s="30" t="str">
        <f t="shared" si="170"/>
        <v>PENDIENTE</v>
      </c>
    </row>
    <row r="884" spans="1:21" x14ac:dyDescent="0.25">
      <c r="A884" s="4" t="str">
        <f t="shared" si="171"/>
        <v>20257</v>
      </c>
      <c r="B884" s="4" t="s">
        <v>20</v>
      </c>
      <c r="C884" s="4" t="s">
        <v>25</v>
      </c>
      <c r="D884" s="29" t="s">
        <v>51</v>
      </c>
      <c r="E884" s="28">
        <v>45869</v>
      </c>
      <c r="F884" s="4">
        <f t="shared" si="183"/>
        <v>23</v>
      </c>
      <c r="G884" s="4">
        <f t="shared" si="181"/>
        <v>15</v>
      </c>
      <c r="H884" s="6">
        <v>4214225</v>
      </c>
      <c r="I884" s="6">
        <f t="shared" si="185"/>
        <v>1086315.4990969235</v>
      </c>
      <c r="J884" s="6">
        <v>0</v>
      </c>
      <c r="K884" s="6">
        <v>0</v>
      </c>
      <c r="L884" s="6">
        <f t="shared" si="180"/>
        <v>0</v>
      </c>
      <c r="M884" s="7">
        <f t="shared" si="176"/>
        <v>1.6110839973305525E-2</v>
      </c>
      <c r="N884" s="7">
        <f t="shared" si="186"/>
        <v>1.6110839973305525E-2</v>
      </c>
      <c r="O884" s="7">
        <f t="shared" si="172"/>
        <v>0</v>
      </c>
      <c r="P884" s="6">
        <f t="shared" si="178"/>
        <v>5300540.4990969235</v>
      </c>
      <c r="Q884" s="6">
        <f t="shared" si="177"/>
        <v>63213389.00999999</v>
      </c>
      <c r="R884" s="4">
        <f t="shared" ca="1" si="182"/>
        <v>-300</v>
      </c>
      <c r="S884" s="6"/>
      <c r="T884" s="5"/>
      <c r="U884" s="30" t="str">
        <f t="shared" si="170"/>
        <v>PENDIENTE</v>
      </c>
    </row>
    <row r="885" spans="1:21" x14ac:dyDescent="0.25">
      <c r="A885" s="4" t="str">
        <f t="shared" si="171"/>
        <v>20258</v>
      </c>
      <c r="B885" s="4" t="s">
        <v>20</v>
      </c>
      <c r="C885" s="4" t="s">
        <v>25</v>
      </c>
      <c r="D885" s="29" t="s">
        <v>51</v>
      </c>
      <c r="E885" s="28">
        <v>45900</v>
      </c>
      <c r="F885" s="4">
        <f t="shared" si="183"/>
        <v>24</v>
      </c>
      <c r="G885" s="4">
        <f t="shared" si="181"/>
        <v>14</v>
      </c>
      <c r="H885" s="6">
        <v>4214225</v>
      </c>
      <c r="I885" s="6">
        <f t="shared" si="185"/>
        <v>1018420.7945104199</v>
      </c>
      <c r="J885" s="6">
        <v>0</v>
      </c>
      <c r="K885" s="6">
        <v>0</v>
      </c>
      <c r="L885" s="6">
        <f t="shared" si="180"/>
        <v>0</v>
      </c>
      <c r="M885" s="7">
        <f t="shared" si="176"/>
        <v>1.6110839973305525E-2</v>
      </c>
      <c r="N885" s="7">
        <f t="shared" si="186"/>
        <v>1.6110839973305525E-2</v>
      </c>
      <c r="O885" s="7">
        <f t="shared" si="172"/>
        <v>0</v>
      </c>
      <c r="P885" s="6">
        <f t="shared" si="178"/>
        <v>5232645.7945104204</v>
      </c>
      <c r="Q885" s="6">
        <f t="shared" si="177"/>
        <v>58999164.00999999</v>
      </c>
      <c r="R885" s="4">
        <f t="shared" ca="1" si="182"/>
        <v>-331</v>
      </c>
      <c r="S885" s="6"/>
      <c r="T885" s="5"/>
      <c r="U885" s="30" t="str">
        <f t="shared" si="170"/>
        <v>PENDIENTE</v>
      </c>
    </row>
    <row r="886" spans="1:21" x14ac:dyDescent="0.25">
      <c r="A886" s="4" t="str">
        <f t="shared" si="171"/>
        <v>20259</v>
      </c>
      <c r="B886" s="4" t="s">
        <v>20</v>
      </c>
      <c r="C886" s="4" t="s">
        <v>25</v>
      </c>
      <c r="D886" s="29" t="s">
        <v>51</v>
      </c>
      <c r="E886" s="28">
        <v>45930</v>
      </c>
      <c r="F886" s="4">
        <f t="shared" si="183"/>
        <v>25</v>
      </c>
      <c r="G886" s="4">
        <f t="shared" si="181"/>
        <v>13</v>
      </c>
      <c r="H886" s="6">
        <v>4214225</v>
      </c>
      <c r="I886" s="6">
        <f t="shared" si="185"/>
        <v>950526.0899239165</v>
      </c>
      <c r="J886" s="6">
        <v>0</v>
      </c>
      <c r="K886" s="6">
        <v>0</v>
      </c>
      <c r="L886" s="6">
        <f t="shared" si="180"/>
        <v>0</v>
      </c>
      <c r="M886" s="7">
        <f t="shared" si="176"/>
        <v>1.6110839973305525E-2</v>
      </c>
      <c r="N886" s="7">
        <f t="shared" si="186"/>
        <v>1.6110839973305525E-2</v>
      </c>
      <c r="O886" s="7">
        <f t="shared" si="172"/>
        <v>0</v>
      </c>
      <c r="P886" s="6">
        <f t="shared" si="178"/>
        <v>5164751.0899239164</v>
      </c>
      <c r="Q886" s="6">
        <f t="shared" si="177"/>
        <v>54784939.00999999</v>
      </c>
      <c r="R886" s="4">
        <f t="shared" ca="1" si="182"/>
        <v>-362</v>
      </c>
      <c r="S886" s="6"/>
      <c r="T886" s="5"/>
      <c r="U886" s="30" t="str">
        <f t="shared" si="170"/>
        <v>PENDIENTE</v>
      </c>
    </row>
    <row r="887" spans="1:21" x14ac:dyDescent="0.25">
      <c r="A887" s="4" t="str">
        <f t="shared" si="171"/>
        <v>202510</v>
      </c>
      <c r="B887" s="4" t="s">
        <v>20</v>
      </c>
      <c r="C887" s="4" t="s">
        <v>25</v>
      </c>
      <c r="D887" s="29" t="s">
        <v>51</v>
      </c>
      <c r="E887" s="28">
        <v>45961</v>
      </c>
      <c r="F887" s="4">
        <f t="shared" si="183"/>
        <v>26</v>
      </c>
      <c r="G887" s="4">
        <f t="shared" si="181"/>
        <v>12</v>
      </c>
      <c r="H887" s="6">
        <v>4214225</v>
      </c>
      <c r="I887" s="6">
        <f t="shared" si="185"/>
        <v>882631.38533741306</v>
      </c>
      <c r="J887" s="6">
        <v>0</v>
      </c>
      <c r="K887" s="6">
        <v>0</v>
      </c>
      <c r="L887" s="6">
        <f t="shared" si="180"/>
        <v>0</v>
      </c>
      <c r="M887" s="7">
        <f t="shared" si="176"/>
        <v>1.6110839973305525E-2</v>
      </c>
      <c r="N887" s="7">
        <f t="shared" si="186"/>
        <v>1.6110839973305525E-2</v>
      </c>
      <c r="O887" s="7">
        <f t="shared" si="172"/>
        <v>0</v>
      </c>
      <c r="P887" s="6">
        <f t="shared" si="178"/>
        <v>5096856.3853374133</v>
      </c>
      <c r="Q887" s="6">
        <f t="shared" si="177"/>
        <v>50570714.00999999</v>
      </c>
      <c r="R887" s="4">
        <f t="shared" ca="1" si="182"/>
        <v>-392</v>
      </c>
      <c r="S887" s="6"/>
      <c r="T887" s="5"/>
      <c r="U887" s="30" t="str">
        <f t="shared" si="170"/>
        <v>PENDIENTE</v>
      </c>
    </row>
    <row r="888" spans="1:21" x14ac:dyDescent="0.25">
      <c r="A888" s="4" t="str">
        <f t="shared" si="171"/>
        <v>202511</v>
      </c>
      <c r="B888" s="4" t="s">
        <v>20</v>
      </c>
      <c r="C888" s="4" t="s">
        <v>25</v>
      </c>
      <c r="D888" s="29" t="s">
        <v>51</v>
      </c>
      <c r="E888" s="28">
        <v>45991</v>
      </c>
      <c r="F888" s="4">
        <f t="shared" si="183"/>
        <v>27</v>
      </c>
      <c r="G888" s="4">
        <f t="shared" si="181"/>
        <v>11</v>
      </c>
      <c r="H888" s="6">
        <v>4214225</v>
      </c>
      <c r="I888" s="6">
        <f t="shared" si="185"/>
        <v>814736.68075090961</v>
      </c>
      <c r="J888" s="6">
        <v>0</v>
      </c>
      <c r="K888" s="6">
        <v>0</v>
      </c>
      <c r="L888" s="6">
        <f t="shared" si="180"/>
        <v>0</v>
      </c>
      <c r="M888" s="7">
        <f t="shared" si="176"/>
        <v>1.6110839973305525E-2</v>
      </c>
      <c r="N888" s="7">
        <f t="shared" si="186"/>
        <v>1.6110839973305525E-2</v>
      </c>
      <c r="O888" s="7">
        <f t="shared" si="172"/>
        <v>0</v>
      </c>
      <c r="P888" s="6">
        <f t="shared" si="178"/>
        <v>5028961.6807509093</v>
      </c>
      <c r="Q888" s="6">
        <f t="shared" si="177"/>
        <v>46356489.00999999</v>
      </c>
      <c r="R888" s="4">
        <f t="shared" ca="1" si="182"/>
        <v>-423</v>
      </c>
      <c r="S888" s="6"/>
      <c r="T888" s="5"/>
      <c r="U888" s="30" t="str">
        <f t="shared" si="170"/>
        <v>PENDIENTE</v>
      </c>
    </row>
    <row r="889" spans="1:21" x14ac:dyDescent="0.25">
      <c r="A889" s="4" t="str">
        <f t="shared" si="171"/>
        <v>202512</v>
      </c>
      <c r="B889" s="4" t="s">
        <v>20</v>
      </c>
      <c r="C889" s="4" t="s">
        <v>25</v>
      </c>
      <c r="D889" s="29" t="s">
        <v>51</v>
      </c>
      <c r="E889" s="28">
        <v>46022</v>
      </c>
      <c r="F889" s="4">
        <f t="shared" si="183"/>
        <v>28</v>
      </c>
      <c r="G889" s="4">
        <f t="shared" si="181"/>
        <v>10</v>
      </c>
      <c r="H889" s="6">
        <v>4214225</v>
      </c>
      <c r="I889" s="6">
        <f t="shared" si="185"/>
        <v>746841.97616440605</v>
      </c>
      <c r="J889" s="6">
        <v>0</v>
      </c>
      <c r="K889" s="6">
        <v>0</v>
      </c>
      <c r="L889" s="6">
        <f t="shared" si="180"/>
        <v>0</v>
      </c>
      <c r="M889" s="7">
        <f t="shared" si="176"/>
        <v>1.6110839973305525E-2</v>
      </c>
      <c r="N889" s="7">
        <f t="shared" si="186"/>
        <v>1.6110839973305525E-2</v>
      </c>
      <c r="O889" s="7">
        <f t="shared" si="172"/>
        <v>0</v>
      </c>
      <c r="P889" s="6">
        <f t="shared" si="178"/>
        <v>4961066.9761644062</v>
      </c>
      <c r="Q889" s="6">
        <f t="shared" si="177"/>
        <v>42142264.00999999</v>
      </c>
      <c r="R889" s="4">
        <f t="shared" ca="1" si="182"/>
        <v>-453</v>
      </c>
      <c r="S889" s="6"/>
      <c r="T889" s="5"/>
      <c r="U889" s="30" t="str">
        <f t="shared" si="170"/>
        <v>PENDIENTE</v>
      </c>
    </row>
    <row r="890" spans="1:21" x14ac:dyDescent="0.25">
      <c r="A890" s="4" t="str">
        <f t="shared" si="171"/>
        <v>20261</v>
      </c>
      <c r="B890" s="4" t="s">
        <v>20</v>
      </c>
      <c r="C890" s="4" t="s">
        <v>25</v>
      </c>
      <c r="D890" s="29" t="s">
        <v>51</v>
      </c>
      <c r="E890" s="28">
        <v>46053</v>
      </c>
      <c r="F890" s="4">
        <f t="shared" si="183"/>
        <v>29</v>
      </c>
      <c r="G890" s="4">
        <f t="shared" si="181"/>
        <v>9</v>
      </c>
      <c r="H890" s="6">
        <v>4214225</v>
      </c>
      <c r="I890" s="6">
        <f t="shared" si="185"/>
        <v>678947.2715779026</v>
      </c>
      <c r="J890" s="6">
        <v>0</v>
      </c>
      <c r="K890" s="6">
        <v>0</v>
      </c>
      <c r="L890" s="6">
        <f t="shared" si="180"/>
        <v>0</v>
      </c>
      <c r="M890" s="7">
        <f t="shared" si="176"/>
        <v>1.6110839973305525E-2</v>
      </c>
      <c r="N890" s="7">
        <f t="shared" si="186"/>
        <v>1.6110839973305525E-2</v>
      </c>
      <c r="O890" s="7">
        <f t="shared" si="172"/>
        <v>0</v>
      </c>
      <c r="P890" s="6">
        <f t="shared" si="178"/>
        <v>4893172.2715779021</v>
      </c>
      <c r="Q890" s="6">
        <f t="shared" si="177"/>
        <v>37928039.00999999</v>
      </c>
      <c r="R890" s="4">
        <f t="shared" ca="1" si="182"/>
        <v>-484</v>
      </c>
      <c r="S890" s="6"/>
      <c r="T890" s="5"/>
      <c r="U890" s="30" t="str">
        <f t="shared" si="170"/>
        <v>PENDIENTE</v>
      </c>
    </row>
    <row r="891" spans="1:21" x14ac:dyDescent="0.25">
      <c r="A891" s="4" t="str">
        <f t="shared" si="171"/>
        <v>20262</v>
      </c>
      <c r="B891" s="4" t="s">
        <v>20</v>
      </c>
      <c r="C891" s="4" t="s">
        <v>25</v>
      </c>
      <c r="D891" s="29" t="s">
        <v>51</v>
      </c>
      <c r="E891" s="28">
        <v>46081</v>
      </c>
      <c r="F891" s="4">
        <f t="shared" si="183"/>
        <v>30</v>
      </c>
      <c r="G891" s="4">
        <f t="shared" si="181"/>
        <v>8</v>
      </c>
      <c r="H891" s="6">
        <v>4214225</v>
      </c>
      <c r="I891" s="6">
        <f t="shared" si="185"/>
        <v>611052.56699139916</v>
      </c>
      <c r="J891" s="6">
        <v>0</v>
      </c>
      <c r="K891" s="6">
        <v>0</v>
      </c>
      <c r="L891" s="6">
        <f t="shared" si="180"/>
        <v>0</v>
      </c>
      <c r="M891" s="7">
        <f t="shared" si="176"/>
        <v>1.6110839973305525E-2</v>
      </c>
      <c r="N891" s="7">
        <f t="shared" si="186"/>
        <v>1.6110839973305525E-2</v>
      </c>
      <c r="O891" s="7">
        <f t="shared" si="172"/>
        <v>0</v>
      </c>
      <c r="P891" s="6">
        <f t="shared" si="178"/>
        <v>4825277.566991399</v>
      </c>
      <c r="Q891" s="6">
        <f t="shared" si="177"/>
        <v>33713814.00999999</v>
      </c>
      <c r="R891" s="4">
        <f t="shared" ca="1" si="182"/>
        <v>-515</v>
      </c>
      <c r="S891" s="6"/>
      <c r="T891" s="5"/>
      <c r="U891" s="30" t="str">
        <f t="shared" si="170"/>
        <v>PENDIENTE</v>
      </c>
    </row>
    <row r="892" spans="1:21" x14ac:dyDescent="0.25">
      <c r="A892" s="4" t="str">
        <f t="shared" si="171"/>
        <v>20263</v>
      </c>
      <c r="B892" s="4" t="s">
        <v>20</v>
      </c>
      <c r="C892" s="4" t="s">
        <v>25</v>
      </c>
      <c r="D892" s="29" t="s">
        <v>51</v>
      </c>
      <c r="E892" s="28">
        <v>46112</v>
      </c>
      <c r="F892" s="4">
        <f t="shared" si="183"/>
        <v>31</v>
      </c>
      <c r="G892" s="4">
        <f t="shared" si="181"/>
        <v>7</v>
      </c>
      <c r="H892" s="6">
        <v>4214225</v>
      </c>
      <c r="I892" s="6">
        <f t="shared" si="185"/>
        <v>543157.86240489571</v>
      </c>
      <c r="J892" s="6">
        <v>0</v>
      </c>
      <c r="K892" s="6">
        <v>0</v>
      </c>
      <c r="L892" s="6">
        <f t="shared" si="180"/>
        <v>0</v>
      </c>
      <c r="M892" s="7">
        <f t="shared" si="176"/>
        <v>1.6110839973305525E-2</v>
      </c>
      <c r="N892" s="7">
        <f t="shared" si="186"/>
        <v>1.6110839973305525E-2</v>
      </c>
      <c r="O892" s="7">
        <f t="shared" si="172"/>
        <v>0</v>
      </c>
      <c r="P892" s="6">
        <f t="shared" si="178"/>
        <v>4757382.8624048959</v>
      </c>
      <c r="Q892" s="6">
        <f t="shared" si="177"/>
        <v>29499589.00999999</v>
      </c>
      <c r="R892" s="4">
        <f t="shared" ca="1" si="182"/>
        <v>-543</v>
      </c>
      <c r="S892" s="6"/>
      <c r="T892" s="5"/>
      <c r="U892" s="30" t="str">
        <f t="shared" si="170"/>
        <v>PENDIENTE</v>
      </c>
    </row>
    <row r="893" spans="1:21" x14ac:dyDescent="0.25">
      <c r="A893" s="4" t="str">
        <f t="shared" si="171"/>
        <v>20264</v>
      </c>
      <c r="B893" s="4" t="s">
        <v>20</v>
      </c>
      <c r="C893" s="4" t="s">
        <v>25</v>
      </c>
      <c r="D893" s="29" t="s">
        <v>51</v>
      </c>
      <c r="E893" s="28">
        <v>46142</v>
      </c>
      <c r="F893" s="4">
        <f t="shared" si="183"/>
        <v>32</v>
      </c>
      <c r="G893" s="4">
        <f t="shared" si="181"/>
        <v>6</v>
      </c>
      <c r="H893" s="6">
        <v>4214225</v>
      </c>
      <c r="I893" s="6">
        <f t="shared" si="185"/>
        <v>475263.15781839221</v>
      </c>
      <c r="J893" s="6">
        <v>0</v>
      </c>
      <c r="K893" s="6">
        <v>0</v>
      </c>
      <c r="L893" s="6">
        <f t="shared" si="180"/>
        <v>0</v>
      </c>
      <c r="M893" s="7">
        <f t="shared" si="176"/>
        <v>1.6110839973305525E-2</v>
      </c>
      <c r="N893" s="7">
        <f t="shared" si="186"/>
        <v>1.6110839973305525E-2</v>
      </c>
      <c r="O893" s="7">
        <f t="shared" si="172"/>
        <v>0</v>
      </c>
      <c r="P893" s="6">
        <f t="shared" si="178"/>
        <v>4689488.1578183919</v>
      </c>
      <c r="Q893" s="6">
        <f t="shared" si="177"/>
        <v>25285364.00999999</v>
      </c>
      <c r="R893" s="4">
        <f t="shared" ca="1" si="182"/>
        <v>-574</v>
      </c>
      <c r="S893" s="6"/>
      <c r="T893" s="5"/>
      <c r="U893" s="30" t="str">
        <f t="shared" si="170"/>
        <v>PENDIENTE</v>
      </c>
    </row>
    <row r="894" spans="1:21" x14ac:dyDescent="0.25">
      <c r="A894" s="4" t="str">
        <f t="shared" si="171"/>
        <v>20265</v>
      </c>
      <c r="B894" s="4" t="s">
        <v>20</v>
      </c>
      <c r="C894" s="4" t="s">
        <v>25</v>
      </c>
      <c r="D894" s="29" t="s">
        <v>51</v>
      </c>
      <c r="E894" s="28">
        <v>46173</v>
      </c>
      <c r="F894" s="4">
        <f t="shared" si="183"/>
        <v>33</v>
      </c>
      <c r="G894" s="4">
        <f t="shared" si="181"/>
        <v>5</v>
      </c>
      <c r="H894" s="6">
        <v>4214225</v>
      </c>
      <c r="I894" s="6">
        <f t="shared" si="185"/>
        <v>407368.45323188871</v>
      </c>
      <c r="J894" s="6">
        <v>0</v>
      </c>
      <c r="K894" s="6">
        <v>0</v>
      </c>
      <c r="L894" s="6">
        <f t="shared" si="180"/>
        <v>0</v>
      </c>
      <c r="M894" s="7">
        <f t="shared" si="176"/>
        <v>1.6110839973305525E-2</v>
      </c>
      <c r="N894" s="7">
        <f t="shared" si="186"/>
        <v>1.6110839973305525E-2</v>
      </c>
      <c r="O894" s="7">
        <f t="shared" si="172"/>
        <v>0</v>
      </c>
      <c r="P894" s="6">
        <f t="shared" si="178"/>
        <v>4621593.4532318888</v>
      </c>
      <c r="Q894" s="6">
        <f t="shared" si="177"/>
        <v>21071139.00999999</v>
      </c>
      <c r="R894" s="4">
        <f t="shared" ca="1" si="182"/>
        <v>-604</v>
      </c>
      <c r="S894" s="6"/>
      <c r="T894" s="5"/>
      <c r="U894" s="30" t="str">
        <f t="shared" si="170"/>
        <v>PENDIENTE</v>
      </c>
    </row>
    <row r="895" spans="1:21" x14ac:dyDescent="0.25">
      <c r="A895" s="4" t="str">
        <f t="shared" si="171"/>
        <v>20266</v>
      </c>
      <c r="B895" s="4" t="s">
        <v>20</v>
      </c>
      <c r="C895" s="4" t="s">
        <v>25</v>
      </c>
      <c r="D895" s="29" t="s">
        <v>51</v>
      </c>
      <c r="E895" s="28">
        <v>46203</v>
      </c>
      <c r="F895" s="4">
        <f t="shared" si="183"/>
        <v>34</v>
      </c>
      <c r="G895" s="4">
        <f t="shared" si="181"/>
        <v>4</v>
      </c>
      <c r="H895" s="6">
        <v>4214225</v>
      </c>
      <c r="I895" s="6">
        <f t="shared" si="185"/>
        <v>339473.74864538526</v>
      </c>
      <c r="J895" s="6">
        <v>0</v>
      </c>
      <c r="K895" s="6">
        <v>0</v>
      </c>
      <c r="L895" s="6">
        <f t="shared" si="180"/>
        <v>0</v>
      </c>
      <c r="M895" s="7">
        <f t="shared" si="176"/>
        <v>1.6110839973305525E-2</v>
      </c>
      <c r="N895" s="7">
        <f t="shared" si="186"/>
        <v>1.6110839973305525E-2</v>
      </c>
      <c r="O895" s="7">
        <f t="shared" si="172"/>
        <v>0</v>
      </c>
      <c r="P895" s="6">
        <f t="shared" si="178"/>
        <v>4553698.7486453857</v>
      </c>
      <c r="Q895" s="6">
        <f t="shared" si="177"/>
        <v>16856914.00999999</v>
      </c>
      <c r="R895" s="4">
        <f t="shared" ca="1" si="182"/>
        <v>-635</v>
      </c>
      <c r="S895" s="6"/>
      <c r="T895" s="5"/>
      <c r="U895" s="30" t="str">
        <f t="shared" si="170"/>
        <v>PENDIENTE</v>
      </c>
    </row>
    <row r="896" spans="1:21" x14ac:dyDescent="0.25">
      <c r="A896" s="4" t="str">
        <f t="shared" si="171"/>
        <v>20267</v>
      </c>
      <c r="B896" s="4" t="s">
        <v>20</v>
      </c>
      <c r="C896" s="4" t="s">
        <v>25</v>
      </c>
      <c r="D896" s="29" t="s">
        <v>51</v>
      </c>
      <c r="E896" s="28">
        <v>46234</v>
      </c>
      <c r="F896" s="4">
        <f t="shared" si="183"/>
        <v>35</v>
      </c>
      <c r="G896" s="4">
        <f t="shared" si="181"/>
        <v>3</v>
      </c>
      <c r="H896" s="6">
        <v>4214225</v>
      </c>
      <c r="I896" s="6">
        <f t="shared" si="185"/>
        <v>271579.04405888176</v>
      </c>
      <c r="J896" s="6">
        <v>0</v>
      </c>
      <c r="K896" s="6">
        <v>0</v>
      </c>
      <c r="L896" s="6">
        <f t="shared" si="180"/>
        <v>0</v>
      </c>
      <c r="M896" s="7">
        <f t="shared" si="176"/>
        <v>1.6110839973305525E-2</v>
      </c>
      <c r="N896" s="7">
        <f t="shared" si="186"/>
        <v>1.6110839973305525E-2</v>
      </c>
      <c r="O896" s="7">
        <f t="shared" si="172"/>
        <v>0</v>
      </c>
      <c r="P896" s="6">
        <f t="shared" si="178"/>
        <v>4485804.0440588817</v>
      </c>
      <c r="Q896" s="6">
        <f t="shared" si="177"/>
        <v>12642689.00999999</v>
      </c>
      <c r="R896" s="4">
        <f t="shared" ca="1" si="182"/>
        <v>-665</v>
      </c>
      <c r="S896" s="6"/>
      <c r="T896" s="5"/>
      <c r="U896" s="30" t="str">
        <f t="shared" si="170"/>
        <v>PENDIENTE</v>
      </c>
    </row>
    <row r="897" spans="1:21" x14ac:dyDescent="0.25">
      <c r="A897" s="4" t="str">
        <f t="shared" si="171"/>
        <v>20268</v>
      </c>
      <c r="B897" s="4" t="s">
        <v>20</v>
      </c>
      <c r="C897" s="4" t="s">
        <v>25</v>
      </c>
      <c r="D897" s="29" t="s">
        <v>51</v>
      </c>
      <c r="E897" s="28">
        <v>46265</v>
      </c>
      <c r="F897" s="4">
        <f t="shared" si="183"/>
        <v>36</v>
      </c>
      <c r="G897" s="4">
        <f t="shared" si="181"/>
        <v>2</v>
      </c>
      <c r="H897" s="6">
        <v>4214225</v>
      </c>
      <c r="I897" s="6">
        <f t="shared" si="185"/>
        <v>203684.33947237828</v>
      </c>
      <c r="J897" s="6">
        <v>0</v>
      </c>
      <c r="K897" s="6">
        <v>0</v>
      </c>
      <c r="L897" s="6">
        <f t="shared" si="180"/>
        <v>0</v>
      </c>
      <c r="M897" s="7">
        <f t="shared" si="176"/>
        <v>1.6110839973305525E-2</v>
      </c>
      <c r="N897" s="7">
        <f t="shared" si="186"/>
        <v>1.6110839973305525E-2</v>
      </c>
      <c r="O897" s="7">
        <f t="shared" si="172"/>
        <v>0</v>
      </c>
      <c r="P897" s="6">
        <f t="shared" si="178"/>
        <v>4417909.3394723786</v>
      </c>
      <c r="Q897" s="6">
        <f t="shared" si="177"/>
        <v>8428464.0099999905</v>
      </c>
      <c r="R897" s="4">
        <f t="shared" ca="1" si="182"/>
        <v>-696</v>
      </c>
      <c r="S897" s="6"/>
      <c r="T897" s="5"/>
      <c r="U897" s="30" t="str">
        <f t="shared" si="170"/>
        <v>PENDIENTE</v>
      </c>
    </row>
    <row r="898" spans="1:21" x14ac:dyDescent="0.25">
      <c r="A898" s="4" t="str">
        <f t="shared" si="171"/>
        <v>20269</v>
      </c>
      <c r="B898" s="4" t="s">
        <v>20</v>
      </c>
      <c r="C898" s="4" t="s">
        <v>25</v>
      </c>
      <c r="D898" s="29" t="s">
        <v>51</v>
      </c>
      <c r="E898" s="28">
        <v>46295</v>
      </c>
      <c r="F898" s="4">
        <f t="shared" si="183"/>
        <v>37</v>
      </c>
      <c r="G898" s="4">
        <f t="shared" si="181"/>
        <v>1</v>
      </c>
      <c r="H898" s="6">
        <v>4214225</v>
      </c>
      <c r="I898" s="6">
        <f t="shared" si="185"/>
        <v>135789.63488587481</v>
      </c>
      <c r="J898" s="6">
        <v>0</v>
      </c>
      <c r="K898" s="6">
        <v>0</v>
      </c>
      <c r="L898" s="6">
        <f t="shared" si="180"/>
        <v>0</v>
      </c>
      <c r="M898" s="7">
        <f t="shared" si="176"/>
        <v>1.6110839973305525E-2</v>
      </c>
      <c r="N898" s="7">
        <f t="shared" si="186"/>
        <v>1.6110839973305525E-2</v>
      </c>
      <c r="O898" s="7">
        <f t="shared" si="172"/>
        <v>0</v>
      </c>
      <c r="P898" s="6">
        <f t="shared" si="178"/>
        <v>4350014.6348858746</v>
      </c>
      <c r="Q898" s="6">
        <f t="shared" si="177"/>
        <v>4214239.0099999905</v>
      </c>
      <c r="R898" s="4">
        <f t="shared" ca="1" si="182"/>
        <v>-727</v>
      </c>
      <c r="S898" s="6"/>
      <c r="T898" s="5"/>
      <c r="U898" s="30" t="str">
        <f t="shared" ref="U898:U961" si="187">IF(AND(S898="",T898=""),"PENDIENTE",IF(AND(S898&lt;&gt;"",T898&lt;&gt;""),"PAGADO","ABONADO"))</f>
        <v>PENDIENTE</v>
      </c>
    </row>
    <row r="899" spans="1:21" x14ac:dyDescent="0.25">
      <c r="A899" s="4" t="str">
        <f t="shared" ref="A899:A962" si="188">CONCATENATE(YEAR($E899),MONTH($E899))</f>
        <v>202610</v>
      </c>
      <c r="B899" s="4" t="s">
        <v>20</v>
      </c>
      <c r="C899" s="4" t="s">
        <v>25</v>
      </c>
      <c r="D899" s="29" t="s">
        <v>51</v>
      </c>
      <c r="E899" s="28">
        <v>46326</v>
      </c>
      <c r="F899" s="4">
        <f t="shared" si="183"/>
        <v>38</v>
      </c>
      <c r="G899" s="4">
        <f t="shared" si="181"/>
        <v>0</v>
      </c>
      <c r="H899" s="6">
        <v>4214225</v>
      </c>
      <c r="I899" s="6">
        <f t="shared" si="185"/>
        <v>67894.93029937135</v>
      </c>
      <c r="J899" s="6">
        <v>0</v>
      </c>
      <c r="K899" s="6">
        <v>0</v>
      </c>
      <c r="L899" s="6">
        <f t="shared" si="180"/>
        <v>0</v>
      </c>
      <c r="M899" s="7">
        <f t="shared" si="176"/>
        <v>1.6110839973305525E-2</v>
      </c>
      <c r="N899" s="7">
        <f t="shared" si="186"/>
        <v>1.6110839973305525E-2</v>
      </c>
      <c r="O899" s="7">
        <f t="shared" si="172"/>
        <v>0</v>
      </c>
      <c r="P899" s="6">
        <f t="shared" si="178"/>
        <v>4282119.9302993715</v>
      </c>
      <c r="Q899" s="6">
        <f t="shared" si="177"/>
        <v>14.009999990463257</v>
      </c>
      <c r="R899" s="4">
        <f t="shared" ca="1" si="182"/>
        <v>-757</v>
      </c>
      <c r="S899" s="6"/>
      <c r="T899" s="5"/>
      <c r="U899" s="30" t="str">
        <f t="shared" si="187"/>
        <v>PENDIENTE</v>
      </c>
    </row>
    <row r="900" spans="1:21" x14ac:dyDescent="0.25">
      <c r="A900" s="4" t="str">
        <f t="shared" si="188"/>
        <v>20238</v>
      </c>
      <c r="B900" s="4" t="s">
        <v>20</v>
      </c>
      <c r="C900" s="4" t="s">
        <v>25</v>
      </c>
      <c r="D900" s="29" t="s">
        <v>52</v>
      </c>
      <c r="E900" s="28">
        <v>45169</v>
      </c>
      <c r="F900" s="4">
        <v>0</v>
      </c>
      <c r="G900" s="4">
        <v>48</v>
      </c>
      <c r="H900" s="6">
        <v>0</v>
      </c>
      <c r="I900" s="6">
        <v>0</v>
      </c>
      <c r="J900" s="6">
        <v>0</v>
      </c>
      <c r="K900" s="6">
        <v>0</v>
      </c>
      <c r="L900" s="6">
        <f t="shared" si="180"/>
        <v>0</v>
      </c>
      <c r="M900" s="7">
        <f t="shared" si="176"/>
        <v>0</v>
      </c>
      <c r="N900" s="7">
        <f t="shared" si="186"/>
        <v>0</v>
      </c>
      <c r="O900" s="7">
        <v>0</v>
      </c>
      <c r="P900" s="6">
        <f t="shared" si="178"/>
        <v>0</v>
      </c>
      <c r="Q900" s="6">
        <v>118896350.55</v>
      </c>
      <c r="R900" s="4" t="s">
        <v>27</v>
      </c>
      <c r="S900" s="6">
        <v>0</v>
      </c>
      <c r="T900" s="5">
        <v>45169</v>
      </c>
      <c r="U900" s="30" t="str">
        <f t="shared" si="187"/>
        <v>PAGADO</v>
      </c>
    </row>
    <row r="901" spans="1:21" x14ac:dyDescent="0.25">
      <c r="A901" s="4" t="str">
        <f t="shared" si="188"/>
        <v>20239</v>
      </c>
      <c r="B901" s="4" t="s">
        <v>20</v>
      </c>
      <c r="C901" s="4" t="s">
        <v>25</v>
      </c>
      <c r="D901" s="29" t="s">
        <v>52</v>
      </c>
      <c r="E901" s="28">
        <v>45199</v>
      </c>
      <c r="F901" s="4">
        <f>F900+1</f>
        <v>1</v>
      </c>
      <c r="G901" s="4">
        <f t="shared" ref="G901:G948" si="189">G900-1</f>
        <v>47</v>
      </c>
      <c r="H901" s="6">
        <v>2467002</v>
      </c>
      <c r="I901" s="6">
        <v>2401182</v>
      </c>
      <c r="J901" s="6">
        <v>0</v>
      </c>
      <c r="K901" s="6">
        <v>0</v>
      </c>
      <c r="L901" s="6">
        <f t="shared" si="180"/>
        <v>0</v>
      </c>
      <c r="M901" s="7">
        <f t="shared" si="176"/>
        <v>2.0195590435639323E-2</v>
      </c>
      <c r="N901" s="7">
        <f t="shared" si="186"/>
        <v>2.0195590435639323E-2</v>
      </c>
      <c r="O901" s="7">
        <f t="shared" si="172"/>
        <v>0</v>
      </c>
      <c r="P901" s="6">
        <f t="shared" si="178"/>
        <v>4868184</v>
      </c>
      <c r="Q901" s="6">
        <f t="shared" si="177"/>
        <v>116429348.55</v>
      </c>
      <c r="R901" s="4" t="str">
        <f t="shared" ref="R901:R948" ca="1" si="190">IF(B900="","",IF(T900="",TODAY()-E900,IF(T901="",TODAY()-E901,"OK")))</f>
        <v>OK</v>
      </c>
      <c r="S901" s="6">
        <v>4868184</v>
      </c>
      <c r="T901" s="5">
        <v>45196</v>
      </c>
      <c r="U901" s="30" t="str">
        <f t="shared" si="187"/>
        <v>PAGADO</v>
      </c>
    </row>
    <row r="902" spans="1:21" x14ac:dyDescent="0.25">
      <c r="A902" s="4" t="str">
        <f t="shared" si="188"/>
        <v>202310</v>
      </c>
      <c r="B902" s="4" t="s">
        <v>20</v>
      </c>
      <c r="C902" s="4" t="s">
        <v>25</v>
      </c>
      <c r="D902" s="29" t="s">
        <v>52</v>
      </c>
      <c r="E902" s="28">
        <v>45230</v>
      </c>
      <c r="F902" s="4">
        <f t="shared" ref="F902:F948" si="191">F901+1</f>
        <v>2</v>
      </c>
      <c r="G902" s="4">
        <f t="shared" si="189"/>
        <v>46</v>
      </c>
      <c r="H902" s="6">
        <v>2467002</v>
      </c>
      <c r="I902" s="6">
        <v>2351359.438004097</v>
      </c>
      <c r="J902" s="6">
        <v>0</v>
      </c>
      <c r="K902" s="6">
        <v>0</v>
      </c>
      <c r="L902" s="6">
        <f t="shared" si="180"/>
        <v>0</v>
      </c>
      <c r="M902" s="7">
        <f t="shared" si="176"/>
        <v>2.0195590435639323E-2</v>
      </c>
      <c r="N902" s="7">
        <f t="shared" si="186"/>
        <v>2.0195590435639323E-2</v>
      </c>
      <c r="O902" s="7">
        <f t="shared" si="172"/>
        <v>0</v>
      </c>
      <c r="P902" s="6">
        <f t="shared" si="178"/>
        <v>4818361.438004097</v>
      </c>
      <c r="Q902" s="6">
        <f t="shared" si="177"/>
        <v>113962346.55</v>
      </c>
      <c r="R902" s="4" t="str">
        <f t="shared" ca="1" si="190"/>
        <v>OK</v>
      </c>
      <c r="S902" s="6">
        <v>5123938</v>
      </c>
      <c r="T902" s="5">
        <v>45230</v>
      </c>
      <c r="U902" s="30" t="str">
        <f t="shared" si="187"/>
        <v>PAGADO</v>
      </c>
    </row>
    <row r="903" spans="1:21" x14ac:dyDescent="0.25">
      <c r="A903" s="4" t="str">
        <f t="shared" si="188"/>
        <v>202311</v>
      </c>
      <c r="B903" s="4" t="s">
        <v>20</v>
      </c>
      <c r="C903" s="4" t="s">
        <v>25</v>
      </c>
      <c r="D903" s="29" t="s">
        <v>52</v>
      </c>
      <c r="E903" s="28">
        <v>45260</v>
      </c>
      <c r="F903" s="4">
        <f t="shared" si="191"/>
        <v>3</v>
      </c>
      <c r="G903" s="4">
        <f t="shared" si="189"/>
        <v>45</v>
      </c>
      <c r="H903" s="6">
        <v>2467002</v>
      </c>
      <c r="I903" s="6">
        <v>2296547</v>
      </c>
      <c r="J903" s="6">
        <v>0</v>
      </c>
      <c r="K903" s="6">
        <v>0</v>
      </c>
      <c r="L903" s="6">
        <f t="shared" si="180"/>
        <v>0</v>
      </c>
      <c r="M903" s="7">
        <f t="shared" si="176"/>
        <v>2.0151805131464275E-2</v>
      </c>
      <c r="N903" s="7">
        <f t="shared" si="186"/>
        <v>2.0151805131464275E-2</v>
      </c>
      <c r="O903" s="7">
        <f t="shared" ref="O903:O948" si="192">IF(N903="","",(N903/M903)-1)</f>
        <v>0</v>
      </c>
      <c r="P903" s="6">
        <f t="shared" si="178"/>
        <v>4763549</v>
      </c>
      <c r="Q903" s="6">
        <f t="shared" si="177"/>
        <v>111495344.55</v>
      </c>
      <c r="R903" s="4" t="str">
        <f t="shared" ca="1" si="190"/>
        <v>OK</v>
      </c>
      <c r="S903" s="6">
        <v>4763549</v>
      </c>
      <c r="T903" s="5">
        <v>45260</v>
      </c>
      <c r="U903" s="30" t="str">
        <f t="shared" si="187"/>
        <v>PAGADO</v>
      </c>
    </row>
    <row r="904" spans="1:21" x14ac:dyDescent="0.25">
      <c r="A904" s="4" t="str">
        <f t="shared" si="188"/>
        <v>202312</v>
      </c>
      <c r="B904" s="4" t="s">
        <v>20</v>
      </c>
      <c r="C904" s="4" t="s">
        <v>25</v>
      </c>
      <c r="D904" s="29" t="s">
        <v>52</v>
      </c>
      <c r="E904" s="28">
        <v>45291</v>
      </c>
      <c r="F904" s="4">
        <f t="shared" si="191"/>
        <v>4</v>
      </c>
      <c r="G904" s="4">
        <f t="shared" si="189"/>
        <v>44</v>
      </c>
      <c r="H904" s="6">
        <v>2467002</v>
      </c>
      <c r="I904" s="6">
        <v>2318539</v>
      </c>
      <c r="J904" s="6">
        <v>0</v>
      </c>
      <c r="K904" s="6">
        <v>0</v>
      </c>
      <c r="L904" s="6">
        <f t="shared" si="180"/>
        <v>0</v>
      </c>
      <c r="M904" s="7">
        <f t="shared" ref="M904:M948" si="193">I904/Q903</f>
        <v>2.0794939998236905E-2</v>
      </c>
      <c r="N904" s="7">
        <f t="shared" si="186"/>
        <v>2.0794939998236905E-2</v>
      </c>
      <c r="O904" s="7">
        <f t="shared" si="192"/>
        <v>0</v>
      </c>
      <c r="P904" s="6">
        <f t="shared" si="178"/>
        <v>4785541</v>
      </c>
      <c r="Q904" s="6">
        <f t="shared" ref="Q904:Q948" si="194">Q903-H904</f>
        <v>109028342.55</v>
      </c>
      <c r="R904" s="4" t="str">
        <f t="shared" ca="1" si="190"/>
        <v>OK</v>
      </c>
      <c r="S904" s="6">
        <v>4795540</v>
      </c>
      <c r="T904" s="5">
        <v>45296</v>
      </c>
      <c r="U904" s="30" t="str">
        <f t="shared" si="187"/>
        <v>PAGADO</v>
      </c>
    </row>
    <row r="905" spans="1:21" x14ac:dyDescent="0.25">
      <c r="A905" s="4" t="str">
        <f t="shared" si="188"/>
        <v>20241</v>
      </c>
      <c r="B905" s="4" t="s">
        <v>20</v>
      </c>
      <c r="C905" s="4" t="s">
        <v>25</v>
      </c>
      <c r="D905" s="29" t="s">
        <v>52</v>
      </c>
      <c r="E905" s="28">
        <v>45322</v>
      </c>
      <c r="F905" s="4">
        <f t="shared" si="191"/>
        <v>5</v>
      </c>
      <c r="G905" s="4">
        <f t="shared" si="189"/>
        <v>43</v>
      </c>
      <c r="H905" s="6">
        <v>2467002</v>
      </c>
      <c r="I905" s="6">
        <v>2201891.7520163879</v>
      </c>
      <c r="J905" s="6">
        <v>0</v>
      </c>
      <c r="K905" s="6">
        <v>0</v>
      </c>
      <c r="L905" s="6">
        <f t="shared" si="180"/>
        <v>0</v>
      </c>
      <c r="M905" s="7">
        <f t="shared" si="193"/>
        <v>2.0195590435639323E-2</v>
      </c>
      <c r="N905" s="7">
        <f t="shared" si="186"/>
        <v>2.0195590435639323E-2</v>
      </c>
      <c r="O905" s="7">
        <f t="shared" si="192"/>
        <v>0</v>
      </c>
      <c r="P905" s="6">
        <f t="shared" si="178"/>
        <v>4668893.7520163879</v>
      </c>
      <c r="Q905" s="6">
        <f t="shared" si="194"/>
        <v>106561340.55</v>
      </c>
      <c r="R905" s="4" t="str">
        <f t="shared" ca="1" si="190"/>
        <v>OK</v>
      </c>
      <c r="S905" s="6">
        <v>4712642</v>
      </c>
      <c r="T905" s="5">
        <v>45322</v>
      </c>
      <c r="U905" s="30" t="str">
        <f t="shared" si="187"/>
        <v>PAGADO</v>
      </c>
    </row>
    <row r="906" spans="1:21" x14ac:dyDescent="0.25">
      <c r="A906" s="4" t="str">
        <f t="shared" si="188"/>
        <v>20242</v>
      </c>
      <c r="B906" s="4" t="s">
        <v>20</v>
      </c>
      <c r="C906" s="4" t="s">
        <v>25</v>
      </c>
      <c r="D906" s="29" t="s">
        <v>52</v>
      </c>
      <c r="E906" s="28">
        <v>45351</v>
      </c>
      <c r="F906" s="4">
        <f t="shared" si="191"/>
        <v>6</v>
      </c>
      <c r="G906" s="4">
        <f t="shared" si="189"/>
        <v>42</v>
      </c>
      <c r="H906" s="6">
        <v>2467002</v>
      </c>
      <c r="I906" s="6">
        <f>4494930-H906</f>
        <v>2027928</v>
      </c>
      <c r="J906" s="6">
        <v>0</v>
      </c>
      <c r="K906" s="6">
        <v>0</v>
      </c>
      <c r="L906" s="6">
        <f t="shared" si="180"/>
        <v>0</v>
      </c>
      <c r="M906" s="7">
        <f t="shared" si="193"/>
        <v>1.903061644620048E-2</v>
      </c>
      <c r="N906" s="7">
        <f t="shared" si="186"/>
        <v>1.903061644620048E-2</v>
      </c>
      <c r="O906" s="7">
        <f t="shared" si="192"/>
        <v>0</v>
      </c>
      <c r="P906" s="6">
        <f t="shared" ref="P906:P969" si="195">IFERROR(H906+I906+J906+K906+L906,"")</f>
        <v>4494930</v>
      </c>
      <c r="Q906" s="6">
        <f t="shared" si="194"/>
        <v>104094338.55</v>
      </c>
      <c r="R906" s="4" t="str">
        <f t="shared" ca="1" si="190"/>
        <v>OK</v>
      </c>
      <c r="S906" s="6">
        <v>4494930</v>
      </c>
      <c r="T906" s="5">
        <v>45351</v>
      </c>
      <c r="U906" s="30" t="str">
        <f t="shared" si="187"/>
        <v>PAGADO</v>
      </c>
    </row>
    <row r="907" spans="1:21" x14ac:dyDescent="0.25">
      <c r="A907" s="4" t="str">
        <f t="shared" si="188"/>
        <v>20243</v>
      </c>
      <c r="B907" s="4" t="s">
        <v>20</v>
      </c>
      <c r="C907" s="4" t="s">
        <v>25</v>
      </c>
      <c r="D907" s="29" t="s">
        <v>52</v>
      </c>
      <c r="E907" s="28">
        <v>45382</v>
      </c>
      <c r="F907" s="4">
        <f t="shared" si="191"/>
        <v>7</v>
      </c>
      <c r="G907" s="4">
        <f t="shared" si="189"/>
        <v>41</v>
      </c>
      <c r="H907" s="6">
        <v>2467002</v>
      </c>
      <c r="I907" s="6">
        <v>2102246.6280245814</v>
      </c>
      <c r="J907" s="6">
        <v>0</v>
      </c>
      <c r="K907" s="6">
        <v>0</v>
      </c>
      <c r="L907" s="6">
        <f t="shared" si="180"/>
        <v>0</v>
      </c>
      <c r="M907" s="7">
        <f t="shared" si="193"/>
        <v>2.0195590435639319E-2</v>
      </c>
      <c r="N907" s="7">
        <f t="shared" si="186"/>
        <v>2.0195590435639319E-2</v>
      </c>
      <c r="O907" s="7">
        <f t="shared" si="192"/>
        <v>0</v>
      </c>
      <c r="P907" s="6">
        <f t="shared" si="195"/>
        <v>4569248.6280245818</v>
      </c>
      <c r="Q907" s="6">
        <f t="shared" si="194"/>
        <v>101627336.55</v>
      </c>
      <c r="R907" s="4" t="str">
        <f t="shared" ca="1" si="190"/>
        <v>OK</v>
      </c>
      <c r="S907" s="6">
        <v>4587642</v>
      </c>
      <c r="T907" s="5">
        <v>45383</v>
      </c>
      <c r="U907" s="30" t="str">
        <f t="shared" si="187"/>
        <v>PAGADO</v>
      </c>
    </row>
    <row r="908" spans="1:21" x14ac:dyDescent="0.25">
      <c r="A908" s="4" t="str">
        <f t="shared" si="188"/>
        <v>20244</v>
      </c>
      <c r="B908" s="4" t="s">
        <v>20</v>
      </c>
      <c r="C908" s="4" t="s">
        <v>25</v>
      </c>
      <c r="D908" s="29" t="s">
        <v>52</v>
      </c>
      <c r="E908" s="28">
        <v>45412</v>
      </c>
      <c r="F908" s="4">
        <f t="shared" si="191"/>
        <v>8</v>
      </c>
      <c r="G908" s="4">
        <f t="shared" si="189"/>
        <v>40</v>
      </c>
      <c r="H908" s="6">
        <v>2467002</v>
      </c>
      <c r="I908" s="6">
        <v>2052424.0660286786</v>
      </c>
      <c r="J908" s="6">
        <v>0</v>
      </c>
      <c r="K908" s="6">
        <v>0</v>
      </c>
      <c r="L908" s="6">
        <f t="shared" si="180"/>
        <v>0</v>
      </c>
      <c r="M908" s="7">
        <f t="shared" si="193"/>
        <v>2.0195590435639323E-2</v>
      </c>
      <c r="N908" s="7">
        <f t="shared" si="186"/>
        <v>2.0195590435639323E-2</v>
      </c>
      <c r="O908" s="7">
        <f t="shared" si="192"/>
        <v>0</v>
      </c>
      <c r="P908" s="6">
        <f t="shared" si="195"/>
        <v>4519426.0660286788</v>
      </c>
      <c r="Q908" s="6">
        <f t="shared" si="194"/>
        <v>99160334.549999997</v>
      </c>
      <c r="R908" s="4" t="str">
        <f t="shared" ca="1" si="190"/>
        <v>OK</v>
      </c>
      <c r="S908" s="6">
        <v>4438220</v>
      </c>
      <c r="T908" s="5">
        <v>45412</v>
      </c>
      <c r="U908" s="30" t="str">
        <f t="shared" si="187"/>
        <v>PAGADO</v>
      </c>
    </row>
    <row r="909" spans="1:21" x14ac:dyDescent="0.25">
      <c r="A909" s="4" t="str">
        <f t="shared" si="188"/>
        <v>20245</v>
      </c>
      <c r="B909" s="4" t="s">
        <v>20</v>
      </c>
      <c r="C909" s="4" t="s">
        <v>25</v>
      </c>
      <c r="D909" s="29" t="s">
        <v>52</v>
      </c>
      <c r="E909" s="28">
        <v>45443</v>
      </c>
      <c r="F909" s="4">
        <f t="shared" si="191"/>
        <v>9</v>
      </c>
      <c r="G909" s="4">
        <f t="shared" si="189"/>
        <v>39</v>
      </c>
      <c r="H909" s="6">
        <v>2467002</v>
      </c>
      <c r="I909" s="6">
        <v>2002601.5040327755</v>
      </c>
      <c r="J909" s="6">
        <v>0</v>
      </c>
      <c r="K909" s="6">
        <v>0</v>
      </c>
      <c r="L909" s="6">
        <f t="shared" si="180"/>
        <v>81206.06602867879</v>
      </c>
      <c r="M909" s="7">
        <f t="shared" si="193"/>
        <v>2.0195590435639323E-2</v>
      </c>
      <c r="N909" s="7">
        <f t="shared" si="186"/>
        <v>2.0195590435639323E-2</v>
      </c>
      <c r="O909" s="7">
        <f t="shared" si="192"/>
        <v>0</v>
      </c>
      <c r="P909" s="6">
        <f t="shared" si="195"/>
        <v>4550809.5700614545</v>
      </c>
      <c r="Q909" s="6">
        <f t="shared" si="194"/>
        <v>96693332.549999997</v>
      </c>
      <c r="R909" s="4" t="str">
        <f t="shared" ca="1" si="190"/>
        <v>OK</v>
      </c>
      <c r="S909" s="6">
        <f>1390498+3041920</f>
        <v>4432418</v>
      </c>
      <c r="T909" s="5">
        <v>45450</v>
      </c>
      <c r="U909" s="30" t="str">
        <f t="shared" si="187"/>
        <v>PAGADO</v>
      </c>
    </row>
    <row r="910" spans="1:21" x14ac:dyDescent="0.25">
      <c r="A910" s="4" t="str">
        <f t="shared" si="188"/>
        <v>20246</v>
      </c>
      <c r="B910" s="4" t="s">
        <v>20</v>
      </c>
      <c r="C910" s="4" t="s">
        <v>25</v>
      </c>
      <c r="D910" s="29" t="s">
        <v>52</v>
      </c>
      <c r="E910" s="28">
        <v>45473</v>
      </c>
      <c r="F910" s="4">
        <f t="shared" si="191"/>
        <v>10</v>
      </c>
      <c r="G910" s="4">
        <f t="shared" si="189"/>
        <v>38</v>
      </c>
      <c r="H910" s="6">
        <v>2467002</v>
      </c>
      <c r="I910" s="6">
        <v>1952778.9420368723</v>
      </c>
      <c r="J910" s="6">
        <v>0</v>
      </c>
      <c r="K910" s="6">
        <v>0</v>
      </c>
      <c r="L910" s="6">
        <f t="shared" si="180"/>
        <v>118391.57006145455</v>
      </c>
      <c r="M910" s="7">
        <f t="shared" si="193"/>
        <v>2.0195590435639323E-2</v>
      </c>
      <c r="N910" s="7">
        <f t="shared" si="186"/>
        <v>2.0195590435639323E-2</v>
      </c>
      <c r="O910" s="7">
        <f t="shared" si="192"/>
        <v>0</v>
      </c>
      <c r="P910" s="6">
        <f t="shared" si="195"/>
        <v>4538172.5120983273</v>
      </c>
      <c r="Q910" s="6">
        <f t="shared" si="194"/>
        <v>94226330.549999997</v>
      </c>
      <c r="R910" s="4" t="str">
        <f t="shared" ca="1" si="190"/>
        <v>OK</v>
      </c>
      <c r="S910" s="6">
        <v>4332174</v>
      </c>
      <c r="T910" s="5">
        <v>45488</v>
      </c>
      <c r="U910" s="30" t="str">
        <f t="shared" si="187"/>
        <v>PAGADO</v>
      </c>
    </row>
    <row r="911" spans="1:21" x14ac:dyDescent="0.25">
      <c r="A911" s="4" t="str">
        <f t="shared" si="188"/>
        <v>20247</v>
      </c>
      <c r="B911" s="4" t="s">
        <v>20</v>
      </c>
      <c r="C911" s="4" t="s">
        <v>25</v>
      </c>
      <c r="D911" s="29" t="s">
        <v>52</v>
      </c>
      <c r="E911" s="28">
        <v>45504</v>
      </c>
      <c r="F911" s="4">
        <f t="shared" si="191"/>
        <v>11</v>
      </c>
      <c r="G911" s="4">
        <f t="shared" si="189"/>
        <v>37</v>
      </c>
      <c r="H911" s="6">
        <v>2467002</v>
      </c>
      <c r="I911" s="6">
        <v>1902956.3800409692</v>
      </c>
      <c r="J911" s="6">
        <v>0</v>
      </c>
      <c r="K911" s="6">
        <v>0</v>
      </c>
      <c r="L911" s="6">
        <f t="shared" si="180"/>
        <v>205998.51209832728</v>
      </c>
      <c r="M911" s="7">
        <f t="shared" si="193"/>
        <v>2.0195590435639323E-2</v>
      </c>
      <c r="N911" s="7">
        <f t="shared" si="186"/>
        <v>2.0195590435639323E-2</v>
      </c>
      <c r="O911" s="7">
        <f t="shared" si="192"/>
        <v>0</v>
      </c>
      <c r="P911" s="6">
        <f t="shared" si="195"/>
        <v>4575956.892139297</v>
      </c>
      <c r="Q911" s="6">
        <f t="shared" si="194"/>
        <v>91759328.549999997</v>
      </c>
      <c r="R911" s="4" t="str">
        <f t="shared" ca="1" si="190"/>
        <v>OK</v>
      </c>
      <c r="S911" s="6">
        <v>4320904</v>
      </c>
      <c r="T911" s="5">
        <v>45524</v>
      </c>
      <c r="U911" s="30" t="str">
        <f t="shared" si="187"/>
        <v>PAGADO</v>
      </c>
    </row>
    <row r="912" spans="1:21" x14ac:dyDescent="0.25">
      <c r="A912" s="4" t="str">
        <f t="shared" si="188"/>
        <v>20248</v>
      </c>
      <c r="B912" s="4" t="s">
        <v>20</v>
      </c>
      <c r="C912" s="4" t="s">
        <v>25</v>
      </c>
      <c r="D912" s="29" t="s">
        <v>52</v>
      </c>
      <c r="E912" s="28">
        <v>45535</v>
      </c>
      <c r="F912" s="4">
        <f t="shared" si="191"/>
        <v>12</v>
      </c>
      <c r="G912" s="4">
        <f t="shared" si="189"/>
        <v>36</v>
      </c>
      <c r="H912" s="6">
        <v>2467002</v>
      </c>
      <c r="I912" s="6">
        <v>1853133.8180450662</v>
      </c>
      <c r="J912" s="6">
        <v>0</v>
      </c>
      <c r="K912" s="6">
        <v>0</v>
      </c>
      <c r="L912" s="6">
        <f t="shared" si="180"/>
        <v>255052.89213929698</v>
      </c>
      <c r="M912" s="7">
        <f t="shared" si="193"/>
        <v>2.0195590435639323E-2</v>
      </c>
      <c r="N912" s="7">
        <f t="shared" si="186"/>
        <v>2.0195590435639323E-2</v>
      </c>
      <c r="O912" s="7">
        <f t="shared" si="192"/>
        <v>0</v>
      </c>
      <c r="P912" s="6">
        <f t="shared" si="195"/>
        <v>4575188.7101843636</v>
      </c>
      <c r="Q912" s="6">
        <f t="shared" si="194"/>
        <v>89292326.549999997</v>
      </c>
      <c r="R912" s="4">
        <f t="shared" ca="1" si="190"/>
        <v>3</v>
      </c>
      <c r="S912" s="6"/>
      <c r="T912" s="5"/>
      <c r="U912" s="30" t="str">
        <f t="shared" si="187"/>
        <v>PENDIENTE</v>
      </c>
    </row>
    <row r="913" spans="1:21" x14ac:dyDescent="0.25">
      <c r="A913" s="4" t="str">
        <f t="shared" si="188"/>
        <v>20249</v>
      </c>
      <c r="B913" s="4" t="s">
        <v>20</v>
      </c>
      <c r="C913" s="4" t="s">
        <v>25</v>
      </c>
      <c r="D913" s="29" t="s">
        <v>52</v>
      </c>
      <c r="E913" s="28">
        <v>45565</v>
      </c>
      <c r="F913" s="4">
        <f t="shared" si="191"/>
        <v>13</v>
      </c>
      <c r="G913" s="4">
        <f t="shared" si="189"/>
        <v>35</v>
      </c>
      <c r="H913" s="6">
        <v>2467002</v>
      </c>
      <c r="I913" s="6">
        <v>1803311.2560491632</v>
      </c>
      <c r="J913" s="6">
        <v>0</v>
      </c>
      <c r="K913" s="6">
        <v>0</v>
      </c>
      <c r="L913" s="6">
        <f t="shared" si="180"/>
        <v>0</v>
      </c>
      <c r="M913" s="7">
        <f t="shared" si="193"/>
        <v>2.0195590435639323E-2</v>
      </c>
      <c r="N913" s="7">
        <f t="shared" si="186"/>
        <v>2.0195590435639323E-2</v>
      </c>
      <c r="O913" s="7">
        <f t="shared" si="192"/>
        <v>0</v>
      </c>
      <c r="P913" s="6">
        <f t="shared" si="195"/>
        <v>4270313.2560491636</v>
      </c>
      <c r="Q913" s="6">
        <f t="shared" si="194"/>
        <v>86825324.549999997</v>
      </c>
      <c r="R913" s="4">
        <f t="shared" ca="1" si="190"/>
        <v>3</v>
      </c>
      <c r="S913" s="6"/>
      <c r="T913" s="5"/>
      <c r="U913" s="30" t="str">
        <f t="shared" si="187"/>
        <v>PENDIENTE</v>
      </c>
    </row>
    <row r="914" spans="1:21" x14ac:dyDescent="0.25">
      <c r="A914" s="4" t="str">
        <f t="shared" si="188"/>
        <v>202410</v>
      </c>
      <c r="B914" s="4" t="s">
        <v>20</v>
      </c>
      <c r="C914" s="4" t="s">
        <v>25</v>
      </c>
      <c r="D914" s="29" t="s">
        <v>52</v>
      </c>
      <c r="E914" s="28">
        <v>45596</v>
      </c>
      <c r="F914" s="4">
        <f t="shared" si="191"/>
        <v>14</v>
      </c>
      <c r="G914" s="4">
        <f t="shared" si="189"/>
        <v>34</v>
      </c>
      <c r="H914" s="6">
        <v>2467002</v>
      </c>
      <c r="I914" s="6">
        <v>1753488.6940532599</v>
      </c>
      <c r="J914" s="6">
        <v>0</v>
      </c>
      <c r="K914" s="6">
        <v>0</v>
      </c>
      <c r="L914" s="6">
        <f t="shared" si="180"/>
        <v>0</v>
      </c>
      <c r="M914" s="7">
        <f t="shared" si="193"/>
        <v>2.0195590435639323E-2</v>
      </c>
      <c r="N914" s="7">
        <f t="shared" si="186"/>
        <v>2.0195590435639323E-2</v>
      </c>
      <c r="O914" s="7">
        <f t="shared" si="192"/>
        <v>0</v>
      </c>
      <c r="P914" s="6">
        <f t="shared" si="195"/>
        <v>4220490.6940532597</v>
      </c>
      <c r="Q914" s="6">
        <f t="shared" si="194"/>
        <v>84358322.549999997</v>
      </c>
      <c r="R914" s="4">
        <f t="shared" ca="1" si="190"/>
        <v>-27</v>
      </c>
      <c r="S914" s="6"/>
      <c r="T914" s="5"/>
      <c r="U914" s="30" t="str">
        <f t="shared" si="187"/>
        <v>PENDIENTE</v>
      </c>
    </row>
    <row r="915" spans="1:21" x14ac:dyDescent="0.25">
      <c r="A915" s="4" t="str">
        <f t="shared" si="188"/>
        <v>202411</v>
      </c>
      <c r="B915" s="4" t="s">
        <v>20</v>
      </c>
      <c r="C915" s="4" t="s">
        <v>25</v>
      </c>
      <c r="D915" s="29" t="s">
        <v>52</v>
      </c>
      <c r="E915" s="28">
        <v>45626</v>
      </c>
      <c r="F915" s="4">
        <f t="shared" si="191"/>
        <v>15</v>
      </c>
      <c r="G915" s="4">
        <f t="shared" si="189"/>
        <v>33</v>
      </c>
      <c r="H915" s="6">
        <v>2467002</v>
      </c>
      <c r="I915" s="6">
        <v>1703666.1320573569</v>
      </c>
      <c r="J915" s="6">
        <v>0</v>
      </c>
      <c r="K915" s="6">
        <v>0</v>
      </c>
      <c r="L915" s="6">
        <f t="shared" si="180"/>
        <v>0</v>
      </c>
      <c r="M915" s="7">
        <f t="shared" si="193"/>
        <v>2.0195590435639323E-2</v>
      </c>
      <c r="N915" s="7">
        <f t="shared" si="186"/>
        <v>2.0195590435639323E-2</v>
      </c>
      <c r="O915" s="7">
        <f t="shared" si="192"/>
        <v>0</v>
      </c>
      <c r="P915" s="6">
        <f t="shared" si="195"/>
        <v>4170668.1320573566</v>
      </c>
      <c r="Q915" s="6">
        <f t="shared" si="194"/>
        <v>81891320.549999997</v>
      </c>
      <c r="R915" s="4">
        <f t="shared" ca="1" si="190"/>
        <v>-58</v>
      </c>
      <c r="S915" s="6"/>
      <c r="T915" s="5"/>
      <c r="U915" s="30" t="str">
        <f t="shared" si="187"/>
        <v>PENDIENTE</v>
      </c>
    </row>
    <row r="916" spans="1:21" x14ac:dyDescent="0.25">
      <c r="A916" s="4" t="str">
        <f t="shared" si="188"/>
        <v>202412</v>
      </c>
      <c r="B916" s="4" t="s">
        <v>20</v>
      </c>
      <c r="C916" s="4" t="s">
        <v>25</v>
      </c>
      <c r="D916" s="29" t="s">
        <v>52</v>
      </c>
      <c r="E916" s="28">
        <v>45657</v>
      </c>
      <c r="F916" s="4">
        <f t="shared" si="191"/>
        <v>16</v>
      </c>
      <c r="G916" s="4">
        <f t="shared" si="189"/>
        <v>32</v>
      </c>
      <c r="H916" s="6">
        <v>2467002</v>
      </c>
      <c r="I916" s="6">
        <v>1653843.5700614539</v>
      </c>
      <c r="J916" s="6">
        <v>0</v>
      </c>
      <c r="K916" s="6">
        <v>0</v>
      </c>
      <c r="L916" s="6">
        <f t="shared" si="180"/>
        <v>0</v>
      </c>
      <c r="M916" s="7">
        <f t="shared" si="193"/>
        <v>2.0195590435639323E-2</v>
      </c>
      <c r="N916" s="7">
        <f t="shared" si="186"/>
        <v>2.0195590435639323E-2</v>
      </c>
      <c r="O916" s="7">
        <f t="shared" si="192"/>
        <v>0</v>
      </c>
      <c r="P916" s="6">
        <f t="shared" si="195"/>
        <v>4120845.5700614536</v>
      </c>
      <c r="Q916" s="6">
        <f t="shared" si="194"/>
        <v>79424318.549999997</v>
      </c>
      <c r="R916" s="4">
        <f t="shared" ca="1" si="190"/>
        <v>-88</v>
      </c>
      <c r="S916" s="6"/>
      <c r="T916" s="5"/>
      <c r="U916" s="30" t="str">
        <f t="shared" si="187"/>
        <v>PENDIENTE</v>
      </c>
    </row>
    <row r="917" spans="1:21" x14ac:dyDescent="0.25">
      <c r="A917" s="4" t="str">
        <f t="shared" si="188"/>
        <v>20251</v>
      </c>
      <c r="B917" s="4" t="s">
        <v>20</v>
      </c>
      <c r="C917" s="4" t="s">
        <v>25</v>
      </c>
      <c r="D917" s="29" t="s">
        <v>52</v>
      </c>
      <c r="E917" s="28">
        <v>45688</v>
      </c>
      <c r="F917" s="4">
        <f t="shared" si="191"/>
        <v>17</v>
      </c>
      <c r="G917" s="4">
        <f t="shared" si="189"/>
        <v>31</v>
      </c>
      <c r="H917" s="6">
        <v>2467002</v>
      </c>
      <c r="I917" s="6">
        <v>1604021.0080655508</v>
      </c>
      <c r="J917" s="6">
        <v>0</v>
      </c>
      <c r="K917" s="6">
        <v>0</v>
      </c>
      <c r="L917" s="6">
        <f t="shared" ref="L917:L980" si="196">IF(S916="",0,IF(S916&lt;=P916,P916-S916,0))</f>
        <v>0</v>
      </c>
      <c r="M917" s="7">
        <f t="shared" si="193"/>
        <v>2.0195590435639323E-2</v>
      </c>
      <c r="N917" s="7">
        <f t="shared" si="186"/>
        <v>2.0195590435639323E-2</v>
      </c>
      <c r="O917" s="7">
        <f t="shared" si="192"/>
        <v>0</v>
      </c>
      <c r="P917" s="6">
        <f t="shared" si="195"/>
        <v>4071023.0080655506</v>
      </c>
      <c r="Q917" s="6">
        <f t="shared" si="194"/>
        <v>76957316.549999997</v>
      </c>
      <c r="R917" s="4">
        <f t="shared" ca="1" si="190"/>
        <v>-119</v>
      </c>
      <c r="S917" s="6"/>
      <c r="T917" s="5"/>
      <c r="U917" s="30" t="str">
        <f t="shared" si="187"/>
        <v>PENDIENTE</v>
      </c>
    </row>
    <row r="918" spans="1:21" x14ac:dyDescent="0.25">
      <c r="A918" s="4" t="str">
        <f t="shared" si="188"/>
        <v>20252</v>
      </c>
      <c r="B918" s="4" t="s">
        <v>20</v>
      </c>
      <c r="C918" s="4" t="s">
        <v>25</v>
      </c>
      <c r="D918" s="29" t="s">
        <v>52</v>
      </c>
      <c r="E918" s="28">
        <v>45716</v>
      </c>
      <c r="F918" s="4">
        <f t="shared" si="191"/>
        <v>18</v>
      </c>
      <c r="G918" s="4">
        <f t="shared" si="189"/>
        <v>30</v>
      </c>
      <c r="H918" s="6">
        <v>2467002</v>
      </c>
      <c r="I918" s="6">
        <v>1554198.4460696478</v>
      </c>
      <c r="J918" s="6">
        <v>0</v>
      </c>
      <c r="K918" s="6">
        <v>0</v>
      </c>
      <c r="L918" s="6">
        <f t="shared" si="196"/>
        <v>0</v>
      </c>
      <c r="M918" s="7">
        <f t="shared" si="193"/>
        <v>2.0195590435639323E-2</v>
      </c>
      <c r="N918" s="7">
        <f t="shared" si="186"/>
        <v>2.0195590435639323E-2</v>
      </c>
      <c r="O918" s="7">
        <f t="shared" si="192"/>
        <v>0</v>
      </c>
      <c r="P918" s="6">
        <f t="shared" si="195"/>
        <v>4021200.4460696476</v>
      </c>
      <c r="Q918" s="6">
        <f t="shared" si="194"/>
        <v>74490314.549999997</v>
      </c>
      <c r="R918" s="4">
        <f t="shared" ca="1" si="190"/>
        <v>-150</v>
      </c>
      <c r="S918" s="6"/>
      <c r="T918" s="5"/>
      <c r="U918" s="30" t="str">
        <f t="shared" si="187"/>
        <v>PENDIENTE</v>
      </c>
    </row>
    <row r="919" spans="1:21" x14ac:dyDescent="0.25">
      <c r="A919" s="4" t="str">
        <f t="shared" si="188"/>
        <v>20253</v>
      </c>
      <c r="B919" s="4" t="s">
        <v>20</v>
      </c>
      <c r="C919" s="4" t="s">
        <v>25</v>
      </c>
      <c r="D919" s="29" t="s">
        <v>52</v>
      </c>
      <c r="E919" s="28">
        <v>45747</v>
      </c>
      <c r="F919" s="4">
        <f t="shared" si="191"/>
        <v>19</v>
      </c>
      <c r="G919" s="4">
        <f t="shared" si="189"/>
        <v>29</v>
      </c>
      <c r="H919" s="6">
        <v>2467002</v>
      </c>
      <c r="I919" s="6">
        <v>1504375.8840737445</v>
      </c>
      <c r="J919" s="6">
        <v>0</v>
      </c>
      <c r="K919" s="6">
        <v>0</v>
      </c>
      <c r="L919" s="6">
        <f t="shared" si="196"/>
        <v>0</v>
      </c>
      <c r="M919" s="7">
        <f t="shared" si="193"/>
        <v>2.0195590435639323E-2</v>
      </c>
      <c r="N919" s="7">
        <f t="shared" si="186"/>
        <v>2.0195590435639323E-2</v>
      </c>
      <c r="O919" s="7">
        <f t="shared" si="192"/>
        <v>0</v>
      </c>
      <c r="P919" s="6">
        <f t="shared" si="195"/>
        <v>3971377.8840737445</v>
      </c>
      <c r="Q919" s="6">
        <f t="shared" si="194"/>
        <v>72023312.549999997</v>
      </c>
      <c r="R919" s="4">
        <f t="shared" ca="1" si="190"/>
        <v>-178</v>
      </c>
      <c r="S919" s="6"/>
      <c r="T919" s="5"/>
      <c r="U919" s="30" t="str">
        <f t="shared" si="187"/>
        <v>PENDIENTE</v>
      </c>
    </row>
    <row r="920" spans="1:21" x14ac:dyDescent="0.25">
      <c r="A920" s="4" t="str">
        <f t="shared" si="188"/>
        <v>20254</v>
      </c>
      <c r="B920" s="4" t="s">
        <v>20</v>
      </c>
      <c r="C920" s="4" t="s">
        <v>25</v>
      </c>
      <c r="D920" s="29" t="s">
        <v>52</v>
      </c>
      <c r="E920" s="28">
        <v>45777</v>
      </c>
      <c r="F920" s="4">
        <f t="shared" si="191"/>
        <v>20</v>
      </c>
      <c r="G920" s="4">
        <f t="shared" si="189"/>
        <v>28</v>
      </c>
      <c r="H920" s="6">
        <v>2467002</v>
      </c>
      <c r="I920" s="6">
        <v>1454553.3220778415</v>
      </c>
      <c r="J920" s="6">
        <v>0</v>
      </c>
      <c r="K920" s="6">
        <v>0</v>
      </c>
      <c r="L920" s="6">
        <f t="shared" si="196"/>
        <v>0</v>
      </c>
      <c r="M920" s="7">
        <f t="shared" si="193"/>
        <v>2.0195590435639323E-2</v>
      </c>
      <c r="N920" s="7">
        <f t="shared" si="186"/>
        <v>2.0195590435639323E-2</v>
      </c>
      <c r="O920" s="7">
        <f t="shared" si="192"/>
        <v>0</v>
      </c>
      <c r="P920" s="6">
        <f t="shared" si="195"/>
        <v>3921555.3220778415</v>
      </c>
      <c r="Q920" s="6">
        <f t="shared" si="194"/>
        <v>69556310.549999997</v>
      </c>
      <c r="R920" s="4">
        <f t="shared" ca="1" si="190"/>
        <v>-209</v>
      </c>
      <c r="S920" s="6"/>
      <c r="T920" s="5"/>
      <c r="U920" s="30" t="str">
        <f t="shared" si="187"/>
        <v>PENDIENTE</v>
      </c>
    </row>
    <row r="921" spans="1:21" x14ac:dyDescent="0.25">
      <c r="A921" s="4" t="str">
        <f t="shared" si="188"/>
        <v>20255</v>
      </c>
      <c r="B921" s="4" t="s">
        <v>20</v>
      </c>
      <c r="C921" s="4" t="s">
        <v>25</v>
      </c>
      <c r="D921" s="29" t="s">
        <v>52</v>
      </c>
      <c r="E921" s="28">
        <v>45808</v>
      </c>
      <c r="F921" s="4">
        <f t="shared" si="191"/>
        <v>21</v>
      </c>
      <c r="G921" s="4">
        <f t="shared" si="189"/>
        <v>27</v>
      </c>
      <c r="H921" s="6">
        <v>2467002</v>
      </c>
      <c r="I921" s="6">
        <v>1404730.7600819385</v>
      </c>
      <c r="J921" s="6">
        <v>0</v>
      </c>
      <c r="K921" s="6">
        <v>0</v>
      </c>
      <c r="L921" s="6">
        <f t="shared" si="196"/>
        <v>0</v>
      </c>
      <c r="M921" s="7">
        <f t="shared" si="193"/>
        <v>2.0195590435639323E-2</v>
      </c>
      <c r="N921" s="7">
        <f t="shared" si="186"/>
        <v>2.0195590435639323E-2</v>
      </c>
      <c r="O921" s="7">
        <f t="shared" si="192"/>
        <v>0</v>
      </c>
      <c r="P921" s="6">
        <f t="shared" si="195"/>
        <v>3871732.7600819385</v>
      </c>
      <c r="Q921" s="6">
        <f t="shared" si="194"/>
        <v>67089308.549999997</v>
      </c>
      <c r="R921" s="4">
        <f t="shared" ca="1" si="190"/>
        <v>-239</v>
      </c>
      <c r="S921" s="6"/>
      <c r="T921" s="5"/>
      <c r="U921" s="30" t="str">
        <f t="shared" si="187"/>
        <v>PENDIENTE</v>
      </c>
    </row>
    <row r="922" spans="1:21" x14ac:dyDescent="0.25">
      <c r="A922" s="4" t="str">
        <f t="shared" si="188"/>
        <v>20256</v>
      </c>
      <c r="B922" s="4" t="s">
        <v>20</v>
      </c>
      <c r="C922" s="4" t="s">
        <v>25</v>
      </c>
      <c r="D922" s="29" t="s">
        <v>52</v>
      </c>
      <c r="E922" s="28">
        <v>45838</v>
      </c>
      <c r="F922" s="4">
        <f t="shared" si="191"/>
        <v>22</v>
      </c>
      <c r="G922" s="4">
        <f t="shared" si="189"/>
        <v>26</v>
      </c>
      <c r="H922" s="6">
        <v>2467002</v>
      </c>
      <c r="I922" s="6">
        <v>1354908.1980860354</v>
      </c>
      <c r="J922" s="6">
        <v>0</v>
      </c>
      <c r="K922" s="6">
        <v>0</v>
      </c>
      <c r="L922" s="6">
        <f t="shared" si="196"/>
        <v>0</v>
      </c>
      <c r="M922" s="7">
        <f t="shared" si="193"/>
        <v>2.0195590435639323E-2</v>
      </c>
      <c r="N922" s="7">
        <f t="shared" si="186"/>
        <v>2.0195590435639323E-2</v>
      </c>
      <c r="O922" s="7">
        <f t="shared" si="192"/>
        <v>0</v>
      </c>
      <c r="P922" s="6">
        <f t="shared" si="195"/>
        <v>3821910.1980860354</v>
      </c>
      <c r="Q922" s="6">
        <f t="shared" si="194"/>
        <v>64622306.549999997</v>
      </c>
      <c r="R922" s="4">
        <f t="shared" ca="1" si="190"/>
        <v>-270</v>
      </c>
      <c r="S922" s="6"/>
      <c r="T922" s="5"/>
      <c r="U922" s="30" t="str">
        <f t="shared" si="187"/>
        <v>PENDIENTE</v>
      </c>
    </row>
    <row r="923" spans="1:21" x14ac:dyDescent="0.25">
      <c r="A923" s="4" t="str">
        <f t="shared" si="188"/>
        <v>20257</v>
      </c>
      <c r="B923" s="4" t="s">
        <v>20</v>
      </c>
      <c r="C923" s="4" t="s">
        <v>25</v>
      </c>
      <c r="D923" s="29" t="s">
        <v>52</v>
      </c>
      <c r="E923" s="28">
        <v>45869</v>
      </c>
      <c r="F923" s="4">
        <f t="shared" si="191"/>
        <v>23</v>
      </c>
      <c r="G923" s="4">
        <f t="shared" si="189"/>
        <v>25</v>
      </c>
      <c r="H923" s="6">
        <v>2467002</v>
      </c>
      <c r="I923" s="6">
        <v>1305085.6360901322</v>
      </c>
      <c r="J923" s="6">
        <v>0</v>
      </c>
      <c r="K923" s="6">
        <v>0</v>
      </c>
      <c r="L923" s="6">
        <f t="shared" si="196"/>
        <v>0</v>
      </c>
      <c r="M923" s="7">
        <f t="shared" si="193"/>
        <v>2.0195590435639319E-2</v>
      </c>
      <c r="N923" s="7">
        <f t="shared" si="186"/>
        <v>2.0195590435639319E-2</v>
      </c>
      <c r="O923" s="7">
        <f t="shared" si="192"/>
        <v>0</v>
      </c>
      <c r="P923" s="6">
        <f t="shared" si="195"/>
        <v>3772087.6360901324</v>
      </c>
      <c r="Q923" s="6">
        <f t="shared" si="194"/>
        <v>62155304.549999997</v>
      </c>
      <c r="R923" s="4">
        <f t="shared" ca="1" si="190"/>
        <v>-300</v>
      </c>
      <c r="S923" s="6"/>
      <c r="T923" s="5"/>
      <c r="U923" s="30" t="str">
        <f t="shared" si="187"/>
        <v>PENDIENTE</v>
      </c>
    </row>
    <row r="924" spans="1:21" x14ac:dyDescent="0.25">
      <c r="A924" s="4" t="str">
        <f t="shared" si="188"/>
        <v>20258</v>
      </c>
      <c r="B924" s="4" t="s">
        <v>20</v>
      </c>
      <c r="C924" s="4" t="s">
        <v>25</v>
      </c>
      <c r="D924" s="29" t="s">
        <v>52</v>
      </c>
      <c r="E924" s="28">
        <v>45900</v>
      </c>
      <c r="F924" s="4">
        <f t="shared" si="191"/>
        <v>24</v>
      </c>
      <c r="G924" s="4">
        <f t="shared" si="189"/>
        <v>24</v>
      </c>
      <c r="H924" s="6">
        <v>2467002</v>
      </c>
      <c r="I924" s="6">
        <v>1255263.0740942291</v>
      </c>
      <c r="J924" s="6">
        <v>0</v>
      </c>
      <c r="K924" s="6">
        <v>0</v>
      </c>
      <c r="L924" s="6">
        <f t="shared" si="196"/>
        <v>0</v>
      </c>
      <c r="M924" s="7">
        <f t="shared" si="193"/>
        <v>2.0195590435639323E-2</v>
      </c>
      <c r="N924" s="7">
        <f t="shared" si="186"/>
        <v>2.0195590435639323E-2</v>
      </c>
      <c r="O924" s="7">
        <f t="shared" si="192"/>
        <v>0</v>
      </c>
      <c r="P924" s="6">
        <f t="shared" si="195"/>
        <v>3722265.0740942294</v>
      </c>
      <c r="Q924" s="6">
        <f t="shared" si="194"/>
        <v>59688302.549999997</v>
      </c>
      <c r="R924" s="4">
        <f t="shared" ca="1" si="190"/>
        <v>-331</v>
      </c>
      <c r="S924" s="6"/>
      <c r="T924" s="5"/>
      <c r="U924" s="30" t="str">
        <f t="shared" si="187"/>
        <v>PENDIENTE</v>
      </c>
    </row>
    <row r="925" spans="1:21" x14ac:dyDescent="0.25">
      <c r="A925" s="4" t="str">
        <f t="shared" si="188"/>
        <v>20259</v>
      </c>
      <c r="B925" s="4" t="s">
        <v>20</v>
      </c>
      <c r="C925" s="4" t="s">
        <v>25</v>
      </c>
      <c r="D925" s="29" t="s">
        <v>52</v>
      </c>
      <c r="E925" s="28">
        <v>45930</v>
      </c>
      <c r="F925" s="4">
        <f t="shared" si="191"/>
        <v>25</v>
      </c>
      <c r="G925" s="4">
        <f t="shared" si="189"/>
        <v>23</v>
      </c>
      <c r="H925" s="6">
        <v>2467002</v>
      </c>
      <c r="I925" s="6">
        <v>1205440.5120983261</v>
      </c>
      <c r="J925" s="6">
        <v>0</v>
      </c>
      <c r="K925" s="6">
        <v>0</v>
      </c>
      <c r="L925" s="6">
        <f t="shared" si="196"/>
        <v>0</v>
      </c>
      <c r="M925" s="7">
        <f t="shared" si="193"/>
        <v>2.0195590435639323E-2</v>
      </c>
      <c r="N925" s="7">
        <f t="shared" si="186"/>
        <v>2.0195590435639323E-2</v>
      </c>
      <c r="O925" s="7">
        <f t="shared" si="192"/>
        <v>0</v>
      </c>
      <c r="P925" s="6">
        <f t="shared" si="195"/>
        <v>3672442.5120983263</v>
      </c>
      <c r="Q925" s="6">
        <f t="shared" si="194"/>
        <v>57221300.549999997</v>
      </c>
      <c r="R925" s="4">
        <f t="shared" ca="1" si="190"/>
        <v>-362</v>
      </c>
      <c r="S925" s="6"/>
      <c r="T925" s="5"/>
      <c r="U925" s="30" t="str">
        <f t="shared" si="187"/>
        <v>PENDIENTE</v>
      </c>
    </row>
    <row r="926" spans="1:21" x14ac:dyDescent="0.25">
      <c r="A926" s="4" t="str">
        <f t="shared" si="188"/>
        <v>202510</v>
      </c>
      <c r="B926" s="4" t="s">
        <v>20</v>
      </c>
      <c r="C926" s="4" t="s">
        <v>25</v>
      </c>
      <c r="D926" s="29" t="s">
        <v>52</v>
      </c>
      <c r="E926" s="28">
        <v>45961</v>
      </c>
      <c r="F926" s="4">
        <f t="shared" si="191"/>
        <v>26</v>
      </c>
      <c r="G926" s="4">
        <f t="shared" si="189"/>
        <v>22</v>
      </c>
      <c r="H926" s="6">
        <v>2467002</v>
      </c>
      <c r="I926" s="6">
        <v>1155617.9501024231</v>
      </c>
      <c r="J926" s="6">
        <v>0</v>
      </c>
      <c r="K926" s="6">
        <v>0</v>
      </c>
      <c r="L926" s="6">
        <f t="shared" si="196"/>
        <v>0</v>
      </c>
      <c r="M926" s="7">
        <f t="shared" si="193"/>
        <v>2.0195590435639323E-2</v>
      </c>
      <c r="N926" s="7">
        <f t="shared" si="186"/>
        <v>2.0195590435639323E-2</v>
      </c>
      <c r="O926" s="7">
        <f t="shared" si="192"/>
        <v>0</v>
      </c>
      <c r="P926" s="6">
        <f t="shared" si="195"/>
        <v>3622619.9501024233</v>
      </c>
      <c r="Q926" s="6">
        <f t="shared" si="194"/>
        <v>54754298.549999997</v>
      </c>
      <c r="R926" s="4">
        <f t="shared" ca="1" si="190"/>
        <v>-392</v>
      </c>
      <c r="S926" s="6"/>
      <c r="T926" s="5"/>
      <c r="U926" s="30" t="str">
        <f t="shared" si="187"/>
        <v>PENDIENTE</v>
      </c>
    </row>
    <row r="927" spans="1:21" x14ac:dyDescent="0.25">
      <c r="A927" s="4" t="str">
        <f t="shared" si="188"/>
        <v>202511</v>
      </c>
      <c r="B927" s="4" t="s">
        <v>20</v>
      </c>
      <c r="C927" s="4" t="s">
        <v>25</v>
      </c>
      <c r="D927" s="29" t="s">
        <v>52</v>
      </c>
      <c r="E927" s="28">
        <v>45991</v>
      </c>
      <c r="F927" s="4">
        <f t="shared" si="191"/>
        <v>27</v>
      </c>
      <c r="G927" s="4">
        <f t="shared" si="189"/>
        <v>21</v>
      </c>
      <c r="H927" s="6">
        <v>2467002</v>
      </c>
      <c r="I927" s="6">
        <v>1105795.3881065201</v>
      </c>
      <c r="J927" s="6">
        <v>0</v>
      </c>
      <c r="K927" s="6">
        <v>0</v>
      </c>
      <c r="L927" s="6">
        <f t="shared" si="196"/>
        <v>0</v>
      </c>
      <c r="M927" s="7">
        <f t="shared" si="193"/>
        <v>2.0195590435639323E-2</v>
      </c>
      <c r="N927" s="7">
        <f t="shared" si="186"/>
        <v>2.0195590435639323E-2</v>
      </c>
      <c r="O927" s="7">
        <f t="shared" si="192"/>
        <v>0</v>
      </c>
      <c r="P927" s="6">
        <f t="shared" si="195"/>
        <v>3572797.3881065203</v>
      </c>
      <c r="Q927" s="6">
        <f t="shared" si="194"/>
        <v>52287296.549999997</v>
      </c>
      <c r="R927" s="4">
        <f t="shared" ca="1" si="190"/>
        <v>-423</v>
      </c>
      <c r="S927" s="6"/>
      <c r="T927" s="5"/>
      <c r="U927" s="30" t="str">
        <f t="shared" si="187"/>
        <v>PENDIENTE</v>
      </c>
    </row>
    <row r="928" spans="1:21" x14ac:dyDescent="0.25">
      <c r="A928" s="4" t="str">
        <f t="shared" si="188"/>
        <v>202512</v>
      </c>
      <c r="B928" s="4" t="s">
        <v>20</v>
      </c>
      <c r="C928" s="4" t="s">
        <v>25</v>
      </c>
      <c r="D928" s="29" t="s">
        <v>52</v>
      </c>
      <c r="E928" s="28">
        <v>46022</v>
      </c>
      <c r="F928" s="4">
        <f t="shared" si="191"/>
        <v>28</v>
      </c>
      <c r="G928" s="4">
        <f t="shared" si="189"/>
        <v>20</v>
      </c>
      <c r="H928" s="6">
        <v>2467002</v>
      </c>
      <c r="I928" s="6">
        <v>1055972.8261106168</v>
      </c>
      <c r="J928" s="6">
        <v>0</v>
      </c>
      <c r="K928" s="6">
        <v>0</v>
      </c>
      <c r="L928" s="6">
        <f t="shared" si="196"/>
        <v>0</v>
      </c>
      <c r="M928" s="7">
        <f t="shared" si="193"/>
        <v>2.0195590435639319E-2</v>
      </c>
      <c r="N928" s="7">
        <f t="shared" si="186"/>
        <v>2.0195590435639319E-2</v>
      </c>
      <c r="O928" s="7">
        <f t="shared" si="192"/>
        <v>0</v>
      </c>
      <c r="P928" s="6">
        <f t="shared" si="195"/>
        <v>3522974.8261106168</v>
      </c>
      <c r="Q928" s="6">
        <f t="shared" si="194"/>
        <v>49820294.549999997</v>
      </c>
      <c r="R928" s="4">
        <f t="shared" ca="1" si="190"/>
        <v>-453</v>
      </c>
      <c r="S928" s="6"/>
      <c r="T928" s="5"/>
      <c r="U928" s="30" t="str">
        <f t="shared" si="187"/>
        <v>PENDIENTE</v>
      </c>
    </row>
    <row r="929" spans="1:21" x14ac:dyDescent="0.25">
      <c r="A929" s="4" t="str">
        <f t="shared" si="188"/>
        <v>20261</v>
      </c>
      <c r="B929" s="4" t="s">
        <v>20</v>
      </c>
      <c r="C929" s="4" t="s">
        <v>25</v>
      </c>
      <c r="D929" s="29" t="s">
        <v>52</v>
      </c>
      <c r="E929" s="28">
        <v>46053</v>
      </c>
      <c r="F929" s="4">
        <f t="shared" si="191"/>
        <v>29</v>
      </c>
      <c r="G929" s="4">
        <f t="shared" si="189"/>
        <v>19</v>
      </c>
      <c r="H929" s="6">
        <v>2467002</v>
      </c>
      <c r="I929" s="6">
        <v>1006150.2641147138</v>
      </c>
      <c r="J929" s="6">
        <v>0</v>
      </c>
      <c r="K929" s="6">
        <v>0</v>
      </c>
      <c r="L929" s="6">
        <f t="shared" si="196"/>
        <v>0</v>
      </c>
      <c r="M929" s="7">
        <f t="shared" si="193"/>
        <v>2.0195590435639323E-2</v>
      </c>
      <c r="N929" s="7">
        <f t="shared" si="186"/>
        <v>2.0195590435639323E-2</v>
      </c>
      <c r="O929" s="7">
        <f t="shared" si="192"/>
        <v>0</v>
      </c>
      <c r="P929" s="6">
        <f t="shared" si="195"/>
        <v>3473152.2641147138</v>
      </c>
      <c r="Q929" s="6">
        <f t="shared" si="194"/>
        <v>47353292.549999997</v>
      </c>
      <c r="R929" s="4">
        <f t="shared" ca="1" si="190"/>
        <v>-484</v>
      </c>
      <c r="S929" s="6"/>
      <c r="T929" s="5"/>
      <c r="U929" s="30" t="str">
        <f t="shared" si="187"/>
        <v>PENDIENTE</v>
      </c>
    </row>
    <row r="930" spans="1:21" x14ac:dyDescent="0.25">
      <c r="A930" s="4" t="str">
        <f t="shared" si="188"/>
        <v>20262</v>
      </c>
      <c r="B930" s="4" t="s">
        <v>20</v>
      </c>
      <c r="C930" s="4" t="s">
        <v>25</v>
      </c>
      <c r="D930" s="29" t="s">
        <v>52</v>
      </c>
      <c r="E930" s="28">
        <v>46081</v>
      </c>
      <c r="F930" s="4">
        <f t="shared" si="191"/>
        <v>30</v>
      </c>
      <c r="G930" s="4">
        <f t="shared" si="189"/>
        <v>18</v>
      </c>
      <c r="H930" s="6">
        <v>2467002</v>
      </c>
      <c r="I930" s="6">
        <v>956327.70211881073</v>
      </c>
      <c r="J930" s="6">
        <v>0</v>
      </c>
      <c r="K930" s="6">
        <v>0</v>
      </c>
      <c r="L930" s="6">
        <f t="shared" si="196"/>
        <v>0</v>
      </c>
      <c r="M930" s="7">
        <f t="shared" si="193"/>
        <v>2.0195590435639323E-2</v>
      </c>
      <c r="N930" s="7">
        <f t="shared" si="186"/>
        <v>2.0195590435639323E-2</v>
      </c>
      <c r="O930" s="7">
        <f t="shared" si="192"/>
        <v>0</v>
      </c>
      <c r="P930" s="6">
        <f t="shared" si="195"/>
        <v>3423329.7021188107</v>
      </c>
      <c r="Q930" s="6">
        <f t="shared" si="194"/>
        <v>44886290.549999997</v>
      </c>
      <c r="R930" s="4">
        <f t="shared" ca="1" si="190"/>
        <v>-515</v>
      </c>
      <c r="S930" s="6"/>
      <c r="T930" s="5"/>
      <c r="U930" s="30" t="str">
        <f t="shared" si="187"/>
        <v>PENDIENTE</v>
      </c>
    </row>
    <row r="931" spans="1:21" x14ac:dyDescent="0.25">
      <c r="A931" s="4" t="str">
        <f t="shared" si="188"/>
        <v>20263</v>
      </c>
      <c r="B931" s="4" t="s">
        <v>20</v>
      </c>
      <c r="C931" s="4" t="s">
        <v>25</v>
      </c>
      <c r="D931" s="29" t="s">
        <v>52</v>
      </c>
      <c r="E931" s="28">
        <v>46112</v>
      </c>
      <c r="F931" s="4">
        <f t="shared" si="191"/>
        <v>31</v>
      </c>
      <c r="G931" s="4">
        <f t="shared" si="189"/>
        <v>17</v>
      </c>
      <c r="H931" s="6">
        <v>2467002</v>
      </c>
      <c r="I931" s="6">
        <v>906505.1401229077</v>
      </c>
      <c r="J931" s="6">
        <v>0</v>
      </c>
      <c r="K931" s="6">
        <v>0</v>
      </c>
      <c r="L931" s="6">
        <f t="shared" si="196"/>
        <v>0</v>
      </c>
      <c r="M931" s="7">
        <f t="shared" si="193"/>
        <v>2.0195590435639323E-2</v>
      </c>
      <c r="N931" s="7">
        <f t="shared" si="186"/>
        <v>2.0195590435639323E-2</v>
      </c>
      <c r="O931" s="7">
        <f t="shared" si="192"/>
        <v>0</v>
      </c>
      <c r="P931" s="6">
        <f t="shared" si="195"/>
        <v>3373507.1401229077</v>
      </c>
      <c r="Q931" s="6">
        <f t="shared" si="194"/>
        <v>42419288.549999997</v>
      </c>
      <c r="R931" s="4">
        <f t="shared" ca="1" si="190"/>
        <v>-543</v>
      </c>
      <c r="S931" s="6"/>
      <c r="T931" s="5"/>
      <c r="U931" s="30" t="str">
        <f t="shared" si="187"/>
        <v>PENDIENTE</v>
      </c>
    </row>
    <row r="932" spans="1:21" x14ac:dyDescent="0.25">
      <c r="A932" s="4" t="str">
        <f t="shared" si="188"/>
        <v>20264</v>
      </c>
      <c r="B932" s="4" t="s">
        <v>20</v>
      </c>
      <c r="C932" s="4" t="s">
        <v>25</v>
      </c>
      <c r="D932" s="29" t="s">
        <v>52</v>
      </c>
      <c r="E932" s="28">
        <v>46142</v>
      </c>
      <c r="F932" s="4">
        <f t="shared" si="191"/>
        <v>32</v>
      </c>
      <c r="G932" s="4">
        <f t="shared" si="189"/>
        <v>16</v>
      </c>
      <c r="H932" s="6">
        <v>2467002</v>
      </c>
      <c r="I932" s="6">
        <v>856682.57812700456</v>
      </c>
      <c r="J932" s="6">
        <v>0</v>
      </c>
      <c r="K932" s="6">
        <v>0</v>
      </c>
      <c r="L932" s="6">
        <f t="shared" si="196"/>
        <v>0</v>
      </c>
      <c r="M932" s="7">
        <f t="shared" si="193"/>
        <v>2.0195590435639323E-2</v>
      </c>
      <c r="N932" s="7">
        <f t="shared" si="186"/>
        <v>2.0195590435639323E-2</v>
      </c>
      <c r="O932" s="7">
        <f t="shared" si="192"/>
        <v>0</v>
      </c>
      <c r="P932" s="6">
        <f t="shared" si="195"/>
        <v>3323684.5781270047</v>
      </c>
      <c r="Q932" s="6">
        <f t="shared" si="194"/>
        <v>39952286.549999997</v>
      </c>
      <c r="R932" s="4">
        <f t="shared" ca="1" si="190"/>
        <v>-574</v>
      </c>
      <c r="S932" s="6"/>
      <c r="T932" s="5"/>
      <c r="U932" s="30" t="str">
        <f t="shared" si="187"/>
        <v>PENDIENTE</v>
      </c>
    </row>
    <row r="933" spans="1:21" x14ac:dyDescent="0.25">
      <c r="A933" s="4" t="str">
        <f t="shared" si="188"/>
        <v>20265</v>
      </c>
      <c r="B933" s="4" t="s">
        <v>20</v>
      </c>
      <c r="C933" s="4" t="s">
        <v>25</v>
      </c>
      <c r="D933" s="29" t="s">
        <v>52</v>
      </c>
      <c r="E933" s="28">
        <v>46173</v>
      </c>
      <c r="F933" s="4">
        <f t="shared" si="191"/>
        <v>33</v>
      </c>
      <c r="G933" s="4">
        <f t="shared" si="189"/>
        <v>15</v>
      </c>
      <c r="H933" s="6">
        <v>2467002</v>
      </c>
      <c r="I933" s="6">
        <v>806860.01613110153</v>
      </c>
      <c r="J933" s="6">
        <v>0</v>
      </c>
      <c r="K933" s="6">
        <v>0</v>
      </c>
      <c r="L933" s="6">
        <f t="shared" si="196"/>
        <v>0</v>
      </c>
      <c r="M933" s="7">
        <f t="shared" si="193"/>
        <v>2.0195590435639323E-2</v>
      </c>
      <c r="N933" s="7">
        <f t="shared" si="186"/>
        <v>2.0195590435639323E-2</v>
      </c>
      <c r="O933" s="7">
        <f t="shared" si="192"/>
        <v>0</v>
      </c>
      <c r="P933" s="6">
        <f t="shared" si="195"/>
        <v>3273862.0161311016</v>
      </c>
      <c r="Q933" s="6">
        <f t="shared" si="194"/>
        <v>37485284.549999997</v>
      </c>
      <c r="R933" s="4">
        <f t="shared" ca="1" si="190"/>
        <v>-604</v>
      </c>
      <c r="S933" s="6"/>
      <c r="T933" s="5"/>
      <c r="U933" s="30" t="str">
        <f t="shared" si="187"/>
        <v>PENDIENTE</v>
      </c>
    </row>
    <row r="934" spans="1:21" x14ac:dyDescent="0.25">
      <c r="A934" s="4" t="str">
        <f t="shared" si="188"/>
        <v>20266</v>
      </c>
      <c r="B934" s="4" t="s">
        <v>20</v>
      </c>
      <c r="C934" s="4" t="s">
        <v>25</v>
      </c>
      <c r="D934" s="29" t="s">
        <v>52</v>
      </c>
      <c r="E934" s="28">
        <v>46203</v>
      </c>
      <c r="F934" s="4">
        <f t="shared" si="191"/>
        <v>34</v>
      </c>
      <c r="G934" s="4">
        <f t="shared" si="189"/>
        <v>14</v>
      </c>
      <c r="H934" s="6">
        <v>2467002</v>
      </c>
      <c r="I934" s="6">
        <v>757037.45413519838</v>
      </c>
      <c r="J934" s="6">
        <v>0</v>
      </c>
      <c r="K934" s="6">
        <v>0</v>
      </c>
      <c r="L934" s="6">
        <f t="shared" si="196"/>
        <v>0</v>
      </c>
      <c r="M934" s="7">
        <f t="shared" si="193"/>
        <v>2.0195590435639323E-2</v>
      </c>
      <c r="N934" s="7">
        <f t="shared" si="186"/>
        <v>2.0195590435639323E-2</v>
      </c>
      <c r="O934" s="7">
        <f t="shared" si="192"/>
        <v>0</v>
      </c>
      <c r="P934" s="6">
        <f t="shared" si="195"/>
        <v>3224039.4541351981</v>
      </c>
      <c r="Q934" s="6">
        <f t="shared" si="194"/>
        <v>35018282.549999997</v>
      </c>
      <c r="R934" s="4">
        <f t="shared" ca="1" si="190"/>
        <v>-635</v>
      </c>
      <c r="S934" s="6"/>
      <c r="T934" s="5"/>
      <c r="U934" s="30" t="str">
        <f t="shared" si="187"/>
        <v>PENDIENTE</v>
      </c>
    </row>
    <row r="935" spans="1:21" x14ac:dyDescent="0.25">
      <c r="A935" s="4" t="str">
        <f t="shared" si="188"/>
        <v>20267</v>
      </c>
      <c r="B935" s="4" t="s">
        <v>20</v>
      </c>
      <c r="C935" s="4" t="s">
        <v>25</v>
      </c>
      <c r="D935" s="29" t="s">
        <v>52</v>
      </c>
      <c r="E935" s="28">
        <v>46234</v>
      </c>
      <c r="F935" s="4">
        <f t="shared" si="191"/>
        <v>35</v>
      </c>
      <c r="G935" s="4">
        <f t="shared" si="189"/>
        <v>13</v>
      </c>
      <c r="H935" s="6">
        <v>2467002</v>
      </c>
      <c r="I935" s="6">
        <v>707214.89213929535</v>
      </c>
      <c r="J935" s="6">
        <v>0</v>
      </c>
      <c r="K935" s="6">
        <v>0</v>
      </c>
      <c r="L935" s="6">
        <f t="shared" si="196"/>
        <v>0</v>
      </c>
      <c r="M935" s="7">
        <f t="shared" si="193"/>
        <v>2.0195590435639323E-2</v>
      </c>
      <c r="N935" s="7">
        <f t="shared" si="186"/>
        <v>2.0195590435639323E-2</v>
      </c>
      <c r="O935" s="7">
        <f t="shared" si="192"/>
        <v>0</v>
      </c>
      <c r="P935" s="6">
        <f t="shared" si="195"/>
        <v>3174216.8921392951</v>
      </c>
      <c r="Q935" s="6">
        <f t="shared" si="194"/>
        <v>32551280.549999997</v>
      </c>
      <c r="R935" s="4">
        <f t="shared" ca="1" si="190"/>
        <v>-665</v>
      </c>
      <c r="S935" s="6"/>
      <c r="T935" s="5"/>
      <c r="U935" s="30" t="str">
        <f t="shared" si="187"/>
        <v>PENDIENTE</v>
      </c>
    </row>
    <row r="936" spans="1:21" x14ac:dyDescent="0.25">
      <c r="A936" s="4" t="str">
        <f t="shared" si="188"/>
        <v>20268</v>
      </c>
      <c r="B936" s="4" t="s">
        <v>20</v>
      </c>
      <c r="C936" s="4" t="s">
        <v>25</v>
      </c>
      <c r="D936" s="29" t="s">
        <v>52</v>
      </c>
      <c r="E936" s="28">
        <v>46265</v>
      </c>
      <c r="F936" s="4">
        <f t="shared" si="191"/>
        <v>36</v>
      </c>
      <c r="G936" s="4">
        <f t="shared" si="189"/>
        <v>12</v>
      </c>
      <c r="H936" s="6">
        <v>2467002</v>
      </c>
      <c r="I936" s="6">
        <v>657392.3301433922</v>
      </c>
      <c r="J936" s="6">
        <v>0</v>
      </c>
      <c r="K936" s="6">
        <v>0</v>
      </c>
      <c r="L936" s="6">
        <f t="shared" si="196"/>
        <v>0</v>
      </c>
      <c r="M936" s="7">
        <f t="shared" si="193"/>
        <v>2.0195590435639323E-2</v>
      </c>
      <c r="N936" s="7">
        <f t="shared" si="186"/>
        <v>2.0195590435639323E-2</v>
      </c>
      <c r="O936" s="7">
        <f t="shared" si="192"/>
        <v>0</v>
      </c>
      <c r="P936" s="6">
        <f t="shared" si="195"/>
        <v>3124394.3301433921</v>
      </c>
      <c r="Q936" s="6">
        <f t="shared" si="194"/>
        <v>30084278.549999997</v>
      </c>
      <c r="R936" s="4">
        <f t="shared" ca="1" si="190"/>
        <v>-696</v>
      </c>
      <c r="S936" s="6"/>
      <c r="T936" s="5"/>
      <c r="U936" s="30" t="str">
        <f t="shared" si="187"/>
        <v>PENDIENTE</v>
      </c>
    </row>
    <row r="937" spans="1:21" x14ac:dyDescent="0.25">
      <c r="A937" s="4" t="str">
        <f t="shared" si="188"/>
        <v>20269</v>
      </c>
      <c r="B937" s="4" t="s">
        <v>20</v>
      </c>
      <c r="C937" s="4" t="s">
        <v>25</v>
      </c>
      <c r="D937" s="29" t="s">
        <v>52</v>
      </c>
      <c r="E937" s="28">
        <v>46295</v>
      </c>
      <c r="F937" s="4">
        <f t="shared" si="191"/>
        <v>37</v>
      </c>
      <c r="G937" s="4">
        <f t="shared" si="189"/>
        <v>11</v>
      </c>
      <c r="H937" s="6">
        <v>2467002</v>
      </c>
      <c r="I937" s="6">
        <v>607569.76814748917</v>
      </c>
      <c r="J937" s="6">
        <v>0</v>
      </c>
      <c r="K937" s="6">
        <v>0</v>
      </c>
      <c r="L937" s="6">
        <f t="shared" si="196"/>
        <v>0</v>
      </c>
      <c r="M937" s="7">
        <f t="shared" si="193"/>
        <v>2.0195590435639323E-2</v>
      </c>
      <c r="N937" s="7">
        <f t="shared" si="186"/>
        <v>2.0195590435639323E-2</v>
      </c>
      <c r="O937" s="7">
        <f t="shared" si="192"/>
        <v>0</v>
      </c>
      <c r="P937" s="6">
        <f t="shared" si="195"/>
        <v>3074571.7681474891</v>
      </c>
      <c r="Q937" s="6">
        <f t="shared" si="194"/>
        <v>27617276.549999997</v>
      </c>
      <c r="R937" s="4">
        <f t="shared" ca="1" si="190"/>
        <v>-727</v>
      </c>
      <c r="S937" s="6"/>
      <c r="T937" s="5"/>
      <c r="U937" s="30" t="str">
        <f t="shared" si="187"/>
        <v>PENDIENTE</v>
      </c>
    </row>
    <row r="938" spans="1:21" x14ac:dyDescent="0.25">
      <c r="A938" s="4" t="str">
        <f t="shared" si="188"/>
        <v>202610</v>
      </c>
      <c r="B938" s="4" t="s">
        <v>20</v>
      </c>
      <c r="C938" s="4" t="s">
        <v>25</v>
      </c>
      <c r="D938" s="29" t="s">
        <v>52</v>
      </c>
      <c r="E938" s="28">
        <v>46326</v>
      </c>
      <c r="F938" s="4">
        <f t="shared" si="191"/>
        <v>38</v>
      </c>
      <c r="G938" s="4">
        <f t="shared" si="189"/>
        <v>10</v>
      </c>
      <c r="H938" s="6">
        <v>2467002</v>
      </c>
      <c r="I938" s="6">
        <v>557747.20615158614</v>
      </c>
      <c r="J938" s="6">
        <v>0</v>
      </c>
      <c r="K938" s="6">
        <v>0</v>
      </c>
      <c r="L938" s="6">
        <f t="shared" si="196"/>
        <v>0</v>
      </c>
      <c r="M938" s="7">
        <f t="shared" si="193"/>
        <v>2.0195590435639326E-2</v>
      </c>
      <c r="N938" s="7">
        <f t="shared" si="186"/>
        <v>2.0195590435639326E-2</v>
      </c>
      <c r="O938" s="7">
        <f t="shared" si="192"/>
        <v>0</v>
      </c>
      <c r="P938" s="6">
        <f t="shared" si="195"/>
        <v>3024749.206151586</v>
      </c>
      <c r="Q938" s="6">
        <f t="shared" si="194"/>
        <v>25150274.549999997</v>
      </c>
      <c r="R938" s="4">
        <f t="shared" ca="1" si="190"/>
        <v>-757</v>
      </c>
      <c r="S938" s="6"/>
      <c r="T938" s="5"/>
      <c r="U938" s="30" t="str">
        <f t="shared" si="187"/>
        <v>PENDIENTE</v>
      </c>
    </row>
    <row r="939" spans="1:21" x14ac:dyDescent="0.25">
      <c r="A939" s="4" t="str">
        <f t="shared" si="188"/>
        <v>202611</v>
      </c>
      <c r="B939" s="4" t="s">
        <v>20</v>
      </c>
      <c r="C939" s="4" t="s">
        <v>25</v>
      </c>
      <c r="D939" s="29" t="s">
        <v>52</v>
      </c>
      <c r="E939" s="28">
        <v>46356</v>
      </c>
      <c r="F939" s="4">
        <f t="shared" si="191"/>
        <v>39</v>
      </c>
      <c r="G939" s="4">
        <f t="shared" si="189"/>
        <v>9</v>
      </c>
      <c r="H939" s="6">
        <v>2467002</v>
      </c>
      <c r="I939" s="6">
        <v>507924.644155683</v>
      </c>
      <c r="J939" s="6">
        <v>0</v>
      </c>
      <c r="K939" s="6">
        <v>0</v>
      </c>
      <c r="L939" s="6">
        <f t="shared" si="196"/>
        <v>0</v>
      </c>
      <c r="M939" s="7">
        <f t="shared" si="193"/>
        <v>2.0195590435639323E-2</v>
      </c>
      <c r="N939" s="7">
        <f t="shared" si="186"/>
        <v>2.0195590435639323E-2</v>
      </c>
      <c r="O939" s="7">
        <f t="shared" si="192"/>
        <v>0</v>
      </c>
      <c r="P939" s="6">
        <f t="shared" si="195"/>
        <v>2974926.644155683</v>
      </c>
      <c r="Q939" s="6">
        <f t="shared" si="194"/>
        <v>22683272.549999997</v>
      </c>
      <c r="R939" s="4">
        <f t="shared" ca="1" si="190"/>
        <v>-788</v>
      </c>
      <c r="S939" s="6"/>
      <c r="T939" s="5"/>
      <c r="U939" s="30" t="str">
        <f t="shared" si="187"/>
        <v>PENDIENTE</v>
      </c>
    </row>
    <row r="940" spans="1:21" x14ac:dyDescent="0.25">
      <c r="A940" s="4" t="str">
        <f t="shared" si="188"/>
        <v>202612</v>
      </c>
      <c r="B940" s="4" t="s">
        <v>20</v>
      </c>
      <c r="C940" s="4" t="s">
        <v>25</v>
      </c>
      <c r="D940" s="29" t="s">
        <v>52</v>
      </c>
      <c r="E940" s="28">
        <v>46387</v>
      </c>
      <c r="F940" s="4">
        <f t="shared" si="191"/>
        <v>40</v>
      </c>
      <c r="G940" s="4">
        <f t="shared" si="189"/>
        <v>8</v>
      </c>
      <c r="H940" s="6">
        <v>2467002</v>
      </c>
      <c r="I940" s="6">
        <v>458102.08215977991</v>
      </c>
      <c r="J940" s="6">
        <v>0</v>
      </c>
      <c r="K940" s="6">
        <v>0</v>
      </c>
      <c r="L940" s="6">
        <f t="shared" si="196"/>
        <v>0</v>
      </c>
      <c r="M940" s="7">
        <f t="shared" si="193"/>
        <v>2.0195590435639323E-2</v>
      </c>
      <c r="N940" s="7">
        <f t="shared" si="186"/>
        <v>2.0195590435639323E-2</v>
      </c>
      <c r="O940" s="7">
        <f t="shared" si="192"/>
        <v>0</v>
      </c>
      <c r="P940" s="6">
        <f t="shared" si="195"/>
        <v>2925104.08215978</v>
      </c>
      <c r="Q940" s="6">
        <f t="shared" si="194"/>
        <v>20216270.549999997</v>
      </c>
      <c r="R940" s="4">
        <f t="shared" ca="1" si="190"/>
        <v>-818</v>
      </c>
      <c r="S940" s="6"/>
      <c r="T940" s="5"/>
      <c r="U940" s="30" t="str">
        <f t="shared" si="187"/>
        <v>PENDIENTE</v>
      </c>
    </row>
    <row r="941" spans="1:21" x14ac:dyDescent="0.25">
      <c r="A941" s="4" t="str">
        <f t="shared" si="188"/>
        <v>20271</v>
      </c>
      <c r="B941" s="4" t="s">
        <v>20</v>
      </c>
      <c r="C941" s="4" t="s">
        <v>25</v>
      </c>
      <c r="D941" s="29" t="s">
        <v>52</v>
      </c>
      <c r="E941" s="28">
        <v>46418</v>
      </c>
      <c r="F941" s="4">
        <f t="shared" si="191"/>
        <v>41</v>
      </c>
      <c r="G941" s="4">
        <f t="shared" si="189"/>
        <v>7</v>
      </c>
      <c r="H941" s="6">
        <v>2467002</v>
      </c>
      <c r="I941" s="6">
        <v>408279.52016387682</v>
      </c>
      <c r="J941" s="6">
        <v>0</v>
      </c>
      <c r="K941" s="6">
        <v>0</v>
      </c>
      <c r="L941" s="6">
        <f t="shared" si="196"/>
        <v>0</v>
      </c>
      <c r="M941" s="7">
        <f t="shared" si="193"/>
        <v>2.0195590435639323E-2</v>
      </c>
      <c r="N941" s="7">
        <f t="shared" si="186"/>
        <v>2.0195590435639323E-2</v>
      </c>
      <c r="O941" s="7">
        <f t="shared" si="192"/>
        <v>0</v>
      </c>
      <c r="P941" s="6">
        <f t="shared" si="195"/>
        <v>2875281.5201638769</v>
      </c>
      <c r="Q941" s="6">
        <f t="shared" si="194"/>
        <v>17749268.549999997</v>
      </c>
      <c r="R941" s="4">
        <f t="shared" ca="1" si="190"/>
        <v>-849</v>
      </c>
      <c r="S941" s="6"/>
      <c r="T941" s="5"/>
      <c r="U941" s="30" t="str">
        <f t="shared" si="187"/>
        <v>PENDIENTE</v>
      </c>
    </row>
    <row r="942" spans="1:21" x14ac:dyDescent="0.25">
      <c r="A942" s="4" t="str">
        <f t="shared" si="188"/>
        <v>20272</v>
      </c>
      <c r="B942" s="4" t="s">
        <v>20</v>
      </c>
      <c r="C942" s="4" t="s">
        <v>25</v>
      </c>
      <c r="D942" s="29" t="s">
        <v>52</v>
      </c>
      <c r="E942" s="28">
        <v>46446</v>
      </c>
      <c r="F942" s="4">
        <f t="shared" si="191"/>
        <v>42</v>
      </c>
      <c r="G942" s="4">
        <f t="shared" si="189"/>
        <v>6</v>
      </c>
      <c r="H942" s="6">
        <v>2467002</v>
      </c>
      <c r="I942" s="6">
        <v>358456.95816797379</v>
      </c>
      <c r="J942" s="6">
        <v>0</v>
      </c>
      <c r="K942" s="6">
        <v>0</v>
      </c>
      <c r="L942" s="6">
        <f t="shared" si="196"/>
        <v>0</v>
      </c>
      <c r="M942" s="7">
        <f t="shared" si="193"/>
        <v>2.0195590435639323E-2</v>
      </c>
      <c r="N942" s="7">
        <f t="shared" si="186"/>
        <v>2.0195590435639323E-2</v>
      </c>
      <c r="O942" s="7">
        <f t="shared" si="192"/>
        <v>0</v>
      </c>
      <c r="P942" s="6">
        <f t="shared" si="195"/>
        <v>2825458.9581679739</v>
      </c>
      <c r="Q942" s="6">
        <f t="shared" si="194"/>
        <v>15282266.549999997</v>
      </c>
      <c r="R942" s="4">
        <f t="shared" ca="1" si="190"/>
        <v>-880</v>
      </c>
      <c r="S942" s="6"/>
      <c r="T942" s="5"/>
      <c r="U942" s="30" t="str">
        <f t="shared" si="187"/>
        <v>PENDIENTE</v>
      </c>
    </row>
    <row r="943" spans="1:21" x14ac:dyDescent="0.25">
      <c r="A943" s="4" t="str">
        <f t="shared" si="188"/>
        <v>20273</v>
      </c>
      <c r="B943" s="4" t="s">
        <v>20</v>
      </c>
      <c r="C943" s="4" t="s">
        <v>25</v>
      </c>
      <c r="D943" s="29" t="s">
        <v>52</v>
      </c>
      <c r="E943" s="28">
        <v>46477</v>
      </c>
      <c r="F943" s="4">
        <f t="shared" si="191"/>
        <v>43</v>
      </c>
      <c r="G943" s="4">
        <f t="shared" si="189"/>
        <v>5</v>
      </c>
      <c r="H943" s="6">
        <v>2467002</v>
      </c>
      <c r="I943" s="6">
        <v>308634.3961720707</v>
      </c>
      <c r="J943" s="6">
        <v>0</v>
      </c>
      <c r="K943" s="6">
        <v>0</v>
      </c>
      <c r="L943" s="6">
        <f t="shared" si="196"/>
        <v>0</v>
      </c>
      <c r="M943" s="7">
        <f t="shared" si="193"/>
        <v>2.0195590435639323E-2</v>
      </c>
      <c r="N943" s="7">
        <f t="shared" si="186"/>
        <v>2.0195590435639323E-2</v>
      </c>
      <c r="O943" s="7">
        <f t="shared" si="192"/>
        <v>0</v>
      </c>
      <c r="P943" s="6">
        <f t="shared" si="195"/>
        <v>2775636.3961720709</v>
      </c>
      <c r="Q943" s="6">
        <f t="shared" si="194"/>
        <v>12815264.549999997</v>
      </c>
      <c r="R943" s="4">
        <f t="shared" ca="1" si="190"/>
        <v>-908</v>
      </c>
      <c r="S943" s="6"/>
      <c r="T943" s="5"/>
      <c r="U943" s="30" t="str">
        <f t="shared" si="187"/>
        <v>PENDIENTE</v>
      </c>
    </row>
    <row r="944" spans="1:21" x14ac:dyDescent="0.25">
      <c r="A944" s="4" t="str">
        <f t="shared" si="188"/>
        <v>20274</v>
      </c>
      <c r="B944" s="4" t="s">
        <v>20</v>
      </c>
      <c r="C944" s="4" t="s">
        <v>25</v>
      </c>
      <c r="D944" s="29" t="s">
        <v>52</v>
      </c>
      <c r="E944" s="28">
        <v>46507</v>
      </c>
      <c r="F944" s="4">
        <f t="shared" si="191"/>
        <v>44</v>
      </c>
      <c r="G944" s="4">
        <f t="shared" si="189"/>
        <v>4</v>
      </c>
      <c r="H944" s="6">
        <v>2467002</v>
      </c>
      <c r="I944" s="6">
        <v>258811.83417616761</v>
      </c>
      <c r="J944" s="6">
        <v>0</v>
      </c>
      <c r="K944" s="6">
        <v>0</v>
      </c>
      <c r="L944" s="6">
        <f t="shared" si="196"/>
        <v>0</v>
      </c>
      <c r="M944" s="7">
        <f t="shared" si="193"/>
        <v>2.0195590435639323E-2</v>
      </c>
      <c r="N944" s="7">
        <f t="shared" ref="N944:N948" si="197">IF(I944="","",I944/Q943)</f>
        <v>2.0195590435639323E-2</v>
      </c>
      <c r="O944" s="7">
        <f t="shared" si="192"/>
        <v>0</v>
      </c>
      <c r="P944" s="6">
        <f t="shared" si="195"/>
        <v>2725813.8341761678</v>
      </c>
      <c r="Q944" s="6">
        <f t="shared" si="194"/>
        <v>10348262.549999997</v>
      </c>
      <c r="R944" s="4">
        <f t="shared" ca="1" si="190"/>
        <v>-939</v>
      </c>
      <c r="S944" s="6"/>
      <c r="T944" s="5"/>
      <c r="U944" s="30" t="str">
        <f t="shared" si="187"/>
        <v>PENDIENTE</v>
      </c>
    </row>
    <row r="945" spans="1:21" x14ac:dyDescent="0.25">
      <c r="A945" s="4" t="str">
        <f t="shared" si="188"/>
        <v>20275</v>
      </c>
      <c r="B945" s="4" t="s">
        <v>20</v>
      </c>
      <c r="C945" s="4" t="s">
        <v>25</v>
      </c>
      <c r="D945" s="29" t="s">
        <v>52</v>
      </c>
      <c r="E945" s="28">
        <v>46538</v>
      </c>
      <c r="F945" s="4">
        <f t="shared" si="191"/>
        <v>45</v>
      </c>
      <c r="G945" s="4">
        <f t="shared" si="189"/>
        <v>3</v>
      </c>
      <c r="H945" s="6">
        <v>2467002</v>
      </c>
      <c r="I945" s="6">
        <v>208989.27218026452</v>
      </c>
      <c r="J945" s="6">
        <v>0</v>
      </c>
      <c r="K945" s="6">
        <v>0</v>
      </c>
      <c r="L945" s="6">
        <f t="shared" si="196"/>
        <v>0</v>
      </c>
      <c r="M945" s="7">
        <f t="shared" si="193"/>
        <v>2.0195590435639323E-2</v>
      </c>
      <c r="N945" s="7">
        <f t="shared" si="197"/>
        <v>2.0195590435639323E-2</v>
      </c>
      <c r="O945" s="7">
        <f t="shared" si="192"/>
        <v>0</v>
      </c>
      <c r="P945" s="6">
        <f t="shared" si="195"/>
        <v>2675991.2721802644</v>
      </c>
      <c r="Q945" s="6">
        <f t="shared" si="194"/>
        <v>7881260.549999997</v>
      </c>
      <c r="R945" s="4">
        <f t="shared" ca="1" si="190"/>
        <v>-969</v>
      </c>
      <c r="S945" s="6"/>
      <c r="T945" s="5"/>
      <c r="U945" s="30" t="str">
        <f t="shared" si="187"/>
        <v>PENDIENTE</v>
      </c>
    </row>
    <row r="946" spans="1:21" x14ac:dyDescent="0.25">
      <c r="A946" s="4" t="str">
        <f t="shared" si="188"/>
        <v>20276</v>
      </c>
      <c r="B946" s="4" t="s">
        <v>20</v>
      </c>
      <c r="C946" s="4" t="s">
        <v>25</v>
      </c>
      <c r="D946" s="29" t="s">
        <v>52</v>
      </c>
      <c r="E946" s="28">
        <v>46568</v>
      </c>
      <c r="F946" s="4">
        <f t="shared" si="191"/>
        <v>46</v>
      </c>
      <c r="G946" s="4">
        <f t="shared" si="189"/>
        <v>2</v>
      </c>
      <c r="H946" s="6">
        <v>2467002</v>
      </c>
      <c r="I946" s="6">
        <v>159166.71018436144</v>
      </c>
      <c r="J946" s="6">
        <v>0</v>
      </c>
      <c r="K946" s="6">
        <v>0</v>
      </c>
      <c r="L946" s="6">
        <f t="shared" si="196"/>
        <v>0</v>
      </c>
      <c r="M946" s="7">
        <f t="shared" si="193"/>
        <v>2.0195590435639323E-2</v>
      </c>
      <c r="N946" s="7">
        <f t="shared" si="197"/>
        <v>2.0195590435639323E-2</v>
      </c>
      <c r="O946" s="7">
        <f t="shared" si="192"/>
        <v>0</v>
      </c>
      <c r="P946" s="6">
        <f t="shared" si="195"/>
        <v>2626168.7101843613</v>
      </c>
      <c r="Q946" s="6">
        <f t="shared" si="194"/>
        <v>5414258.549999997</v>
      </c>
      <c r="R946" s="4">
        <f t="shared" ca="1" si="190"/>
        <v>-1000</v>
      </c>
      <c r="S946" s="6"/>
      <c r="T946" s="5"/>
      <c r="U946" s="30" t="str">
        <f t="shared" si="187"/>
        <v>PENDIENTE</v>
      </c>
    </row>
    <row r="947" spans="1:21" x14ac:dyDescent="0.25">
      <c r="A947" s="4" t="str">
        <f t="shared" si="188"/>
        <v>20277</v>
      </c>
      <c r="B947" s="4" t="s">
        <v>20</v>
      </c>
      <c r="C947" s="4" t="s">
        <v>25</v>
      </c>
      <c r="D947" s="29" t="s">
        <v>52</v>
      </c>
      <c r="E947" s="28">
        <v>46599</v>
      </c>
      <c r="F947" s="4">
        <f t="shared" si="191"/>
        <v>47</v>
      </c>
      <c r="G947" s="4">
        <f t="shared" si="189"/>
        <v>1</v>
      </c>
      <c r="H947" s="6">
        <v>2467002</v>
      </c>
      <c r="I947" s="6">
        <v>109344.14818845836</v>
      </c>
      <c r="J947" s="6">
        <v>0</v>
      </c>
      <c r="K947" s="6">
        <v>0</v>
      </c>
      <c r="L947" s="6">
        <f t="shared" si="196"/>
        <v>0</v>
      </c>
      <c r="M947" s="7">
        <f t="shared" si="193"/>
        <v>2.0195590435639323E-2</v>
      </c>
      <c r="N947" s="7">
        <f t="shared" si="197"/>
        <v>2.0195590435639323E-2</v>
      </c>
      <c r="O947" s="7">
        <f t="shared" si="192"/>
        <v>0</v>
      </c>
      <c r="P947" s="6">
        <f t="shared" si="195"/>
        <v>2576346.1481884583</v>
      </c>
      <c r="Q947" s="6">
        <f t="shared" si="194"/>
        <v>2947256.549999997</v>
      </c>
      <c r="R947" s="4">
        <f t="shared" ca="1" si="190"/>
        <v>-1030</v>
      </c>
      <c r="S947" s="6"/>
      <c r="T947" s="5"/>
      <c r="U947" s="30" t="str">
        <f t="shared" si="187"/>
        <v>PENDIENTE</v>
      </c>
    </row>
    <row r="948" spans="1:21" x14ac:dyDescent="0.25">
      <c r="A948" s="4" t="str">
        <f t="shared" si="188"/>
        <v>20278</v>
      </c>
      <c r="B948" s="4" t="s">
        <v>20</v>
      </c>
      <c r="C948" s="4" t="s">
        <v>25</v>
      </c>
      <c r="D948" s="29" t="s">
        <v>52</v>
      </c>
      <c r="E948" s="28">
        <v>46630</v>
      </c>
      <c r="F948" s="4">
        <f t="shared" si="191"/>
        <v>48</v>
      </c>
      <c r="G948" s="4">
        <f t="shared" si="189"/>
        <v>0</v>
      </c>
      <c r="H948" s="6">
        <v>2947256.549999997</v>
      </c>
      <c r="I948" s="6">
        <v>59521.586192555289</v>
      </c>
      <c r="J948" s="6">
        <v>0</v>
      </c>
      <c r="K948" s="6">
        <v>0</v>
      </c>
      <c r="L948" s="6">
        <f t="shared" si="196"/>
        <v>0</v>
      </c>
      <c r="M948" s="7">
        <f t="shared" si="193"/>
        <v>2.0195590435639323E-2</v>
      </c>
      <c r="N948" s="7">
        <f t="shared" si="197"/>
        <v>2.0195590435639323E-2</v>
      </c>
      <c r="O948" s="7">
        <f t="shared" si="192"/>
        <v>0</v>
      </c>
      <c r="P948" s="6">
        <f t="shared" si="195"/>
        <v>3006778.1361925523</v>
      </c>
      <c r="Q948" s="6">
        <f t="shared" si="194"/>
        <v>0</v>
      </c>
      <c r="R948" s="4">
        <f t="shared" ca="1" si="190"/>
        <v>-1061</v>
      </c>
      <c r="S948" s="6"/>
      <c r="T948" s="5"/>
      <c r="U948" s="30" t="str">
        <f t="shared" si="187"/>
        <v>PENDIENTE</v>
      </c>
    </row>
    <row r="949" spans="1:21" x14ac:dyDescent="0.25">
      <c r="A949" s="4" t="str">
        <f t="shared" si="188"/>
        <v>20239</v>
      </c>
      <c r="B949" s="4" t="s">
        <v>39</v>
      </c>
      <c r="C949" s="4" t="s">
        <v>21</v>
      </c>
      <c r="D949" s="29" t="s">
        <v>53</v>
      </c>
      <c r="E949" s="28">
        <v>45170</v>
      </c>
      <c r="F949" s="4">
        <v>0</v>
      </c>
      <c r="G949" s="4">
        <v>36</v>
      </c>
      <c r="H949" s="6">
        <v>0</v>
      </c>
      <c r="I949" s="6">
        <v>0</v>
      </c>
      <c r="J949" s="6">
        <v>0</v>
      </c>
      <c r="K949" s="6">
        <v>0</v>
      </c>
      <c r="L949" s="6">
        <f t="shared" si="196"/>
        <v>0</v>
      </c>
      <c r="M949" s="7">
        <v>0</v>
      </c>
      <c r="N949" s="7">
        <v>0</v>
      </c>
      <c r="O949" s="7">
        <v>0</v>
      </c>
      <c r="P949" s="6">
        <f t="shared" si="195"/>
        <v>0</v>
      </c>
      <c r="Q949" s="6">
        <v>243000000</v>
      </c>
      <c r="R949" s="4" t="s">
        <v>27</v>
      </c>
      <c r="S949" s="6">
        <v>0</v>
      </c>
      <c r="T949" s="5">
        <v>45170</v>
      </c>
      <c r="U949" s="30" t="str">
        <f t="shared" si="187"/>
        <v>PAGADO</v>
      </c>
    </row>
    <row r="950" spans="1:21" x14ac:dyDescent="0.25">
      <c r="A950" s="4" t="str">
        <f t="shared" si="188"/>
        <v>202310</v>
      </c>
      <c r="B950" s="4" t="s">
        <v>39</v>
      </c>
      <c r="C950" s="4" t="s">
        <v>21</v>
      </c>
      <c r="D950" s="29" t="s">
        <v>53</v>
      </c>
      <c r="E950" s="28">
        <v>45200</v>
      </c>
      <c r="F950" s="4">
        <f t="shared" ref="F950:F985" si="198">F949+1</f>
        <v>1</v>
      </c>
      <c r="G950" s="4">
        <f t="shared" ref="G950:G985" si="199">G949-1</f>
        <v>35</v>
      </c>
      <c r="H950" s="6">
        <v>6750000</v>
      </c>
      <c r="I950" s="6">
        <v>4625000</v>
      </c>
      <c r="J950" s="6">
        <v>0</v>
      </c>
      <c r="K950" s="6">
        <v>0</v>
      </c>
      <c r="L950" s="6">
        <f t="shared" si="196"/>
        <v>0</v>
      </c>
      <c r="M950" s="7">
        <f t="shared" ref="M950" si="200">I950/Q949</f>
        <v>1.9032921810699589E-2</v>
      </c>
      <c r="N950" s="7">
        <f>IF(I950="","",I950/Q949)</f>
        <v>1.9032921810699589E-2</v>
      </c>
      <c r="O950" s="7">
        <f t="shared" ref="O950:O985" si="201">IF(N950="","",(N950/M950)-1)</f>
        <v>0</v>
      </c>
      <c r="P950" s="6">
        <f t="shared" si="195"/>
        <v>11375000</v>
      </c>
      <c r="Q950" s="6">
        <f t="shared" ref="Q950:Q985" si="202">Q949-H950</f>
        <v>236250000</v>
      </c>
      <c r="R950" s="4" t="str">
        <f t="shared" ref="R950:R985" ca="1" si="203">IF(B949="","",IF(T949="",TODAY()-E949,IF(T950="",TODAY()-E950,"OK")))</f>
        <v>OK</v>
      </c>
      <c r="S950" s="6">
        <v>11375000</v>
      </c>
      <c r="T950" s="5">
        <v>45201</v>
      </c>
      <c r="U950" s="30" t="str">
        <f t="shared" si="187"/>
        <v>PAGADO</v>
      </c>
    </row>
    <row r="951" spans="1:21" x14ac:dyDescent="0.25">
      <c r="A951" s="4" t="str">
        <f t="shared" si="188"/>
        <v>202311</v>
      </c>
      <c r="B951" s="4" t="s">
        <v>39</v>
      </c>
      <c r="C951" s="4" t="s">
        <v>21</v>
      </c>
      <c r="D951" s="29" t="s">
        <v>53</v>
      </c>
      <c r="E951" s="28">
        <v>45231</v>
      </c>
      <c r="F951" s="4">
        <f t="shared" si="198"/>
        <v>2</v>
      </c>
      <c r="G951" s="4">
        <f t="shared" si="199"/>
        <v>34</v>
      </c>
      <c r="H951" s="6">
        <v>6750000</v>
      </c>
      <c r="I951" s="6">
        <v>4641000</v>
      </c>
      <c r="J951" s="6">
        <v>0</v>
      </c>
      <c r="K951" s="6">
        <v>0</v>
      </c>
      <c r="L951" s="6">
        <f t="shared" si="196"/>
        <v>0</v>
      </c>
      <c r="M951" s="7">
        <v>1.9032921810699589E-2</v>
      </c>
      <c r="N951" s="7">
        <f t="shared" ref="N951:N985" si="204">IF(I951="","",I951/Q950)</f>
        <v>1.9644444444444444E-2</v>
      </c>
      <c r="O951" s="7">
        <f t="shared" si="201"/>
        <v>3.2129729729729606E-2</v>
      </c>
      <c r="P951" s="6">
        <f t="shared" si="195"/>
        <v>11391000</v>
      </c>
      <c r="Q951" s="6">
        <f t="shared" si="202"/>
        <v>229500000</v>
      </c>
      <c r="R951" s="4" t="str">
        <f t="shared" ca="1" si="203"/>
        <v>OK</v>
      </c>
      <c r="S951" s="6">
        <v>11391000</v>
      </c>
      <c r="T951" s="5">
        <v>45231</v>
      </c>
      <c r="U951" s="30" t="str">
        <f t="shared" si="187"/>
        <v>PAGADO</v>
      </c>
    </row>
    <row r="952" spans="1:21" x14ac:dyDescent="0.25">
      <c r="A952" s="4" t="str">
        <f t="shared" si="188"/>
        <v>202312</v>
      </c>
      <c r="B952" s="4" t="s">
        <v>39</v>
      </c>
      <c r="C952" s="4" t="s">
        <v>21</v>
      </c>
      <c r="D952" s="29" t="s">
        <v>53</v>
      </c>
      <c r="E952" s="28">
        <v>45261</v>
      </c>
      <c r="F952" s="4">
        <f t="shared" si="198"/>
        <v>3</v>
      </c>
      <c r="G952" s="4">
        <f t="shared" si="199"/>
        <v>33</v>
      </c>
      <c r="H952" s="6">
        <v>6750000</v>
      </c>
      <c r="I952" s="6">
        <f>Q951*$M$950</f>
        <v>4368055.555555556</v>
      </c>
      <c r="J952" s="6">
        <v>0</v>
      </c>
      <c r="K952" s="6">
        <v>0</v>
      </c>
      <c r="L952" s="6">
        <f t="shared" si="196"/>
        <v>0</v>
      </c>
      <c r="M952" s="7">
        <v>1.9032921810699589E-2</v>
      </c>
      <c r="N952" s="7">
        <f t="shared" si="204"/>
        <v>1.9032921810699589E-2</v>
      </c>
      <c r="O952" s="7">
        <f t="shared" si="201"/>
        <v>0</v>
      </c>
      <c r="P952" s="6">
        <f t="shared" si="195"/>
        <v>11118055.555555556</v>
      </c>
      <c r="Q952" s="6">
        <f t="shared" si="202"/>
        <v>222750000</v>
      </c>
      <c r="R952" s="4" t="str">
        <f t="shared" ca="1" si="203"/>
        <v>OK</v>
      </c>
      <c r="S952" s="6">
        <f>1127483+996018+208268+8221000</f>
        <v>10552769</v>
      </c>
      <c r="T952" s="5">
        <v>45267</v>
      </c>
      <c r="U952" s="30" t="str">
        <f t="shared" si="187"/>
        <v>PAGADO</v>
      </c>
    </row>
    <row r="953" spans="1:21" x14ac:dyDescent="0.25">
      <c r="A953" s="4" t="str">
        <f t="shared" si="188"/>
        <v>20241</v>
      </c>
      <c r="B953" s="4" t="s">
        <v>39</v>
      </c>
      <c r="C953" s="4" t="s">
        <v>21</v>
      </c>
      <c r="D953" s="29" t="s">
        <v>53</v>
      </c>
      <c r="E953" s="28">
        <v>45292</v>
      </c>
      <c r="F953" s="4">
        <f t="shared" si="198"/>
        <v>4</v>
      </c>
      <c r="G953" s="4">
        <f t="shared" si="199"/>
        <v>32</v>
      </c>
      <c r="H953" s="6">
        <v>6750000</v>
      </c>
      <c r="I953" s="6">
        <v>4375000</v>
      </c>
      <c r="J953" s="6">
        <v>0</v>
      </c>
      <c r="K953" s="6">
        <v>0</v>
      </c>
      <c r="L953" s="6">
        <v>0</v>
      </c>
      <c r="M953" s="7">
        <v>1.9032921810699589E-2</v>
      </c>
      <c r="N953" s="7">
        <f t="shared" si="204"/>
        <v>1.9640852974186308E-2</v>
      </c>
      <c r="O953" s="7">
        <f t="shared" si="201"/>
        <v>3.1941031941032039E-2</v>
      </c>
      <c r="P953" s="6">
        <f t="shared" si="195"/>
        <v>11125000</v>
      </c>
      <c r="Q953" s="6">
        <f t="shared" si="202"/>
        <v>216000000</v>
      </c>
      <c r="R953" s="4" t="str">
        <f t="shared" ca="1" si="203"/>
        <v>OK</v>
      </c>
      <c r="S953" s="6">
        <v>11125000</v>
      </c>
      <c r="T953" s="5">
        <v>45293</v>
      </c>
      <c r="U953" s="30" t="str">
        <f t="shared" si="187"/>
        <v>PAGADO</v>
      </c>
    </row>
    <row r="954" spans="1:21" x14ac:dyDescent="0.25">
      <c r="A954" s="4" t="str">
        <f t="shared" si="188"/>
        <v>20242</v>
      </c>
      <c r="B954" s="4" t="s">
        <v>39</v>
      </c>
      <c r="C954" s="4" t="s">
        <v>21</v>
      </c>
      <c r="D954" s="29" t="s">
        <v>53</v>
      </c>
      <c r="E954" s="28">
        <v>45323</v>
      </c>
      <c r="F954" s="4">
        <f t="shared" si="198"/>
        <v>5</v>
      </c>
      <c r="G954" s="4">
        <f t="shared" si="199"/>
        <v>31</v>
      </c>
      <c r="H954" s="6">
        <v>6750000</v>
      </c>
      <c r="I954" s="6">
        <f t="shared" ref="I954:I985" si="205">Q953*$M$950</f>
        <v>4111111.111111111</v>
      </c>
      <c r="J954" s="6">
        <v>0</v>
      </c>
      <c r="K954" s="6">
        <v>0</v>
      </c>
      <c r="L954" s="6">
        <f t="shared" si="196"/>
        <v>0</v>
      </c>
      <c r="M954" s="7">
        <v>1.9032921810699589E-2</v>
      </c>
      <c r="N954" s="7">
        <f t="shared" si="204"/>
        <v>1.9032921810699589E-2</v>
      </c>
      <c r="O954" s="7">
        <f t="shared" si="201"/>
        <v>0</v>
      </c>
      <c r="P954" s="6">
        <f t="shared" si="195"/>
        <v>10861111.111111112</v>
      </c>
      <c r="Q954" s="6">
        <f t="shared" si="202"/>
        <v>209250000</v>
      </c>
      <c r="R954" s="4" t="str">
        <f t="shared" ca="1" si="203"/>
        <v>OK</v>
      </c>
      <c r="S954" s="6">
        <f>6904056+1705810+2049474+299000</f>
        <v>10958340</v>
      </c>
      <c r="T954" s="5">
        <v>45329</v>
      </c>
      <c r="U954" s="30" t="str">
        <f t="shared" si="187"/>
        <v>PAGADO</v>
      </c>
    </row>
    <row r="955" spans="1:21" x14ac:dyDescent="0.25">
      <c r="A955" s="4" t="str">
        <f t="shared" si="188"/>
        <v>20243</v>
      </c>
      <c r="B955" s="4" t="s">
        <v>39</v>
      </c>
      <c r="C955" s="4" t="s">
        <v>21</v>
      </c>
      <c r="D955" s="29" t="s">
        <v>53</v>
      </c>
      <c r="E955" s="28">
        <v>45352</v>
      </c>
      <c r="F955" s="4">
        <f t="shared" si="198"/>
        <v>6</v>
      </c>
      <c r="G955" s="4">
        <f t="shared" si="199"/>
        <v>30</v>
      </c>
      <c r="H955" s="6">
        <v>6750000</v>
      </c>
      <c r="I955" s="6">
        <f t="shared" si="205"/>
        <v>3982638.888888889</v>
      </c>
      <c r="J955" s="6">
        <v>0</v>
      </c>
      <c r="K955" s="6">
        <v>0</v>
      </c>
      <c r="L955" s="6">
        <f t="shared" si="196"/>
        <v>0</v>
      </c>
      <c r="M955" s="7">
        <v>1.9032921810699589E-2</v>
      </c>
      <c r="N955" s="7">
        <f t="shared" si="204"/>
        <v>1.9032921810699589E-2</v>
      </c>
      <c r="O955" s="7">
        <f t="shared" si="201"/>
        <v>0</v>
      </c>
      <c r="P955" s="6">
        <f t="shared" si="195"/>
        <v>10732638.888888888</v>
      </c>
      <c r="Q955" s="6">
        <f t="shared" si="202"/>
        <v>202500000</v>
      </c>
      <c r="R955" s="4" t="str">
        <f t="shared" ca="1" si="203"/>
        <v>OK</v>
      </c>
      <c r="S955" s="6">
        <f>5032000+5511109.36</f>
        <v>10543109.359999999</v>
      </c>
      <c r="T955" s="5">
        <v>45352</v>
      </c>
      <c r="U955" s="30" t="str">
        <f>IF(AND(S955="",T955=""),"PENDIENTE",IF(AND(S955&lt;&gt;"",T955&lt;&gt;""),"PAGADO","ABONADO"))</f>
        <v>PAGADO</v>
      </c>
    </row>
    <row r="956" spans="1:21" x14ac:dyDescent="0.25">
      <c r="A956" s="4" t="str">
        <f t="shared" si="188"/>
        <v>20244</v>
      </c>
      <c r="B956" s="4" t="s">
        <v>39</v>
      </c>
      <c r="C956" s="4" t="s">
        <v>21</v>
      </c>
      <c r="D956" s="29" t="s">
        <v>53</v>
      </c>
      <c r="E956" s="28">
        <v>45383</v>
      </c>
      <c r="F956" s="4">
        <f t="shared" si="198"/>
        <v>7</v>
      </c>
      <c r="G956" s="4">
        <f t="shared" si="199"/>
        <v>29</v>
      </c>
      <c r="H956" s="6">
        <v>6750000</v>
      </c>
      <c r="I956" s="6">
        <f t="shared" si="205"/>
        <v>3854166.6666666665</v>
      </c>
      <c r="J956" s="6">
        <v>0</v>
      </c>
      <c r="K956" s="6">
        <v>0</v>
      </c>
      <c r="L956" s="6">
        <f>IF(S955="",0,IF(S955&lt;=P955,P955-S955,0))</f>
        <v>189529.52888888866</v>
      </c>
      <c r="M956" s="7">
        <v>1.9032921810699589E-2</v>
      </c>
      <c r="N956" s="7">
        <f t="shared" si="204"/>
        <v>1.9032921810699589E-2</v>
      </c>
      <c r="O956" s="7">
        <f t="shared" si="201"/>
        <v>0</v>
      </c>
      <c r="P956" s="6">
        <f t="shared" si="195"/>
        <v>10793696.195555555</v>
      </c>
      <c r="Q956" s="6">
        <f t="shared" si="202"/>
        <v>195750000</v>
      </c>
      <c r="R956" s="4" t="str">
        <f t="shared" ca="1" si="203"/>
        <v>OK</v>
      </c>
      <c r="S956" s="6">
        <f>2061010+896433+498014+367836+1487390+5116000</f>
        <v>10426683</v>
      </c>
      <c r="T956" s="5">
        <v>45398</v>
      </c>
      <c r="U956" s="30" t="str">
        <f>IF(AND(S956="",T956=""),"PENDIENTE",IF(AND(S956&lt;&gt;"",T956&lt;&gt;""),"PAGADO","ABONADO"))</f>
        <v>PAGADO</v>
      </c>
    </row>
    <row r="957" spans="1:21" x14ac:dyDescent="0.25">
      <c r="A957" s="4" t="str">
        <f t="shared" si="188"/>
        <v>20245</v>
      </c>
      <c r="B957" s="4" t="s">
        <v>39</v>
      </c>
      <c r="C957" s="4" t="s">
        <v>21</v>
      </c>
      <c r="D957" s="29" t="s">
        <v>53</v>
      </c>
      <c r="E957" s="28">
        <v>45413</v>
      </c>
      <c r="F957" s="4">
        <f t="shared" si="198"/>
        <v>8</v>
      </c>
      <c r="G957" s="4">
        <f t="shared" si="199"/>
        <v>28</v>
      </c>
      <c r="H957" s="6">
        <v>6750000</v>
      </c>
      <c r="I957" s="6">
        <f t="shared" si="205"/>
        <v>3725694.4444444445</v>
      </c>
      <c r="J957" s="6">
        <v>0</v>
      </c>
      <c r="K957" s="6">
        <v>0</v>
      </c>
      <c r="L957" s="6">
        <f>IF(S956="",0,IF(S956&lt;=P956,P956-S956,0))</f>
        <v>367013.1955555547</v>
      </c>
      <c r="M957" s="7">
        <v>1.9032921810699589E-2</v>
      </c>
      <c r="N957" s="7">
        <f t="shared" si="204"/>
        <v>1.9032921810699589E-2</v>
      </c>
      <c r="O957" s="7">
        <f t="shared" si="201"/>
        <v>0</v>
      </c>
      <c r="P957" s="6">
        <f t="shared" si="195"/>
        <v>10842707.639999999</v>
      </c>
      <c r="Q957" s="6">
        <f t="shared" si="202"/>
        <v>189000000</v>
      </c>
      <c r="R957" s="4" t="str">
        <f t="shared" ca="1" si="203"/>
        <v>OK</v>
      </c>
      <c r="S957" s="6">
        <v>10341000</v>
      </c>
      <c r="T957" s="5">
        <v>45415</v>
      </c>
      <c r="U957" s="30" t="str">
        <f t="shared" si="187"/>
        <v>PAGADO</v>
      </c>
    </row>
    <row r="958" spans="1:21" x14ac:dyDescent="0.25">
      <c r="A958" s="4" t="str">
        <f t="shared" si="188"/>
        <v>20246</v>
      </c>
      <c r="B958" s="4" t="s">
        <v>39</v>
      </c>
      <c r="C958" s="4" t="s">
        <v>21</v>
      </c>
      <c r="D958" s="29" t="s">
        <v>53</v>
      </c>
      <c r="E958" s="28">
        <v>45444</v>
      </c>
      <c r="F958" s="4">
        <f t="shared" si="198"/>
        <v>9</v>
      </c>
      <c r="G958" s="4">
        <f t="shared" si="199"/>
        <v>27</v>
      </c>
      <c r="H958" s="6">
        <v>6750000</v>
      </c>
      <c r="I958" s="6">
        <f t="shared" si="205"/>
        <v>3597222.222222222</v>
      </c>
      <c r="J958" s="6">
        <v>0</v>
      </c>
      <c r="K958" s="6">
        <v>0</v>
      </c>
      <c r="L958" s="6">
        <f t="shared" si="196"/>
        <v>501707.63999999873</v>
      </c>
      <c r="M958" s="7">
        <v>1.9032921810699589E-2</v>
      </c>
      <c r="N958" s="7">
        <f t="shared" si="204"/>
        <v>1.9032921810699589E-2</v>
      </c>
      <c r="O958" s="7">
        <f t="shared" si="201"/>
        <v>0</v>
      </c>
      <c r="P958" s="6">
        <f t="shared" si="195"/>
        <v>10848929.862222221</v>
      </c>
      <c r="Q958" s="6">
        <f t="shared" si="202"/>
        <v>182250000</v>
      </c>
      <c r="R958" s="4" t="str">
        <f t="shared" ca="1" si="203"/>
        <v>OK</v>
      </c>
      <c r="S958" s="6">
        <v>10300000</v>
      </c>
      <c r="T958" s="5">
        <v>45460</v>
      </c>
      <c r="U958" s="30" t="str">
        <f t="shared" si="187"/>
        <v>PAGADO</v>
      </c>
    </row>
    <row r="959" spans="1:21" x14ac:dyDescent="0.25">
      <c r="A959" s="4" t="str">
        <f t="shared" si="188"/>
        <v>20247</v>
      </c>
      <c r="B959" s="4" t="s">
        <v>39</v>
      </c>
      <c r="C959" s="4" t="s">
        <v>21</v>
      </c>
      <c r="D959" s="29" t="s">
        <v>53</v>
      </c>
      <c r="E959" s="28">
        <v>45474</v>
      </c>
      <c r="F959" s="4">
        <f t="shared" si="198"/>
        <v>10</v>
      </c>
      <c r="G959" s="4">
        <f t="shared" si="199"/>
        <v>26</v>
      </c>
      <c r="H959" s="6">
        <v>6750000</v>
      </c>
      <c r="I959" s="6">
        <f t="shared" si="205"/>
        <v>3468750</v>
      </c>
      <c r="J959" s="6">
        <v>0</v>
      </c>
      <c r="K959" s="6">
        <v>0</v>
      </c>
      <c r="L959" s="6">
        <f t="shared" si="196"/>
        <v>548929.86222222075</v>
      </c>
      <c r="M959" s="7">
        <v>1.9032921810699589E-2</v>
      </c>
      <c r="N959" s="7">
        <f t="shared" si="204"/>
        <v>1.9032921810699589E-2</v>
      </c>
      <c r="O959" s="7">
        <f t="shared" si="201"/>
        <v>0</v>
      </c>
      <c r="P959" s="6">
        <f t="shared" si="195"/>
        <v>10767679.862222221</v>
      </c>
      <c r="Q959" s="6">
        <f t="shared" si="202"/>
        <v>175500000</v>
      </c>
      <c r="R959" s="4" t="str">
        <f t="shared" ca="1" si="203"/>
        <v>OK</v>
      </c>
      <c r="S959" s="6">
        <v>9283000</v>
      </c>
      <c r="T959" s="5">
        <v>45475</v>
      </c>
      <c r="U959" s="30" t="str">
        <f t="shared" si="187"/>
        <v>PAGADO</v>
      </c>
    </row>
    <row r="960" spans="1:21" x14ac:dyDescent="0.25">
      <c r="A960" s="4" t="str">
        <f t="shared" si="188"/>
        <v>20248</v>
      </c>
      <c r="B960" s="4" t="s">
        <v>39</v>
      </c>
      <c r="C960" s="4" t="s">
        <v>21</v>
      </c>
      <c r="D960" s="29" t="s">
        <v>53</v>
      </c>
      <c r="E960" s="28">
        <v>45505</v>
      </c>
      <c r="F960" s="4">
        <f t="shared" si="198"/>
        <v>11</v>
      </c>
      <c r="G960" s="4">
        <f t="shared" si="199"/>
        <v>25</v>
      </c>
      <c r="H960" s="6">
        <v>6750000</v>
      </c>
      <c r="I960" s="6">
        <f t="shared" si="205"/>
        <v>3340277.777777778</v>
      </c>
      <c r="J960" s="6">
        <v>0</v>
      </c>
      <c r="K960" s="6">
        <v>0</v>
      </c>
      <c r="L960" s="6">
        <f t="shared" si="196"/>
        <v>1484679.8622222207</v>
      </c>
      <c r="M960" s="7">
        <v>1.9032921810699589E-2</v>
      </c>
      <c r="N960" s="7">
        <f t="shared" si="204"/>
        <v>1.9032921810699589E-2</v>
      </c>
      <c r="O960" s="7">
        <f t="shared" si="201"/>
        <v>0</v>
      </c>
      <c r="P960" s="6">
        <f t="shared" si="195"/>
        <v>11574957.639999999</v>
      </c>
      <c r="Q960" s="6">
        <f t="shared" si="202"/>
        <v>168750000</v>
      </c>
      <c r="R960" s="4" t="str">
        <f t="shared" ca="1" si="203"/>
        <v>OK</v>
      </c>
      <c r="S960" s="6">
        <f>7486642+2391275</f>
        <v>9877917</v>
      </c>
      <c r="T960" s="5">
        <v>45509</v>
      </c>
      <c r="U960" s="30" t="str">
        <f t="shared" si="187"/>
        <v>PAGADO</v>
      </c>
    </row>
    <row r="961" spans="1:21" x14ac:dyDescent="0.25">
      <c r="A961" s="4" t="str">
        <f t="shared" si="188"/>
        <v>20249</v>
      </c>
      <c r="B961" s="4" t="s">
        <v>39</v>
      </c>
      <c r="C961" s="4" t="s">
        <v>21</v>
      </c>
      <c r="D961" s="29" t="s">
        <v>53</v>
      </c>
      <c r="E961" s="28">
        <v>45537</v>
      </c>
      <c r="F961" s="4">
        <f t="shared" si="198"/>
        <v>12</v>
      </c>
      <c r="G961" s="4">
        <f t="shared" si="199"/>
        <v>24</v>
      </c>
      <c r="H961" s="6">
        <v>6750000</v>
      </c>
      <c r="I961" s="6">
        <v>2937087</v>
      </c>
      <c r="J961" s="6">
        <v>0</v>
      </c>
      <c r="K961" s="6">
        <v>6168853.7599999998</v>
      </c>
      <c r="L961" s="6">
        <f t="shared" si="196"/>
        <v>1697040.6399999987</v>
      </c>
      <c r="M961" s="7">
        <v>1.9032921810699589E-2</v>
      </c>
      <c r="N961" s="7">
        <f t="shared" si="204"/>
        <v>1.7404960000000001E-2</v>
      </c>
      <c r="O961" s="7">
        <f t="shared" si="201"/>
        <v>-8.553399351351354E-2</v>
      </c>
      <c r="P961" s="6">
        <f t="shared" si="195"/>
        <v>17552981.399999999</v>
      </c>
      <c r="Q961" s="6">
        <f t="shared" si="202"/>
        <v>162000000</v>
      </c>
      <c r="R961" s="4">
        <f t="shared" ca="1" si="203"/>
        <v>1</v>
      </c>
      <c r="S961" s="6">
        <v>2862725</v>
      </c>
      <c r="T961" s="5"/>
      <c r="U961" s="30" t="str">
        <f t="shared" si="187"/>
        <v>ABONADO</v>
      </c>
    </row>
    <row r="962" spans="1:21" x14ac:dyDescent="0.25">
      <c r="A962" s="4" t="str">
        <f t="shared" si="188"/>
        <v>202410</v>
      </c>
      <c r="B962" s="4" t="s">
        <v>39</v>
      </c>
      <c r="C962" s="4" t="s">
        <v>21</v>
      </c>
      <c r="D962" s="29" t="s">
        <v>53</v>
      </c>
      <c r="E962" s="28">
        <v>45566</v>
      </c>
      <c r="F962" s="4">
        <f t="shared" si="198"/>
        <v>13</v>
      </c>
      <c r="G962" s="4">
        <f t="shared" si="199"/>
        <v>23</v>
      </c>
      <c r="H962" s="6">
        <v>6750000</v>
      </c>
      <c r="I962" s="6">
        <f t="shared" si="205"/>
        <v>3083333.3333333335</v>
      </c>
      <c r="J962" s="6">
        <v>0</v>
      </c>
      <c r="K962" s="6">
        <v>0</v>
      </c>
      <c r="L962" s="6">
        <f t="shared" si="196"/>
        <v>14690256.399999999</v>
      </c>
      <c r="M962" s="7">
        <v>1.9032921810699589E-2</v>
      </c>
      <c r="N962" s="7">
        <f t="shared" si="204"/>
        <v>1.9032921810699589E-2</v>
      </c>
      <c r="O962" s="7">
        <f t="shared" si="201"/>
        <v>0</v>
      </c>
      <c r="P962" s="6">
        <f t="shared" si="195"/>
        <v>24523589.733333334</v>
      </c>
      <c r="Q962" s="6">
        <f t="shared" si="202"/>
        <v>155250000</v>
      </c>
      <c r="R962" s="4">
        <f t="shared" ca="1" si="203"/>
        <v>1</v>
      </c>
      <c r="S962" s="6"/>
      <c r="T962" s="5"/>
      <c r="U962" s="30" t="str">
        <f t="shared" ref="U962:U1027" si="206">IF(AND(S962="",T962=""),"PENDIENTE",IF(AND(S962&lt;&gt;"",T962&lt;&gt;""),"PAGADO","ABONADO"))</f>
        <v>PENDIENTE</v>
      </c>
    </row>
    <row r="963" spans="1:21" x14ac:dyDescent="0.25">
      <c r="A963" s="4" t="str">
        <f t="shared" ref="A963:A1028" si="207">CONCATENATE(YEAR($E963),MONTH($E963))</f>
        <v>202411</v>
      </c>
      <c r="B963" s="4" t="s">
        <v>39</v>
      </c>
      <c r="C963" s="4" t="s">
        <v>21</v>
      </c>
      <c r="D963" s="29" t="s">
        <v>53</v>
      </c>
      <c r="E963" s="28">
        <v>45597</v>
      </c>
      <c r="F963" s="4">
        <f t="shared" si="198"/>
        <v>14</v>
      </c>
      <c r="G963" s="4">
        <f t="shared" si="199"/>
        <v>22</v>
      </c>
      <c r="H963" s="6">
        <v>6750000</v>
      </c>
      <c r="I963" s="6">
        <f t="shared" si="205"/>
        <v>2954861.111111111</v>
      </c>
      <c r="J963" s="6">
        <v>0</v>
      </c>
      <c r="K963" s="6">
        <v>0</v>
      </c>
      <c r="L963" s="6">
        <f t="shared" si="196"/>
        <v>0</v>
      </c>
      <c r="M963" s="7">
        <v>1.9032921810699589E-2</v>
      </c>
      <c r="N963" s="7">
        <f t="shared" si="204"/>
        <v>1.9032921810699589E-2</v>
      </c>
      <c r="O963" s="7">
        <f t="shared" si="201"/>
        <v>0</v>
      </c>
      <c r="P963" s="6">
        <f t="shared" si="195"/>
        <v>9704861.1111111119</v>
      </c>
      <c r="Q963" s="6">
        <f t="shared" si="202"/>
        <v>148500000</v>
      </c>
      <c r="R963" s="4">
        <f t="shared" ca="1" si="203"/>
        <v>-28</v>
      </c>
      <c r="S963" s="6"/>
      <c r="T963" s="5"/>
      <c r="U963" s="30" t="str">
        <f t="shared" si="206"/>
        <v>PENDIENTE</v>
      </c>
    </row>
    <row r="964" spans="1:21" x14ac:dyDescent="0.25">
      <c r="A964" s="4" t="str">
        <f t="shared" si="207"/>
        <v>202412</v>
      </c>
      <c r="B964" s="4" t="s">
        <v>39</v>
      </c>
      <c r="C964" s="4" t="s">
        <v>21</v>
      </c>
      <c r="D964" s="29" t="s">
        <v>53</v>
      </c>
      <c r="E964" s="28">
        <v>45627</v>
      </c>
      <c r="F964" s="4">
        <f t="shared" si="198"/>
        <v>15</v>
      </c>
      <c r="G964" s="4">
        <f t="shared" si="199"/>
        <v>21</v>
      </c>
      <c r="H964" s="6">
        <v>6750000</v>
      </c>
      <c r="I964" s="6">
        <f t="shared" si="205"/>
        <v>2826388.888888889</v>
      </c>
      <c r="J964" s="6">
        <v>0</v>
      </c>
      <c r="K964" s="6">
        <v>0</v>
      </c>
      <c r="L964" s="6">
        <f t="shared" si="196"/>
        <v>0</v>
      </c>
      <c r="M964" s="7">
        <v>1.9032921810699589E-2</v>
      </c>
      <c r="N964" s="7">
        <f t="shared" si="204"/>
        <v>1.9032921810699589E-2</v>
      </c>
      <c r="O964" s="7">
        <f t="shared" si="201"/>
        <v>0</v>
      </c>
      <c r="P964" s="6">
        <f t="shared" si="195"/>
        <v>9576388.8888888881</v>
      </c>
      <c r="Q964" s="6">
        <f t="shared" si="202"/>
        <v>141750000</v>
      </c>
      <c r="R964" s="4">
        <f t="shared" ca="1" si="203"/>
        <v>-59</v>
      </c>
      <c r="S964" s="6"/>
      <c r="T964" s="5"/>
      <c r="U964" s="30" t="str">
        <f t="shared" si="206"/>
        <v>PENDIENTE</v>
      </c>
    </row>
    <row r="965" spans="1:21" x14ac:dyDescent="0.25">
      <c r="A965" s="4" t="str">
        <f t="shared" si="207"/>
        <v>20251</v>
      </c>
      <c r="B965" s="4" t="s">
        <v>39</v>
      </c>
      <c r="C965" s="4" t="s">
        <v>21</v>
      </c>
      <c r="D965" s="29" t="s">
        <v>53</v>
      </c>
      <c r="E965" s="28">
        <v>45658</v>
      </c>
      <c r="F965" s="4">
        <f t="shared" si="198"/>
        <v>16</v>
      </c>
      <c r="G965" s="4">
        <f t="shared" si="199"/>
        <v>20</v>
      </c>
      <c r="H965" s="6">
        <v>6750000</v>
      </c>
      <c r="I965" s="6">
        <f t="shared" si="205"/>
        <v>2697916.6666666665</v>
      </c>
      <c r="J965" s="6">
        <v>0</v>
      </c>
      <c r="K965" s="6">
        <v>0</v>
      </c>
      <c r="L965" s="6">
        <f t="shared" si="196"/>
        <v>0</v>
      </c>
      <c r="M965" s="7">
        <v>1.9032921810699589E-2</v>
      </c>
      <c r="N965" s="7">
        <f t="shared" si="204"/>
        <v>1.9032921810699589E-2</v>
      </c>
      <c r="O965" s="7">
        <f t="shared" si="201"/>
        <v>0</v>
      </c>
      <c r="P965" s="6">
        <f t="shared" si="195"/>
        <v>9447916.666666666</v>
      </c>
      <c r="Q965" s="6">
        <f t="shared" si="202"/>
        <v>135000000</v>
      </c>
      <c r="R965" s="4">
        <f t="shared" ca="1" si="203"/>
        <v>-89</v>
      </c>
      <c r="S965" s="6"/>
      <c r="T965" s="5"/>
      <c r="U965" s="30" t="str">
        <f t="shared" si="206"/>
        <v>PENDIENTE</v>
      </c>
    </row>
    <row r="966" spans="1:21" x14ac:dyDescent="0.25">
      <c r="A966" s="4" t="str">
        <f t="shared" si="207"/>
        <v>20252</v>
      </c>
      <c r="B966" s="4" t="s">
        <v>39</v>
      </c>
      <c r="C966" s="4" t="s">
        <v>21</v>
      </c>
      <c r="D966" s="29" t="s">
        <v>53</v>
      </c>
      <c r="E966" s="28">
        <v>45689</v>
      </c>
      <c r="F966" s="4">
        <f t="shared" si="198"/>
        <v>17</v>
      </c>
      <c r="G966" s="4">
        <f t="shared" si="199"/>
        <v>19</v>
      </c>
      <c r="H966" s="6">
        <v>6750000</v>
      </c>
      <c r="I966" s="6">
        <f t="shared" si="205"/>
        <v>2569444.4444444445</v>
      </c>
      <c r="J966" s="6">
        <v>0</v>
      </c>
      <c r="K966" s="6">
        <v>0</v>
      </c>
      <c r="L966" s="6">
        <f t="shared" si="196"/>
        <v>0</v>
      </c>
      <c r="M966" s="7">
        <v>1.9032921810699589E-2</v>
      </c>
      <c r="N966" s="7">
        <f t="shared" si="204"/>
        <v>1.9032921810699589E-2</v>
      </c>
      <c r="O966" s="7">
        <f t="shared" si="201"/>
        <v>0</v>
      </c>
      <c r="P966" s="6">
        <f t="shared" si="195"/>
        <v>9319444.444444444</v>
      </c>
      <c r="Q966" s="6">
        <f t="shared" si="202"/>
        <v>128250000</v>
      </c>
      <c r="R966" s="4">
        <f t="shared" ca="1" si="203"/>
        <v>-120</v>
      </c>
      <c r="S966" s="6"/>
      <c r="T966" s="5"/>
      <c r="U966" s="30" t="str">
        <f t="shared" si="206"/>
        <v>PENDIENTE</v>
      </c>
    </row>
    <row r="967" spans="1:21" x14ac:dyDescent="0.25">
      <c r="A967" s="4" t="str">
        <f t="shared" si="207"/>
        <v>20253</v>
      </c>
      <c r="B967" s="4" t="s">
        <v>39</v>
      </c>
      <c r="C967" s="4" t="s">
        <v>21</v>
      </c>
      <c r="D967" s="29" t="s">
        <v>53</v>
      </c>
      <c r="E967" s="28">
        <v>45717</v>
      </c>
      <c r="F967" s="4">
        <f t="shared" si="198"/>
        <v>18</v>
      </c>
      <c r="G967" s="4">
        <f t="shared" si="199"/>
        <v>18</v>
      </c>
      <c r="H967" s="6">
        <v>6750000</v>
      </c>
      <c r="I967" s="6">
        <f t="shared" si="205"/>
        <v>2440972.222222222</v>
      </c>
      <c r="J967" s="6">
        <v>0</v>
      </c>
      <c r="K967" s="6">
        <v>0</v>
      </c>
      <c r="L967" s="6">
        <f t="shared" si="196"/>
        <v>0</v>
      </c>
      <c r="M967" s="7">
        <v>1.9032921810699589E-2</v>
      </c>
      <c r="N967" s="7">
        <f t="shared" si="204"/>
        <v>1.9032921810699589E-2</v>
      </c>
      <c r="O967" s="7">
        <f t="shared" si="201"/>
        <v>0</v>
      </c>
      <c r="P967" s="6">
        <f t="shared" si="195"/>
        <v>9190972.222222222</v>
      </c>
      <c r="Q967" s="6">
        <f t="shared" si="202"/>
        <v>121500000</v>
      </c>
      <c r="R967" s="4">
        <f t="shared" ca="1" si="203"/>
        <v>-151</v>
      </c>
      <c r="S967" s="6"/>
      <c r="T967" s="5"/>
      <c r="U967" s="30" t="str">
        <f t="shared" si="206"/>
        <v>PENDIENTE</v>
      </c>
    </row>
    <row r="968" spans="1:21" x14ac:dyDescent="0.25">
      <c r="A968" s="4" t="str">
        <f t="shared" si="207"/>
        <v>20254</v>
      </c>
      <c r="B968" s="4" t="s">
        <v>39</v>
      </c>
      <c r="C968" s="4" t="s">
        <v>21</v>
      </c>
      <c r="D968" s="29" t="s">
        <v>53</v>
      </c>
      <c r="E968" s="28">
        <v>45748</v>
      </c>
      <c r="F968" s="4">
        <f t="shared" si="198"/>
        <v>19</v>
      </c>
      <c r="G968" s="4">
        <f t="shared" si="199"/>
        <v>17</v>
      </c>
      <c r="H968" s="6">
        <v>6750000</v>
      </c>
      <c r="I968" s="6">
        <f t="shared" si="205"/>
        <v>2312500</v>
      </c>
      <c r="J968" s="6">
        <v>0</v>
      </c>
      <c r="K968" s="6">
        <v>0</v>
      </c>
      <c r="L968" s="6">
        <f t="shared" si="196"/>
        <v>0</v>
      </c>
      <c r="M968" s="7">
        <v>1.9032921810699589E-2</v>
      </c>
      <c r="N968" s="7">
        <f t="shared" si="204"/>
        <v>1.9032921810699589E-2</v>
      </c>
      <c r="O968" s="7">
        <f t="shared" si="201"/>
        <v>0</v>
      </c>
      <c r="P968" s="6">
        <f t="shared" si="195"/>
        <v>9062500</v>
      </c>
      <c r="Q968" s="6">
        <f t="shared" si="202"/>
        <v>114750000</v>
      </c>
      <c r="R968" s="4">
        <f t="shared" ca="1" si="203"/>
        <v>-179</v>
      </c>
      <c r="S968" s="6"/>
      <c r="T968" s="5"/>
      <c r="U968" s="30" t="str">
        <f t="shared" si="206"/>
        <v>PENDIENTE</v>
      </c>
    </row>
    <row r="969" spans="1:21" x14ac:dyDescent="0.25">
      <c r="A969" s="4" t="str">
        <f t="shared" si="207"/>
        <v>20255</v>
      </c>
      <c r="B969" s="4" t="s">
        <v>39</v>
      </c>
      <c r="C969" s="4" t="s">
        <v>21</v>
      </c>
      <c r="D969" s="29" t="s">
        <v>53</v>
      </c>
      <c r="E969" s="28">
        <v>45778</v>
      </c>
      <c r="F969" s="4">
        <f t="shared" si="198"/>
        <v>20</v>
      </c>
      <c r="G969" s="4">
        <f t="shared" si="199"/>
        <v>16</v>
      </c>
      <c r="H969" s="6">
        <v>6750000</v>
      </c>
      <c r="I969" s="6">
        <f t="shared" si="205"/>
        <v>2184027.777777778</v>
      </c>
      <c r="J969" s="6">
        <v>0</v>
      </c>
      <c r="K969" s="6">
        <v>0</v>
      </c>
      <c r="L969" s="6">
        <f t="shared" si="196"/>
        <v>0</v>
      </c>
      <c r="M969" s="7">
        <v>1.9032921810699589E-2</v>
      </c>
      <c r="N969" s="7">
        <f t="shared" si="204"/>
        <v>1.9032921810699589E-2</v>
      </c>
      <c r="O969" s="7">
        <f t="shared" si="201"/>
        <v>0</v>
      </c>
      <c r="P969" s="6">
        <f t="shared" si="195"/>
        <v>8934027.777777778</v>
      </c>
      <c r="Q969" s="6">
        <f t="shared" si="202"/>
        <v>108000000</v>
      </c>
      <c r="R969" s="4">
        <f t="shared" ca="1" si="203"/>
        <v>-210</v>
      </c>
      <c r="S969" s="6"/>
      <c r="T969" s="5"/>
      <c r="U969" s="30" t="str">
        <f t="shared" si="206"/>
        <v>PENDIENTE</v>
      </c>
    </row>
    <row r="970" spans="1:21" x14ac:dyDescent="0.25">
      <c r="A970" s="4" t="str">
        <f t="shared" si="207"/>
        <v>20256</v>
      </c>
      <c r="B970" s="4" t="s">
        <v>39</v>
      </c>
      <c r="C970" s="4" t="s">
        <v>21</v>
      </c>
      <c r="D970" s="29" t="s">
        <v>53</v>
      </c>
      <c r="E970" s="28">
        <v>45809</v>
      </c>
      <c r="F970" s="4">
        <f t="shared" si="198"/>
        <v>21</v>
      </c>
      <c r="G970" s="4">
        <f t="shared" si="199"/>
        <v>15</v>
      </c>
      <c r="H970" s="6">
        <v>6750000</v>
      </c>
      <c r="I970" s="6">
        <f t="shared" si="205"/>
        <v>2055555.5555555555</v>
      </c>
      <c r="J970" s="6">
        <v>0</v>
      </c>
      <c r="K970" s="6">
        <v>0</v>
      </c>
      <c r="L970" s="6">
        <f t="shared" si="196"/>
        <v>0</v>
      </c>
      <c r="M970" s="7">
        <v>1.9032921810699589E-2</v>
      </c>
      <c r="N970" s="7">
        <f t="shared" si="204"/>
        <v>1.9032921810699589E-2</v>
      </c>
      <c r="O970" s="7">
        <f t="shared" si="201"/>
        <v>0</v>
      </c>
      <c r="P970" s="6">
        <f t="shared" ref="P970:P1033" si="208">IFERROR(H970+I970+J970+K970+L970,"")</f>
        <v>8805555.555555556</v>
      </c>
      <c r="Q970" s="6">
        <f t="shared" si="202"/>
        <v>101250000</v>
      </c>
      <c r="R970" s="4">
        <f t="shared" ca="1" si="203"/>
        <v>-240</v>
      </c>
      <c r="S970" s="6"/>
      <c r="T970" s="5"/>
      <c r="U970" s="30" t="str">
        <f t="shared" si="206"/>
        <v>PENDIENTE</v>
      </c>
    </row>
    <row r="971" spans="1:21" x14ac:dyDescent="0.25">
      <c r="A971" s="4" t="str">
        <f t="shared" si="207"/>
        <v>20257</v>
      </c>
      <c r="B971" s="4" t="s">
        <v>39</v>
      </c>
      <c r="C971" s="4" t="s">
        <v>21</v>
      </c>
      <c r="D971" s="29" t="s">
        <v>53</v>
      </c>
      <c r="E971" s="28">
        <v>45839</v>
      </c>
      <c r="F971" s="4">
        <f t="shared" si="198"/>
        <v>22</v>
      </c>
      <c r="G971" s="4">
        <f t="shared" si="199"/>
        <v>14</v>
      </c>
      <c r="H971" s="6">
        <v>6750000</v>
      </c>
      <c r="I971" s="6">
        <f t="shared" si="205"/>
        <v>1927083.3333333333</v>
      </c>
      <c r="J971" s="6">
        <v>0</v>
      </c>
      <c r="K971" s="6">
        <v>0</v>
      </c>
      <c r="L971" s="6">
        <f t="shared" si="196"/>
        <v>0</v>
      </c>
      <c r="M971" s="7">
        <v>1.9032921810699589E-2</v>
      </c>
      <c r="N971" s="7">
        <f t="shared" si="204"/>
        <v>1.9032921810699589E-2</v>
      </c>
      <c r="O971" s="7">
        <f t="shared" si="201"/>
        <v>0</v>
      </c>
      <c r="P971" s="6">
        <f t="shared" si="208"/>
        <v>8677083.333333334</v>
      </c>
      <c r="Q971" s="6">
        <f t="shared" si="202"/>
        <v>94500000</v>
      </c>
      <c r="R971" s="4">
        <f t="shared" ca="1" si="203"/>
        <v>-271</v>
      </c>
      <c r="S971" s="6"/>
      <c r="T971" s="5"/>
      <c r="U971" s="30" t="str">
        <f t="shared" si="206"/>
        <v>PENDIENTE</v>
      </c>
    </row>
    <row r="972" spans="1:21" x14ac:dyDescent="0.25">
      <c r="A972" s="4" t="str">
        <f t="shared" si="207"/>
        <v>20258</v>
      </c>
      <c r="B972" s="4" t="s">
        <v>39</v>
      </c>
      <c r="C972" s="4" t="s">
        <v>21</v>
      </c>
      <c r="D972" s="29" t="s">
        <v>53</v>
      </c>
      <c r="E972" s="28">
        <v>45870</v>
      </c>
      <c r="F972" s="4">
        <f t="shared" si="198"/>
        <v>23</v>
      </c>
      <c r="G972" s="4">
        <f t="shared" si="199"/>
        <v>13</v>
      </c>
      <c r="H972" s="6">
        <v>6750000</v>
      </c>
      <c r="I972" s="6">
        <f t="shared" si="205"/>
        <v>1798611.111111111</v>
      </c>
      <c r="J972" s="6">
        <v>0</v>
      </c>
      <c r="K972" s="6">
        <v>0</v>
      </c>
      <c r="L972" s="6">
        <f t="shared" si="196"/>
        <v>0</v>
      </c>
      <c r="M972" s="7">
        <v>1.9032921810699589E-2</v>
      </c>
      <c r="N972" s="7">
        <f t="shared" si="204"/>
        <v>1.9032921810699589E-2</v>
      </c>
      <c r="O972" s="7">
        <f t="shared" si="201"/>
        <v>0</v>
      </c>
      <c r="P972" s="6">
        <f t="shared" si="208"/>
        <v>8548611.1111111119</v>
      </c>
      <c r="Q972" s="6">
        <f t="shared" si="202"/>
        <v>87750000</v>
      </c>
      <c r="R972" s="4">
        <f t="shared" ca="1" si="203"/>
        <v>-301</v>
      </c>
      <c r="S972" s="6"/>
      <c r="T972" s="5"/>
      <c r="U972" s="30" t="str">
        <f t="shared" si="206"/>
        <v>PENDIENTE</v>
      </c>
    </row>
    <row r="973" spans="1:21" x14ac:dyDescent="0.25">
      <c r="A973" s="4" t="str">
        <f t="shared" si="207"/>
        <v>20259</v>
      </c>
      <c r="B973" s="4" t="s">
        <v>39</v>
      </c>
      <c r="C973" s="4" t="s">
        <v>21</v>
      </c>
      <c r="D973" s="29" t="s">
        <v>53</v>
      </c>
      <c r="E973" s="28">
        <v>45901</v>
      </c>
      <c r="F973" s="4">
        <f t="shared" si="198"/>
        <v>24</v>
      </c>
      <c r="G973" s="4">
        <f t="shared" si="199"/>
        <v>12</v>
      </c>
      <c r="H973" s="6">
        <v>6750000</v>
      </c>
      <c r="I973" s="6">
        <f t="shared" si="205"/>
        <v>1670138.888888889</v>
      </c>
      <c r="J973" s="6">
        <v>0</v>
      </c>
      <c r="K973" s="6">
        <v>0</v>
      </c>
      <c r="L973" s="6">
        <f t="shared" si="196"/>
        <v>0</v>
      </c>
      <c r="M973" s="7">
        <v>1.9032921810699589E-2</v>
      </c>
      <c r="N973" s="7">
        <f t="shared" si="204"/>
        <v>1.9032921810699589E-2</v>
      </c>
      <c r="O973" s="7">
        <f t="shared" si="201"/>
        <v>0</v>
      </c>
      <c r="P973" s="6">
        <f t="shared" si="208"/>
        <v>8420138.8888888881</v>
      </c>
      <c r="Q973" s="6">
        <f t="shared" si="202"/>
        <v>81000000</v>
      </c>
      <c r="R973" s="4">
        <f t="shared" ca="1" si="203"/>
        <v>-332</v>
      </c>
      <c r="S973" s="6"/>
      <c r="T973" s="5"/>
      <c r="U973" s="30" t="str">
        <f t="shared" si="206"/>
        <v>PENDIENTE</v>
      </c>
    </row>
    <row r="974" spans="1:21" x14ac:dyDescent="0.25">
      <c r="A974" s="4" t="str">
        <f t="shared" si="207"/>
        <v>202510</v>
      </c>
      <c r="B974" s="4" t="s">
        <v>39</v>
      </c>
      <c r="C974" s="4" t="s">
        <v>21</v>
      </c>
      <c r="D974" s="29" t="s">
        <v>53</v>
      </c>
      <c r="E974" s="28">
        <v>45931</v>
      </c>
      <c r="F974" s="4">
        <f t="shared" si="198"/>
        <v>25</v>
      </c>
      <c r="G974" s="4">
        <f t="shared" si="199"/>
        <v>11</v>
      </c>
      <c r="H974" s="6">
        <v>6750000</v>
      </c>
      <c r="I974" s="6">
        <f t="shared" si="205"/>
        <v>1541666.6666666667</v>
      </c>
      <c r="J974" s="6">
        <v>0</v>
      </c>
      <c r="K974" s="6">
        <v>0</v>
      </c>
      <c r="L974" s="6">
        <f t="shared" si="196"/>
        <v>0</v>
      </c>
      <c r="M974" s="7">
        <v>1.9032921810699589E-2</v>
      </c>
      <c r="N974" s="7">
        <f t="shared" si="204"/>
        <v>1.9032921810699589E-2</v>
      </c>
      <c r="O974" s="7">
        <f t="shared" si="201"/>
        <v>0</v>
      </c>
      <c r="P974" s="6">
        <f t="shared" si="208"/>
        <v>8291666.666666667</v>
      </c>
      <c r="Q974" s="6">
        <f t="shared" si="202"/>
        <v>74250000</v>
      </c>
      <c r="R974" s="4">
        <f t="shared" ca="1" si="203"/>
        <v>-363</v>
      </c>
      <c r="S974" s="6"/>
      <c r="T974" s="5"/>
      <c r="U974" s="30" t="str">
        <f t="shared" si="206"/>
        <v>PENDIENTE</v>
      </c>
    </row>
    <row r="975" spans="1:21" x14ac:dyDescent="0.25">
      <c r="A975" s="4" t="str">
        <f t="shared" si="207"/>
        <v>202511</v>
      </c>
      <c r="B975" s="4" t="s">
        <v>39</v>
      </c>
      <c r="C975" s="4" t="s">
        <v>21</v>
      </c>
      <c r="D975" s="29" t="s">
        <v>53</v>
      </c>
      <c r="E975" s="28">
        <v>45962</v>
      </c>
      <c r="F975" s="4">
        <f t="shared" si="198"/>
        <v>26</v>
      </c>
      <c r="G975" s="4">
        <f t="shared" si="199"/>
        <v>10</v>
      </c>
      <c r="H975" s="6">
        <v>6750000</v>
      </c>
      <c r="I975" s="6">
        <f t="shared" si="205"/>
        <v>1413194.4444444445</v>
      </c>
      <c r="J975" s="6">
        <v>0</v>
      </c>
      <c r="K975" s="6">
        <v>0</v>
      </c>
      <c r="L975" s="6">
        <f t="shared" si="196"/>
        <v>0</v>
      </c>
      <c r="M975" s="7">
        <v>1.9032921810699589E-2</v>
      </c>
      <c r="N975" s="7">
        <f t="shared" si="204"/>
        <v>1.9032921810699589E-2</v>
      </c>
      <c r="O975" s="7">
        <f t="shared" si="201"/>
        <v>0</v>
      </c>
      <c r="P975" s="6">
        <f t="shared" si="208"/>
        <v>8163194.444444444</v>
      </c>
      <c r="Q975" s="6">
        <f t="shared" si="202"/>
        <v>67500000</v>
      </c>
      <c r="R975" s="4">
        <f t="shared" ca="1" si="203"/>
        <v>-393</v>
      </c>
      <c r="S975" s="6"/>
      <c r="T975" s="5"/>
      <c r="U975" s="30" t="str">
        <f t="shared" si="206"/>
        <v>PENDIENTE</v>
      </c>
    </row>
    <row r="976" spans="1:21" x14ac:dyDescent="0.25">
      <c r="A976" s="4" t="str">
        <f t="shared" si="207"/>
        <v>202512</v>
      </c>
      <c r="B976" s="4" t="s">
        <v>39</v>
      </c>
      <c r="C976" s="4" t="s">
        <v>21</v>
      </c>
      <c r="D976" s="29" t="s">
        <v>53</v>
      </c>
      <c r="E976" s="28">
        <v>45992</v>
      </c>
      <c r="F976" s="4">
        <f t="shared" si="198"/>
        <v>27</v>
      </c>
      <c r="G976" s="4">
        <f t="shared" si="199"/>
        <v>9</v>
      </c>
      <c r="H976" s="6">
        <v>6750000</v>
      </c>
      <c r="I976" s="6">
        <f t="shared" si="205"/>
        <v>1284722.2222222222</v>
      </c>
      <c r="J976" s="6">
        <v>0</v>
      </c>
      <c r="K976" s="6">
        <v>0</v>
      </c>
      <c r="L976" s="6">
        <f t="shared" si="196"/>
        <v>0</v>
      </c>
      <c r="M976" s="7">
        <v>1.9032921810699589E-2</v>
      </c>
      <c r="N976" s="7">
        <f t="shared" si="204"/>
        <v>1.9032921810699589E-2</v>
      </c>
      <c r="O976" s="7">
        <f t="shared" si="201"/>
        <v>0</v>
      </c>
      <c r="P976" s="6">
        <f t="shared" si="208"/>
        <v>8034722.222222222</v>
      </c>
      <c r="Q976" s="6">
        <f t="shared" si="202"/>
        <v>60750000</v>
      </c>
      <c r="R976" s="4">
        <f t="shared" ca="1" si="203"/>
        <v>-424</v>
      </c>
      <c r="S976" s="6"/>
      <c r="T976" s="5"/>
      <c r="U976" s="30" t="str">
        <f t="shared" si="206"/>
        <v>PENDIENTE</v>
      </c>
    </row>
    <row r="977" spans="1:21" x14ac:dyDescent="0.25">
      <c r="A977" s="4" t="str">
        <f t="shared" si="207"/>
        <v>20261</v>
      </c>
      <c r="B977" s="4" t="s">
        <v>39</v>
      </c>
      <c r="C977" s="4" t="s">
        <v>21</v>
      </c>
      <c r="D977" s="29" t="s">
        <v>53</v>
      </c>
      <c r="E977" s="28">
        <v>46023</v>
      </c>
      <c r="F977" s="4">
        <f t="shared" si="198"/>
        <v>28</v>
      </c>
      <c r="G977" s="4">
        <f t="shared" si="199"/>
        <v>8</v>
      </c>
      <c r="H977" s="6">
        <v>6750000</v>
      </c>
      <c r="I977" s="6">
        <f t="shared" si="205"/>
        <v>1156250</v>
      </c>
      <c r="J977" s="6">
        <v>0</v>
      </c>
      <c r="K977" s="6">
        <v>0</v>
      </c>
      <c r="L977" s="6">
        <f t="shared" si="196"/>
        <v>0</v>
      </c>
      <c r="M977" s="7">
        <v>1.9032921810699589E-2</v>
      </c>
      <c r="N977" s="7">
        <f t="shared" si="204"/>
        <v>1.9032921810699589E-2</v>
      </c>
      <c r="O977" s="7">
        <f t="shared" si="201"/>
        <v>0</v>
      </c>
      <c r="P977" s="6">
        <f t="shared" si="208"/>
        <v>7906250</v>
      </c>
      <c r="Q977" s="6">
        <f t="shared" si="202"/>
        <v>54000000</v>
      </c>
      <c r="R977" s="4">
        <f t="shared" ca="1" si="203"/>
        <v>-454</v>
      </c>
      <c r="S977" s="6"/>
      <c r="T977" s="5"/>
      <c r="U977" s="30" t="str">
        <f t="shared" si="206"/>
        <v>PENDIENTE</v>
      </c>
    </row>
    <row r="978" spans="1:21" x14ac:dyDescent="0.25">
      <c r="A978" s="4" t="str">
        <f t="shared" si="207"/>
        <v>20262</v>
      </c>
      <c r="B978" s="4" t="s">
        <v>39</v>
      </c>
      <c r="C978" s="4" t="s">
        <v>21</v>
      </c>
      <c r="D978" s="29" t="s">
        <v>53</v>
      </c>
      <c r="E978" s="28">
        <v>46054</v>
      </c>
      <c r="F978" s="4">
        <f t="shared" si="198"/>
        <v>29</v>
      </c>
      <c r="G978" s="4">
        <f t="shared" si="199"/>
        <v>7</v>
      </c>
      <c r="H978" s="6">
        <v>6750000</v>
      </c>
      <c r="I978" s="6">
        <f t="shared" si="205"/>
        <v>1027777.7777777778</v>
      </c>
      <c r="J978" s="6">
        <v>0</v>
      </c>
      <c r="K978" s="6">
        <v>0</v>
      </c>
      <c r="L978" s="6">
        <f t="shared" si="196"/>
        <v>0</v>
      </c>
      <c r="M978" s="7">
        <v>1.9032921810699589E-2</v>
      </c>
      <c r="N978" s="7">
        <f t="shared" si="204"/>
        <v>1.9032921810699589E-2</v>
      </c>
      <c r="O978" s="7">
        <f t="shared" si="201"/>
        <v>0</v>
      </c>
      <c r="P978" s="6">
        <f t="shared" si="208"/>
        <v>7777777.777777778</v>
      </c>
      <c r="Q978" s="6">
        <f t="shared" si="202"/>
        <v>47250000</v>
      </c>
      <c r="R978" s="4">
        <f t="shared" ca="1" si="203"/>
        <v>-485</v>
      </c>
      <c r="S978" s="6"/>
      <c r="T978" s="5"/>
      <c r="U978" s="30" t="str">
        <f t="shared" si="206"/>
        <v>PENDIENTE</v>
      </c>
    </row>
    <row r="979" spans="1:21" x14ac:dyDescent="0.25">
      <c r="A979" s="4" t="str">
        <f t="shared" si="207"/>
        <v>20263</v>
      </c>
      <c r="B979" s="4" t="s">
        <v>39</v>
      </c>
      <c r="C979" s="4" t="s">
        <v>21</v>
      </c>
      <c r="D979" s="29" t="s">
        <v>53</v>
      </c>
      <c r="E979" s="28">
        <v>46082</v>
      </c>
      <c r="F979" s="4">
        <f t="shared" si="198"/>
        <v>30</v>
      </c>
      <c r="G979" s="4">
        <f t="shared" si="199"/>
        <v>6</v>
      </c>
      <c r="H979" s="6">
        <v>6750000</v>
      </c>
      <c r="I979" s="6">
        <f t="shared" si="205"/>
        <v>899305.5555555555</v>
      </c>
      <c r="J979" s="6">
        <v>0</v>
      </c>
      <c r="K979" s="6">
        <v>0</v>
      </c>
      <c r="L979" s="6">
        <f t="shared" si="196"/>
        <v>0</v>
      </c>
      <c r="M979" s="7">
        <v>1.9032921810699589E-2</v>
      </c>
      <c r="N979" s="7">
        <f t="shared" si="204"/>
        <v>1.9032921810699589E-2</v>
      </c>
      <c r="O979" s="7">
        <f t="shared" si="201"/>
        <v>0</v>
      </c>
      <c r="P979" s="6">
        <f t="shared" si="208"/>
        <v>7649305.555555556</v>
      </c>
      <c r="Q979" s="6">
        <f t="shared" si="202"/>
        <v>40500000</v>
      </c>
      <c r="R979" s="4">
        <f t="shared" ca="1" si="203"/>
        <v>-516</v>
      </c>
      <c r="S979" s="6"/>
      <c r="T979" s="5"/>
      <c r="U979" s="30" t="str">
        <f t="shared" si="206"/>
        <v>PENDIENTE</v>
      </c>
    </row>
    <row r="980" spans="1:21" x14ac:dyDescent="0.25">
      <c r="A980" s="4" t="str">
        <f t="shared" si="207"/>
        <v>20264</v>
      </c>
      <c r="B980" s="4" t="s">
        <v>39</v>
      </c>
      <c r="C980" s="4" t="s">
        <v>21</v>
      </c>
      <c r="D980" s="29" t="s">
        <v>53</v>
      </c>
      <c r="E980" s="28">
        <v>46113</v>
      </c>
      <c r="F980" s="4">
        <f t="shared" si="198"/>
        <v>31</v>
      </c>
      <c r="G980" s="4">
        <f t="shared" si="199"/>
        <v>5</v>
      </c>
      <c r="H980" s="6">
        <v>6750000</v>
      </c>
      <c r="I980" s="6">
        <f t="shared" si="205"/>
        <v>770833.33333333337</v>
      </c>
      <c r="J980" s="6">
        <v>0</v>
      </c>
      <c r="K980" s="6">
        <v>0</v>
      </c>
      <c r="L980" s="6">
        <f t="shared" si="196"/>
        <v>0</v>
      </c>
      <c r="M980" s="7">
        <v>1.9032921810699589E-2</v>
      </c>
      <c r="N980" s="7">
        <f t="shared" si="204"/>
        <v>1.9032921810699589E-2</v>
      </c>
      <c r="O980" s="7">
        <f t="shared" si="201"/>
        <v>0</v>
      </c>
      <c r="P980" s="6">
        <f t="shared" si="208"/>
        <v>7520833.333333333</v>
      </c>
      <c r="Q980" s="6">
        <f t="shared" si="202"/>
        <v>33750000</v>
      </c>
      <c r="R980" s="4">
        <f t="shared" ca="1" si="203"/>
        <v>-544</v>
      </c>
      <c r="S980" s="6"/>
      <c r="T980" s="5"/>
      <c r="U980" s="30" t="str">
        <f t="shared" si="206"/>
        <v>PENDIENTE</v>
      </c>
    </row>
    <row r="981" spans="1:21" x14ac:dyDescent="0.25">
      <c r="A981" s="4" t="str">
        <f t="shared" si="207"/>
        <v>20265</v>
      </c>
      <c r="B981" s="4" t="s">
        <v>39</v>
      </c>
      <c r="C981" s="4" t="s">
        <v>21</v>
      </c>
      <c r="D981" s="29" t="s">
        <v>53</v>
      </c>
      <c r="E981" s="28">
        <v>46143</v>
      </c>
      <c r="F981" s="4">
        <f t="shared" si="198"/>
        <v>32</v>
      </c>
      <c r="G981" s="4">
        <f t="shared" si="199"/>
        <v>4</v>
      </c>
      <c r="H981" s="6">
        <v>6750000</v>
      </c>
      <c r="I981" s="6">
        <f t="shared" si="205"/>
        <v>642361.11111111112</v>
      </c>
      <c r="J981" s="6">
        <v>0</v>
      </c>
      <c r="K981" s="6">
        <v>0</v>
      </c>
      <c r="L981" s="6">
        <f t="shared" ref="L981:L1035" si="209">IF(S980="",0,IF(S980&lt;=P980,P980-S980,0))</f>
        <v>0</v>
      </c>
      <c r="M981" s="7">
        <v>1.9032921810699589E-2</v>
      </c>
      <c r="N981" s="7">
        <f t="shared" si="204"/>
        <v>1.9032921810699589E-2</v>
      </c>
      <c r="O981" s="7">
        <f t="shared" si="201"/>
        <v>0</v>
      </c>
      <c r="P981" s="6">
        <f t="shared" si="208"/>
        <v>7392361.111111111</v>
      </c>
      <c r="Q981" s="6">
        <f t="shared" si="202"/>
        <v>27000000</v>
      </c>
      <c r="R981" s="4">
        <f t="shared" ca="1" si="203"/>
        <v>-575</v>
      </c>
      <c r="S981" s="6"/>
      <c r="T981" s="5"/>
      <c r="U981" s="30" t="str">
        <f t="shared" si="206"/>
        <v>PENDIENTE</v>
      </c>
    </row>
    <row r="982" spans="1:21" x14ac:dyDescent="0.25">
      <c r="A982" s="4" t="str">
        <f t="shared" si="207"/>
        <v>20266</v>
      </c>
      <c r="B982" s="4" t="s">
        <v>39</v>
      </c>
      <c r="C982" s="4" t="s">
        <v>21</v>
      </c>
      <c r="D982" s="29" t="s">
        <v>53</v>
      </c>
      <c r="E982" s="28">
        <v>46174</v>
      </c>
      <c r="F982" s="4">
        <f t="shared" si="198"/>
        <v>33</v>
      </c>
      <c r="G982" s="4">
        <f t="shared" si="199"/>
        <v>3</v>
      </c>
      <c r="H982" s="6">
        <v>6750000</v>
      </c>
      <c r="I982" s="6">
        <f t="shared" si="205"/>
        <v>513888.88888888888</v>
      </c>
      <c r="J982" s="6">
        <v>0</v>
      </c>
      <c r="K982" s="6">
        <v>0</v>
      </c>
      <c r="L982" s="6">
        <f t="shared" si="209"/>
        <v>0</v>
      </c>
      <c r="M982" s="7">
        <v>1.9032921810699589E-2</v>
      </c>
      <c r="N982" s="7">
        <f t="shared" si="204"/>
        <v>1.9032921810699589E-2</v>
      </c>
      <c r="O982" s="7">
        <f t="shared" si="201"/>
        <v>0</v>
      </c>
      <c r="P982" s="6">
        <f t="shared" si="208"/>
        <v>7263888.888888889</v>
      </c>
      <c r="Q982" s="6">
        <f t="shared" si="202"/>
        <v>20250000</v>
      </c>
      <c r="R982" s="4">
        <f t="shared" ca="1" si="203"/>
        <v>-605</v>
      </c>
      <c r="S982" s="6"/>
      <c r="T982" s="5"/>
      <c r="U982" s="30" t="str">
        <f t="shared" si="206"/>
        <v>PENDIENTE</v>
      </c>
    </row>
    <row r="983" spans="1:21" x14ac:dyDescent="0.25">
      <c r="A983" s="4" t="str">
        <f t="shared" si="207"/>
        <v>20267</v>
      </c>
      <c r="B983" s="4" t="s">
        <v>39</v>
      </c>
      <c r="C983" s="4" t="s">
        <v>21</v>
      </c>
      <c r="D983" s="29" t="s">
        <v>53</v>
      </c>
      <c r="E983" s="28">
        <v>46204</v>
      </c>
      <c r="F983" s="4">
        <f t="shared" si="198"/>
        <v>34</v>
      </c>
      <c r="G983" s="4">
        <f t="shared" si="199"/>
        <v>2</v>
      </c>
      <c r="H983" s="6">
        <v>6750000</v>
      </c>
      <c r="I983" s="6">
        <f t="shared" si="205"/>
        <v>385416.66666666669</v>
      </c>
      <c r="J983" s="6">
        <v>0</v>
      </c>
      <c r="K983" s="6">
        <v>0</v>
      </c>
      <c r="L983" s="6">
        <f t="shared" si="209"/>
        <v>0</v>
      </c>
      <c r="M983" s="7">
        <v>1.9032921810699589E-2</v>
      </c>
      <c r="N983" s="7">
        <f t="shared" si="204"/>
        <v>1.9032921810699589E-2</v>
      </c>
      <c r="O983" s="7">
        <f t="shared" si="201"/>
        <v>0</v>
      </c>
      <c r="P983" s="6">
        <f t="shared" si="208"/>
        <v>7135416.666666667</v>
      </c>
      <c r="Q983" s="6">
        <f t="shared" si="202"/>
        <v>13500000</v>
      </c>
      <c r="R983" s="4">
        <f t="shared" ca="1" si="203"/>
        <v>-636</v>
      </c>
      <c r="S983" s="6"/>
      <c r="T983" s="5"/>
      <c r="U983" s="30" t="str">
        <f t="shared" si="206"/>
        <v>PENDIENTE</v>
      </c>
    </row>
    <row r="984" spans="1:21" x14ac:dyDescent="0.25">
      <c r="A984" s="4" t="str">
        <f t="shared" si="207"/>
        <v>20268</v>
      </c>
      <c r="B984" s="4" t="s">
        <v>39</v>
      </c>
      <c r="C984" s="4" t="s">
        <v>21</v>
      </c>
      <c r="D984" s="29" t="s">
        <v>53</v>
      </c>
      <c r="E984" s="28">
        <v>46235</v>
      </c>
      <c r="F984" s="4">
        <f t="shared" si="198"/>
        <v>35</v>
      </c>
      <c r="G984" s="4">
        <f t="shared" si="199"/>
        <v>1</v>
      </c>
      <c r="H984" s="6">
        <v>6750000</v>
      </c>
      <c r="I984" s="6">
        <f t="shared" si="205"/>
        <v>256944.44444444444</v>
      </c>
      <c r="J984" s="6">
        <v>0</v>
      </c>
      <c r="K984" s="6">
        <v>0</v>
      </c>
      <c r="L984" s="6">
        <f t="shared" si="209"/>
        <v>0</v>
      </c>
      <c r="M984" s="7">
        <v>1.9032921810699589E-2</v>
      </c>
      <c r="N984" s="7">
        <f t="shared" si="204"/>
        <v>1.9032921810699589E-2</v>
      </c>
      <c r="O984" s="7">
        <f t="shared" si="201"/>
        <v>0</v>
      </c>
      <c r="P984" s="6">
        <f t="shared" si="208"/>
        <v>7006944.444444444</v>
      </c>
      <c r="Q984" s="6">
        <f t="shared" si="202"/>
        <v>6750000</v>
      </c>
      <c r="R984" s="4">
        <f t="shared" ca="1" si="203"/>
        <v>-666</v>
      </c>
      <c r="S984" s="6"/>
      <c r="T984" s="5"/>
      <c r="U984" s="30" t="str">
        <f t="shared" si="206"/>
        <v>PENDIENTE</v>
      </c>
    </row>
    <row r="985" spans="1:21" x14ac:dyDescent="0.25">
      <c r="A985" s="4" t="str">
        <f t="shared" si="207"/>
        <v>20269</v>
      </c>
      <c r="B985" s="4" t="s">
        <v>39</v>
      </c>
      <c r="C985" s="4" t="s">
        <v>21</v>
      </c>
      <c r="D985" s="29" t="s">
        <v>53</v>
      </c>
      <c r="E985" s="28">
        <v>46266</v>
      </c>
      <c r="F985" s="4">
        <f t="shared" si="198"/>
        <v>36</v>
      </c>
      <c r="G985" s="4">
        <f t="shared" si="199"/>
        <v>0</v>
      </c>
      <c r="H985" s="6">
        <v>6750000</v>
      </c>
      <c r="I985" s="6">
        <f t="shared" si="205"/>
        <v>128472.22222222222</v>
      </c>
      <c r="J985" s="6">
        <v>0</v>
      </c>
      <c r="K985" s="6">
        <v>0</v>
      </c>
      <c r="L985" s="6">
        <f t="shared" si="209"/>
        <v>0</v>
      </c>
      <c r="M985" s="7">
        <v>1.9032921810699589E-2</v>
      </c>
      <c r="N985" s="7">
        <f t="shared" si="204"/>
        <v>1.9032921810699589E-2</v>
      </c>
      <c r="O985" s="7">
        <f t="shared" si="201"/>
        <v>0</v>
      </c>
      <c r="P985" s="6">
        <f t="shared" si="208"/>
        <v>6878472.222222222</v>
      </c>
      <c r="Q985" s="6">
        <f t="shared" si="202"/>
        <v>0</v>
      </c>
      <c r="R985" s="4">
        <f t="shared" ca="1" si="203"/>
        <v>-697</v>
      </c>
      <c r="S985" s="6"/>
      <c r="T985" s="5"/>
      <c r="U985" s="30" t="str">
        <f t="shared" si="206"/>
        <v>PENDIENTE</v>
      </c>
    </row>
    <row r="986" spans="1:21" x14ac:dyDescent="0.25">
      <c r="A986" s="4" t="str">
        <f t="shared" si="207"/>
        <v>20238</v>
      </c>
      <c r="B986" s="4" t="s">
        <v>39</v>
      </c>
      <c r="C986" s="4" t="s">
        <v>25</v>
      </c>
      <c r="D986" s="29" t="s">
        <v>54</v>
      </c>
      <c r="E986" s="28">
        <v>45168</v>
      </c>
      <c r="F986" s="4">
        <v>0</v>
      </c>
      <c r="G986" s="4">
        <v>36</v>
      </c>
      <c r="H986" s="6">
        <v>0</v>
      </c>
      <c r="I986" s="6">
        <v>0</v>
      </c>
      <c r="J986" s="6">
        <v>0</v>
      </c>
      <c r="K986" s="6">
        <v>0</v>
      </c>
      <c r="L986" s="6">
        <f t="shared" si="209"/>
        <v>0</v>
      </c>
      <c r="M986" s="7">
        <v>0</v>
      </c>
      <c r="N986" s="7">
        <v>0</v>
      </c>
      <c r="O986" s="7">
        <v>0</v>
      </c>
      <c r="P986" s="6">
        <f t="shared" si="208"/>
        <v>0</v>
      </c>
      <c r="Q986" s="6">
        <v>103000000</v>
      </c>
      <c r="R986" s="4" t="s">
        <v>27</v>
      </c>
      <c r="S986" s="6">
        <v>0</v>
      </c>
      <c r="T986" s="5">
        <v>45168</v>
      </c>
      <c r="U986" s="30" t="str">
        <f t="shared" si="206"/>
        <v>PAGADO</v>
      </c>
    </row>
    <row r="987" spans="1:21" x14ac:dyDescent="0.25">
      <c r="A987" s="4" t="str">
        <f t="shared" si="207"/>
        <v>20239</v>
      </c>
      <c r="B987" s="4" t="s">
        <v>39</v>
      </c>
      <c r="C987" s="4" t="s">
        <v>25</v>
      </c>
      <c r="D987" s="29" t="s">
        <v>54</v>
      </c>
      <c r="E987" s="28">
        <v>45199</v>
      </c>
      <c r="F987" s="4">
        <f t="shared" ref="F987:F1022" si="210">F986+1</f>
        <v>1</v>
      </c>
      <c r="G987" s="4">
        <f t="shared" ref="G987:G1022" si="211">G986-1</f>
        <v>35</v>
      </c>
      <c r="H987" s="6">
        <v>2861111.11</v>
      </c>
      <c r="I987" s="6">
        <v>2403923.79</v>
      </c>
      <c r="J987" s="6">
        <v>0</v>
      </c>
      <c r="K987" s="6">
        <v>0</v>
      </c>
      <c r="L987" s="6">
        <f t="shared" si="209"/>
        <v>0</v>
      </c>
      <c r="M987" s="7">
        <v>2.3339065922330097E-2</v>
      </c>
      <c r="N987" s="7">
        <f t="shared" ref="N987:N1022" si="212">IF(I987="","",I987/Q986)</f>
        <v>2.3339065922330097E-2</v>
      </c>
      <c r="O987" s="7">
        <f t="shared" ref="O987:O1035" si="213">IF(N987="","",(N987/M987)-1)</f>
        <v>0</v>
      </c>
      <c r="P987" s="6">
        <f t="shared" si="208"/>
        <v>5265034.9000000004</v>
      </c>
      <c r="Q987" s="6">
        <f t="shared" ref="Q987:Q1035" si="214">Q986-H987</f>
        <v>100138888.89</v>
      </c>
      <c r="R987" s="4" t="str">
        <f t="shared" ref="R987:R1035" ca="1" si="215">IF(B986="","",IF(T986="",TODAY()-E986,IF(T987="",TODAY()-E987,"OK")))</f>
        <v>OK</v>
      </c>
      <c r="S987" s="6">
        <f>176531+2970912+2300000</f>
        <v>5447443</v>
      </c>
      <c r="T987" s="5">
        <v>45208</v>
      </c>
      <c r="U987" s="30" t="str">
        <f t="shared" si="206"/>
        <v>PAGADO</v>
      </c>
    </row>
    <row r="988" spans="1:21" x14ac:dyDescent="0.25">
      <c r="A988" s="4" t="str">
        <f t="shared" si="207"/>
        <v>202310</v>
      </c>
      <c r="B988" s="4" t="s">
        <v>39</v>
      </c>
      <c r="C988" s="4" t="s">
        <v>25</v>
      </c>
      <c r="D988" s="29" t="s">
        <v>54</v>
      </c>
      <c r="E988" s="28">
        <v>45229</v>
      </c>
      <c r="F988" s="4">
        <f t="shared" si="210"/>
        <v>2</v>
      </c>
      <c r="G988" s="4">
        <f t="shared" si="211"/>
        <v>34</v>
      </c>
      <c r="H988" s="6">
        <v>2861111.11</v>
      </c>
      <c r="I988" s="6">
        <f>Q987*$M$987</f>
        <v>2337148.1291925991</v>
      </c>
      <c r="J988" s="6">
        <v>0</v>
      </c>
      <c r="K988" s="6">
        <v>0</v>
      </c>
      <c r="L988" s="6">
        <f t="shared" si="209"/>
        <v>0</v>
      </c>
      <c r="M988" s="7">
        <v>2.3339065922330097E-2</v>
      </c>
      <c r="N988" s="7">
        <f t="shared" si="212"/>
        <v>2.3339065922330097E-2</v>
      </c>
      <c r="O988" s="7">
        <f t="shared" si="213"/>
        <v>0</v>
      </c>
      <c r="P988" s="6">
        <f t="shared" si="208"/>
        <v>5198259.2391925994</v>
      </c>
      <c r="Q988" s="6">
        <f t="shared" si="214"/>
        <v>97277777.780000001</v>
      </c>
      <c r="R988" s="4" t="str">
        <f t="shared" ca="1" si="215"/>
        <v>OK</v>
      </c>
      <c r="S988" s="6">
        <f>225439+270348+4710800</f>
        <v>5206587</v>
      </c>
      <c r="T988" s="5">
        <v>45250</v>
      </c>
      <c r="U988" s="30" t="str">
        <f t="shared" si="206"/>
        <v>PAGADO</v>
      </c>
    </row>
    <row r="989" spans="1:21" x14ac:dyDescent="0.25">
      <c r="A989" s="4" t="str">
        <f t="shared" si="207"/>
        <v>202311</v>
      </c>
      <c r="B989" s="4" t="s">
        <v>39</v>
      </c>
      <c r="C989" s="4" t="s">
        <v>25</v>
      </c>
      <c r="D989" s="29" t="s">
        <v>54</v>
      </c>
      <c r="E989" s="28">
        <v>45260</v>
      </c>
      <c r="F989" s="4">
        <f t="shared" si="210"/>
        <v>3</v>
      </c>
      <c r="G989" s="4">
        <f t="shared" si="211"/>
        <v>33</v>
      </c>
      <c r="H989" s="6">
        <v>2861111.11</v>
      </c>
      <c r="I989" s="6">
        <f t="shared" ref="I989:I1022" si="216">Q988*$M$987</f>
        <v>2270372.4683851982</v>
      </c>
      <c r="J989" s="6">
        <v>0</v>
      </c>
      <c r="K989" s="6">
        <v>0</v>
      </c>
      <c r="L989" s="6">
        <f t="shared" si="209"/>
        <v>0</v>
      </c>
      <c r="M989" s="7">
        <v>2.3339065922330097E-2</v>
      </c>
      <c r="N989" s="7">
        <f t="shared" si="212"/>
        <v>2.33390659223301E-2</v>
      </c>
      <c r="O989" s="7">
        <f t="shared" si="213"/>
        <v>2.2204460492503131E-16</v>
      </c>
      <c r="P989" s="6">
        <f t="shared" si="208"/>
        <v>5131483.5783851985</v>
      </c>
      <c r="Q989" s="6">
        <f t="shared" si="214"/>
        <v>94416666.670000002</v>
      </c>
      <c r="R989" s="4" t="str">
        <f t="shared" ca="1" si="215"/>
        <v>OK</v>
      </c>
      <c r="S989" s="6">
        <f>5131483.58+149366+189243</f>
        <v>5470092.5800000001</v>
      </c>
      <c r="T989" s="5">
        <v>45275</v>
      </c>
      <c r="U989" s="30" t="str">
        <f t="shared" si="206"/>
        <v>PAGADO</v>
      </c>
    </row>
    <row r="990" spans="1:21" x14ac:dyDescent="0.25">
      <c r="A990" s="4" t="str">
        <f t="shared" si="207"/>
        <v>202312</v>
      </c>
      <c r="B990" s="4" t="s">
        <v>39</v>
      </c>
      <c r="C990" s="4" t="s">
        <v>25</v>
      </c>
      <c r="D990" s="29" t="s">
        <v>54</v>
      </c>
      <c r="E990" s="28">
        <v>45290</v>
      </c>
      <c r="F990" s="4">
        <f t="shared" si="210"/>
        <v>4</v>
      </c>
      <c r="G990" s="4">
        <f t="shared" si="211"/>
        <v>32</v>
      </c>
      <c r="H990" s="6">
        <v>2861111.11</v>
      </c>
      <c r="I990" s="6">
        <f t="shared" si="216"/>
        <v>2203596.8075777967</v>
      </c>
      <c r="J990" s="6">
        <v>0</v>
      </c>
      <c r="K990" s="6">
        <v>0</v>
      </c>
      <c r="L990" s="6">
        <f t="shared" si="209"/>
        <v>0</v>
      </c>
      <c r="M990" s="7">
        <v>2.3339065922330097E-2</v>
      </c>
      <c r="N990" s="7">
        <f t="shared" si="212"/>
        <v>2.3339065922330097E-2</v>
      </c>
      <c r="O990" s="7">
        <f t="shared" si="213"/>
        <v>0</v>
      </c>
      <c r="P990" s="6">
        <f t="shared" si="208"/>
        <v>5064707.9175777966</v>
      </c>
      <c r="Q990" s="6">
        <f t="shared" si="214"/>
        <v>91555555.560000002</v>
      </c>
      <c r="R990" s="4" t="str">
        <f t="shared" ca="1" si="215"/>
        <v>OK</v>
      </c>
      <c r="S990" s="6">
        <f>1998225+33942+923532+2235000</f>
        <v>5190699</v>
      </c>
      <c r="T990" s="5">
        <v>45320</v>
      </c>
      <c r="U990" s="30" t="str">
        <f t="shared" si="206"/>
        <v>PAGADO</v>
      </c>
    </row>
    <row r="991" spans="1:21" x14ac:dyDescent="0.25">
      <c r="A991" s="4" t="str">
        <f t="shared" si="207"/>
        <v>20241</v>
      </c>
      <c r="B991" s="4" t="s">
        <v>39</v>
      </c>
      <c r="C991" s="4" t="s">
        <v>25</v>
      </c>
      <c r="D991" s="29" t="s">
        <v>54</v>
      </c>
      <c r="E991" s="28">
        <v>45321</v>
      </c>
      <c r="F991" s="4">
        <f t="shared" si="210"/>
        <v>5</v>
      </c>
      <c r="G991" s="4">
        <f t="shared" si="211"/>
        <v>31</v>
      </c>
      <c r="H991" s="6">
        <v>2861111.11</v>
      </c>
      <c r="I991" s="6">
        <f>5114000-H991</f>
        <v>2252888.89</v>
      </c>
      <c r="J991" s="6">
        <v>0</v>
      </c>
      <c r="K991" s="6">
        <v>0</v>
      </c>
      <c r="L991" s="6">
        <f t="shared" si="209"/>
        <v>0</v>
      </c>
      <c r="M991" s="7">
        <v>2.3339065922330097E-2</v>
      </c>
      <c r="N991" s="7">
        <f t="shared" si="212"/>
        <v>2.4606796127446273E-2</v>
      </c>
      <c r="O991" s="7">
        <f t="shared" si="213"/>
        <v>5.4317949541555999E-2</v>
      </c>
      <c r="P991" s="6">
        <f t="shared" si="208"/>
        <v>5114000</v>
      </c>
      <c r="Q991" s="6">
        <f t="shared" si="214"/>
        <v>88694444.450000003</v>
      </c>
      <c r="R991" s="4" t="str">
        <f t="shared" ca="1" si="215"/>
        <v>OK</v>
      </c>
      <c r="S991" s="6">
        <f>388064+59769+4448000</f>
        <v>4895833</v>
      </c>
      <c r="T991" s="5">
        <v>45341</v>
      </c>
      <c r="U991" s="30" t="str">
        <f t="shared" si="206"/>
        <v>PAGADO</v>
      </c>
    </row>
    <row r="992" spans="1:21" x14ac:dyDescent="0.25">
      <c r="A992" s="4" t="str">
        <f t="shared" si="207"/>
        <v>20242</v>
      </c>
      <c r="B992" s="4" t="s">
        <v>39</v>
      </c>
      <c r="C992" s="4" t="s">
        <v>25</v>
      </c>
      <c r="D992" s="29" t="s">
        <v>54</v>
      </c>
      <c r="E992" s="28">
        <v>45351</v>
      </c>
      <c r="F992" s="4">
        <f t="shared" si="210"/>
        <v>6</v>
      </c>
      <c r="G992" s="4">
        <f t="shared" si="211"/>
        <v>30</v>
      </c>
      <c r="H992" s="6">
        <v>2861111.11</v>
      </c>
      <c r="I992" s="6">
        <f t="shared" si="216"/>
        <v>2070045.4859629949</v>
      </c>
      <c r="J992" s="6">
        <v>0</v>
      </c>
      <c r="K992" s="6">
        <v>0</v>
      </c>
      <c r="L992" s="6">
        <f t="shared" si="209"/>
        <v>218167</v>
      </c>
      <c r="M992" s="7">
        <v>2.3339065922330097E-2</v>
      </c>
      <c r="N992" s="7">
        <f t="shared" si="212"/>
        <v>2.3339065922330097E-2</v>
      </c>
      <c r="O992" s="7">
        <f t="shared" si="213"/>
        <v>0</v>
      </c>
      <c r="P992" s="6">
        <f t="shared" si="208"/>
        <v>5149323.5959629947</v>
      </c>
      <c r="Q992" s="6">
        <f t="shared" si="214"/>
        <v>85833333.340000004</v>
      </c>
      <c r="R992" s="4" t="str">
        <f t="shared" ca="1" si="215"/>
        <v>OK</v>
      </c>
      <c r="S992" s="6">
        <f>408386+599671+3945360.85</f>
        <v>4953417.8499999996</v>
      </c>
      <c r="T992" s="5">
        <v>45377</v>
      </c>
      <c r="U992" s="30" t="str">
        <f t="shared" si="206"/>
        <v>PAGADO</v>
      </c>
    </row>
    <row r="993" spans="1:21" x14ac:dyDescent="0.25">
      <c r="A993" s="4" t="str">
        <f t="shared" si="207"/>
        <v>20243</v>
      </c>
      <c r="B993" s="4" t="s">
        <v>39</v>
      </c>
      <c r="C993" s="4" t="s">
        <v>25</v>
      </c>
      <c r="D993" s="29" t="s">
        <v>54</v>
      </c>
      <c r="E993" s="28">
        <v>45381</v>
      </c>
      <c r="F993" s="4">
        <f t="shared" si="210"/>
        <v>7</v>
      </c>
      <c r="G993" s="4">
        <f t="shared" si="211"/>
        <v>29</v>
      </c>
      <c r="H993" s="6">
        <v>2861111.11</v>
      </c>
      <c r="I993" s="6">
        <f t="shared" si="216"/>
        <v>2003269.8251555939</v>
      </c>
      <c r="J993" s="6">
        <v>0</v>
      </c>
      <c r="K993" s="6">
        <v>0</v>
      </c>
      <c r="L993" s="6">
        <f t="shared" si="209"/>
        <v>195905.7459629951</v>
      </c>
      <c r="M993" s="7">
        <v>2.3339065922330097E-2</v>
      </c>
      <c r="N993" s="7">
        <f t="shared" si="212"/>
        <v>2.3339065922330097E-2</v>
      </c>
      <c r="O993" s="7">
        <f t="shared" si="213"/>
        <v>0</v>
      </c>
      <c r="P993" s="6">
        <f t="shared" si="208"/>
        <v>5060286.6811185889</v>
      </c>
      <c r="Q993" s="6">
        <f t="shared" si="214"/>
        <v>82972222.230000004</v>
      </c>
      <c r="R993" s="4" t="str">
        <f t="shared" ca="1" si="215"/>
        <v>OK</v>
      </c>
      <c r="S993" s="6">
        <v>4950000</v>
      </c>
      <c r="T993" s="5">
        <v>45400</v>
      </c>
      <c r="U993" s="30" t="str">
        <f t="shared" si="206"/>
        <v>PAGADO</v>
      </c>
    </row>
    <row r="994" spans="1:21" x14ac:dyDescent="0.25">
      <c r="A994" s="4" t="str">
        <f t="shared" si="207"/>
        <v>20244</v>
      </c>
      <c r="B994" s="4" t="s">
        <v>39</v>
      </c>
      <c r="C994" s="4" t="s">
        <v>25</v>
      </c>
      <c r="D994" s="29" t="s">
        <v>54</v>
      </c>
      <c r="E994" s="28">
        <v>45412</v>
      </c>
      <c r="F994" s="4">
        <f t="shared" si="210"/>
        <v>8</v>
      </c>
      <c r="G994" s="4">
        <f t="shared" si="211"/>
        <v>28</v>
      </c>
      <c r="H994" s="6">
        <v>2861111.11</v>
      </c>
      <c r="I994" s="6">
        <f t="shared" si="216"/>
        <v>1936494.1643481927</v>
      </c>
      <c r="J994" s="6">
        <v>0</v>
      </c>
      <c r="K994" s="6">
        <v>0</v>
      </c>
      <c r="L994" s="6">
        <f t="shared" si="209"/>
        <v>110286.68111858889</v>
      </c>
      <c r="M994" s="7">
        <v>2.3339065922330097E-2</v>
      </c>
      <c r="N994" s="7">
        <f t="shared" si="212"/>
        <v>2.3339065922330097E-2</v>
      </c>
      <c r="O994" s="7">
        <f t="shared" si="213"/>
        <v>0</v>
      </c>
      <c r="P994" s="6">
        <f t="shared" si="208"/>
        <v>4907891.9554667817</v>
      </c>
      <c r="Q994" s="6">
        <f t="shared" si="214"/>
        <v>80111111.120000005</v>
      </c>
      <c r="R994" s="4" t="str">
        <f t="shared" ca="1" si="215"/>
        <v>OK</v>
      </c>
      <c r="S994" s="6">
        <f>277390+1756245+2533000</f>
        <v>4566635</v>
      </c>
      <c r="T994" s="5">
        <v>45422</v>
      </c>
      <c r="U994" s="30" t="str">
        <f t="shared" si="206"/>
        <v>PAGADO</v>
      </c>
    </row>
    <row r="995" spans="1:21" x14ac:dyDescent="0.25">
      <c r="A995" s="4" t="str">
        <f t="shared" si="207"/>
        <v>20245</v>
      </c>
      <c r="B995" s="4" t="s">
        <v>39</v>
      </c>
      <c r="C995" s="4" t="s">
        <v>25</v>
      </c>
      <c r="D995" s="29" t="s">
        <v>54</v>
      </c>
      <c r="E995" s="28">
        <v>45442</v>
      </c>
      <c r="F995" s="4">
        <f t="shared" si="210"/>
        <v>9</v>
      </c>
      <c r="G995" s="4">
        <f t="shared" si="211"/>
        <v>27</v>
      </c>
      <c r="H995" s="6">
        <v>2861111.11</v>
      </c>
      <c r="I995" s="6">
        <f t="shared" si="216"/>
        <v>1869718.5035407918</v>
      </c>
      <c r="J995" s="6">
        <v>0</v>
      </c>
      <c r="K995" s="6">
        <v>0</v>
      </c>
      <c r="L995" s="6">
        <f t="shared" si="209"/>
        <v>341256.95546678174</v>
      </c>
      <c r="M995" s="7">
        <v>2.3339065922330097E-2</v>
      </c>
      <c r="N995" s="7">
        <f t="shared" si="212"/>
        <v>2.3339065922330097E-2</v>
      </c>
      <c r="O995" s="7">
        <f t="shared" si="213"/>
        <v>0</v>
      </c>
      <c r="P995" s="6">
        <f t="shared" si="208"/>
        <v>5072086.5690075736</v>
      </c>
      <c r="Q995" s="6">
        <f t="shared" si="214"/>
        <v>77250000.010000005</v>
      </c>
      <c r="R995" s="4" t="str">
        <f t="shared" ca="1" si="215"/>
        <v>OK</v>
      </c>
      <c r="S995" s="6">
        <v>4850000</v>
      </c>
      <c r="T995" s="5">
        <v>45461</v>
      </c>
      <c r="U995" s="30" t="str">
        <f t="shared" si="206"/>
        <v>PAGADO</v>
      </c>
    </row>
    <row r="996" spans="1:21" x14ac:dyDescent="0.25">
      <c r="A996" s="4" t="str">
        <f t="shared" si="207"/>
        <v>20246</v>
      </c>
      <c r="B996" s="4" t="s">
        <v>39</v>
      </c>
      <c r="C996" s="4" t="s">
        <v>25</v>
      </c>
      <c r="D996" s="29" t="s">
        <v>54</v>
      </c>
      <c r="E996" s="28">
        <v>45473</v>
      </c>
      <c r="F996" s="4">
        <f t="shared" si="210"/>
        <v>10</v>
      </c>
      <c r="G996" s="4">
        <f t="shared" si="211"/>
        <v>26</v>
      </c>
      <c r="H996" s="6">
        <v>2861111.11</v>
      </c>
      <c r="I996" s="6">
        <f t="shared" si="216"/>
        <v>1802942.8427333909</v>
      </c>
      <c r="J996" s="6">
        <v>0</v>
      </c>
      <c r="K996" s="6">
        <v>0</v>
      </c>
      <c r="L996" s="6">
        <f t="shared" si="209"/>
        <v>222086.56900757365</v>
      </c>
      <c r="M996" s="7">
        <v>2.3339065922330097E-2</v>
      </c>
      <c r="N996" s="7">
        <f t="shared" si="212"/>
        <v>2.3339065922330097E-2</v>
      </c>
      <c r="O996" s="7">
        <f t="shared" si="213"/>
        <v>0</v>
      </c>
      <c r="P996" s="6">
        <f t="shared" si="208"/>
        <v>4886140.5217409646</v>
      </c>
      <c r="Q996" s="6">
        <f t="shared" si="214"/>
        <v>74388888.900000006</v>
      </c>
      <c r="R996" s="4" t="str">
        <f t="shared" ca="1" si="215"/>
        <v>OK</v>
      </c>
      <c r="S996" s="6">
        <v>4500000</v>
      </c>
      <c r="T996" s="5">
        <v>45488</v>
      </c>
      <c r="U996" s="30" t="str">
        <f t="shared" si="206"/>
        <v>PAGADO</v>
      </c>
    </row>
    <row r="997" spans="1:21" x14ac:dyDescent="0.25">
      <c r="A997" s="4" t="str">
        <f t="shared" si="207"/>
        <v>20247</v>
      </c>
      <c r="B997" s="4" t="s">
        <v>39</v>
      </c>
      <c r="C997" s="4" t="s">
        <v>25</v>
      </c>
      <c r="D997" s="29" t="s">
        <v>54</v>
      </c>
      <c r="E997" s="28">
        <v>45503</v>
      </c>
      <c r="F997" s="4">
        <f t="shared" si="210"/>
        <v>11</v>
      </c>
      <c r="G997" s="4">
        <f t="shared" si="211"/>
        <v>25</v>
      </c>
      <c r="H997" s="6">
        <v>2861111.11</v>
      </c>
      <c r="I997" s="6">
        <f t="shared" si="216"/>
        <v>1736167.1819259897</v>
      </c>
      <c r="J997" s="6">
        <v>0</v>
      </c>
      <c r="K997" s="6">
        <v>0</v>
      </c>
      <c r="L997" s="6">
        <f t="shared" si="209"/>
        <v>386140.52174096461</v>
      </c>
      <c r="M997" s="7">
        <v>2.3339065922330097E-2</v>
      </c>
      <c r="N997" s="7">
        <f t="shared" si="212"/>
        <v>2.3339065922330097E-2</v>
      </c>
      <c r="O997" s="7">
        <f t="shared" si="213"/>
        <v>0</v>
      </c>
      <c r="P997" s="6">
        <f t="shared" si="208"/>
        <v>4983418.8136669537</v>
      </c>
      <c r="Q997" s="6">
        <f t="shared" si="214"/>
        <v>71527777.790000007</v>
      </c>
      <c r="R997" s="4" t="str">
        <f t="shared" ca="1" si="215"/>
        <v>OK</v>
      </c>
      <c r="S997" s="6">
        <v>4032000</v>
      </c>
      <c r="T997" s="5">
        <v>45516</v>
      </c>
      <c r="U997" s="30" t="str">
        <f t="shared" si="206"/>
        <v>PAGADO</v>
      </c>
    </row>
    <row r="998" spans="1:21" x14ac:dyDescent="0.25">
      <c r="A998" s="4" t="str">
        <f t="shared" si="207"/>
        <v>20248</v>
      </c>
      <c r="B998" s="4" t="s">
        <v>39</v>
      </c>
      <c r="C998" s="4" t="s">
        <v>25</v>
      </c>
      <c r="D998" s="29" t="s">
        <v>54</v>
      </c>
      <c r="E998" s="28">
        <v>45534</v>
      </c>
      <c r="F998" s="4">
        <f t="shared" si="210"/>
        <v>12</v>
      </c>
      <c r="G998" s="4">
        <f t="shared" si="211"/>
        <v>24</v>
      </c>
      <c r="H998" s="6">
        <v>2861111.11</v>
      </c>
      <c r="I998" s="6">
        <f t="shared" si="216"/>
        <v>1669391.5211185887</v>
      </c>
      <c r="J998" s="6">
        <v>0</v>
      </c>
      <c r="K998" s="6">
        <v>0</v>
      </c>
      <c r="L998" s="6">
        <f t="shared" si="209"/>
        <v>951418.81366695371</v>
      </c>
      <c r="M998" s="7">
        <v>2.3339065922330097E-2</v>
      </c>
      <c r="N998" s="7">
        <f t="shared" si="212"/>
        <v>2.3339065922330097E-2</v>
      </c>
      <c r="O998" s="7">
        <f t="shared" si="213"/>
        <v>0</v>
      </c>
      <c r="P998" s="6">
        <f t="shared" si="208"/>
        <v>5481921.4447855419</v>
      </c>
      <c r="Q998" s="6">
        <f t="shared" si="214"/>
        <v>68666666.680000007</v>
      </c>
      <c r="R998" s="4">
        <f t="shared" ca="1" si="215"/>
        <v>4</v>
      </c>
      <c r="S998" s="6"/>
      <c r="T998" s="5"/>
      <c r="U998" s="30" t="str">
        <f t="shared" si="206"/>
        <v>PENDIENTE</v>
      </c>
    </row>
    <row r="999" spans="1:21" x14ac:dyDescent="0.25">
      <c r="A999" s="4" t="str">
        <f t="shared" si="207"/>
        <v>20249</v>
      </c>
      <c r="B999" s="4" t="s">
        <v>39</v>
      </c>
      <c r="C999" s="4" t="s">
        <v>25</v>
      </c>
      <c r="D999" s="29" t="s">
        <v>54</v>
      </c>
      <c r="E999" s="28">
        <v>45565</v>
      </c>
      <c r="F999" s="4">
        <f t="shared" si="210"/>
        <v>13</v>
      </c>
      <c r="G999" s="4">
        <f t="shared" si="211"/>
        <v>23</v>
      </c>
      <c r="H999" s="6">
        <v>2861111.11</v>
      </c>
      <c r="I999" s="6">
        <f t="shared" si="216"/>
        <v>1602615.8603111878</v>
      </c>
      <c r="J999" s="6">
        <v>0</v>
      </c>
      <c r="K999" s="6">
        <v>0</v>
      </c>
      <c r="L999" s="6">
        <f t="shared" si="209"/>
        <v>0</v>
      </c>
      <c r="M999" s="7">
        <v>2.3339065922330097E-2</v>
      </c>
      <c r="N999" s="7">
        <f t="shared" si="212"/>
        <v>2.3339065922330097E-2</v>
      </c>
      <c r="O999" s="7">
        <f t="shared" si="213"/>
        <v>0</v>
      </c>
      <c r="P999" s="6">
        <f t="shared" si="208"/>
        <v>4463726.9703111872</v>
      </c>
      <c r="Q999" s="6">
        <f t="shared" si="214"/>
        <v>65805555.570000008</v>
      </c>
      <c r="R999" s="4">
        <f t="shared" ca="1" si="215"/>
        <v>4</v>
      </c>
      <c r="S999" s="6"/>
      <c r="T999" s="5"/>
      <c r="U999" s="30" t="str">
        <f t="shared" si="206"/>
        <v>PENDIENTE</v>
      </c>
    </row>
    <row r="1000" spans="1:21" x14ac:dyDescent="0.25">
      <c r="A1000" s="4" t="str">
        <f t="shared" si="207"/>
        <v>202410</v>
      </c>
      <c r="B1000" s="4" t="s">
        <v>39</v>
      </c>
      <c r="C1000" s="4" t="s">
        <v>25</v>
      </c>
      <c r="D1000" s="29" t="s">
        <v>54</v>
      </c>
      <c r="E1000" s="28">
        <v>45595</v>
      </c>
      <c r="F1000" s="4">
        <f t="shared" si="210"/>
        <v>14</v>
      </c>
      <c r="G1000" s="4">
        <f t="shared" si="211"/>
        <v>22</v>
      </c>
      <c r="H1000" s="6">
        <v>2861111.11</v>
      </c>
      <c r="I1000" s="6">
        <f t="shared" si="216"/>
        <v>1535840.1995037866</v>
      </c>
      <c r="J1000" s="6">
        <v>0</v>
      </c>
      <c r="K1000" s="6">
        <v>0</v>
      </c>
      <c r="L1000" s="6">
        <f t="shared" si="209"/>
        <v>0</v>
      </c>
      <c r="M1000" s="7">
        <v>2.3339065922330097E-2</v>
      </c>
      <c r="N1000" s="7">
        <f t="shared" si="212"/>
        <v>2.3339065922330097E-2</v>
      </c>
      <c r="O1000" s="7">
        <f t="shared" si="213"/>
        <v>0</v>
      </c>
      <c r="P1000" s="6">
        <f t="shared" si="208"/>
        <v>4396951.3095037863</v>
      </c>
      <c r="Q1000" s="6">
        <f t="shared" si="214"/>
        <v>62944444.460000008</v>
      </c>
      <c r="R1000" s="4">
        <f t="shared" ca="1" si="215"/>
        <v>-27</v>
      </c>
      <c r="S1000" s="6"/>
      <c r="T1000" s="5"/>
      <c r="U1000" s="30" t="str">
        <f t="shared" si="206"/>
        <v>PENDIENTE</v>
      </c>
    </row>
    <row r="1001" spans="1:21" x14ac:dyDescent="0.25">
      <c r="A1001" s="4" t="str">
        <f t="shared" si="207"/>
        <v>202411</v>
      </c>
      <c r="B1001" s="4" t="s">
        <v>39</v>
      </c>
      <c r="C1001" s="4" t="s">
        <v>25</v>
      </c>
      <c r="D1001" s="29" t="s">
        <v>54</v>
      </c>
      <c r="E1001" s="28">
        <v>45626</v>
      </c>
      <c r="F1001" s="4">
        <f t="shared" si="210"/>
        <v>15</v>
      </c>
      <c r="G1001" s="4">
        <f t="shared" si="211"/>
        <v>21</v>
      </c>
      <c r="H1001" s="6">
        <v>2861111.11</v>
      </c>
      <c r="I1001" s="6">
        <f t="shared" si="216"/>
        <v>1469064.5386963857</v>
      </c>
      <c r="J1001" s="6">
        <v>0</v>
      </c>
      <c r="K1001" s="6">
        <v>0</v>
      </c>
      <c r="L1001" s="6">
        <f t="shared" si="209"/>
        <v>0</v>
      </c>
      <c r="M1001" s="7">
        <v>2.3339065922330097E-2</v>
      </c>
      <c r="N1001" s="7">
        <f t="shared" si="212"/>
        <v>2.3339065922330097E-2</v>
      </c>
      <c r="O1001" s="7">
        <f t="shared" si="213"/>
        <v>0</v>
      </c>
      <c r="P1001" s="6">
        <f t="shared" si="208"/>
        <v>4330175.6486963853</v>
      </c>
      <c r="Q1001" s="6">
        <f t="shared" si="214"/>
        <v>60083333.350000009</v>
      </c>
      <c r="R1001" s="4">
        <f t="shared" ca="1" si="215"/>
        <v>-57</v>
      </c>
      <c r="S1001" s="6"/>
      <c r="T1001" s="5"/>
      <c r="U1001" s="30" t="str">
        <f t="shared" si="206"/>
        <v>PENDIENTE</v>
      </c>
    </row>
    <row r="1002" spans="1:21" x14ac:dyDescent="0.25">
      <c r="A1002" s="4" t="str">
        <f t="shared" si="207"/>
        <v>202412</v>
      </c>
      <c r="B1002" s="4" t="s">
        <v>39</v>
      </c>
      <c r="C1002" s="4" t="s">
        <v>25</v>
      </c>
      <c r="D1002" s="29" t="s">
        <v>54</v>
      </c>
      <c r="E1002" s="28">
        <v>45656</v>
      </c>
      <c r="F1002" s="4">
        <f t="shared" si="210"/>
        <v>16</v>
      </c>
      <c r="G1002" s="4">
        <f t="shared" si="211"/>
        <v>20</v>
      </c>
      <c r="H1002" s="6">
        <v>2861111.11</v>
      </c>
      <c r="I1002" s="6">
        <f t="shared" si="216"/>
        <v>1402288.8778889845</v>
      </c>
      <c r="J1002" s="6">
        <v>0</v>
      </c>
      <c r="K1002" s="6">
        <v>0</v>
      </c>
      <c r="L1002" s="6">
        <f t="shared" si="209"/>
        <v>0</v>
      </c>
      <c r="M1002" s="7">
        <v>2.3339065922330097E-2</v>
      </c>
      <c r="N1002" s="7">
        <f t="shared" si="212"/>
        <v>2.3339065922330093E-2</v>
      </c>
      <c r="O1002" s="7">
        <f t="shared" si="213"/>
        <v>-1.1102230246251565E-16</v>
      </c>
      <c r="P1002" s="6">
        <f t="shared" si="208"/>
        <v>4263399.9878889844</v>
      </c>
      <c r="Q1002" s="6">
        <f t="shared" si="214"/>
        <v>57222222.24000001</v>
      </c>
      <c r="R1002" s="4">
        <f t="shared" ca="1" si="215"/>
        <v>-88</v>
      </c>
      <c r="S1002" s="6"/>
      <c r="T1002" s="5"/>
      <c r="U1002" s="30" t="str">
        <f t="shared" si="206"/>
        <v>PENDIENTE</v>
      </c>
    </row>
    <row r="1003" spans="1:21" x14ac:dyDescent="0.25">
      <c r="A1003" s="4" t="str">
        <f t="shared" si="207"/>
        <v>20251</v>
      </c>
      <c r="B1003" s="4" t="s">
        <v>39</v>
      </c>
      <c r="C1003" s="4" t="s">
        <v>25</v>
      </c>
      <c r="D1003" s="29" t="s">
        <v>54</v>
      </c>
      <c r="E1003" s="28">
        <v>45687</v>
      </c>
      <c r="F1003" s="4">
        <f t="shared" si="210"/>
        <v>17</v>
      </c>
      <c r="G1003" s="4">
        <f t="shared" si="211"/>
        <v>19</v>
      </c>
      <c r="H1003" s="6">
        <v>2861111.11</v>
      </c>
      <c r="I1003" s="6">
        <f t="shared" si="216"/>
        <v>1335513.2170815836</v>
      </c>
      <c r="J1003" s="6">
        <v>0</v>
      </c>
      <c r="K1003" s="6">
        <v>0</v>
      </c>
      <c r="L1003" s="6">
        <f t="shared" si="209"/>
        <v>0</v>
      </c>
      <c r="M1003" s="7">
        <v>2.3339065922330097E-2</v>
      </c>
      <c r="N1003" s="7">
        <f t="shared" si="212"/>
        <v>2.3339065922330097E-2</v>
      </c>
      <c r="O1003" s="7">
        <f t="shared" si="213"/>
        <v>0</v>
      </c>
      <c r="P1003" s="6">
        <f t="shared" si="208"/>
        <v>4196624.3270815834</v>
      </c>
      <c r="Q1003" s="6">
        <f t="shared" si="214"/>
        <v>54361111.13000001</v>
      </c>
      <c r="R1003" s="4">
        <f t="shared" ca="1" si="215"/>
        <v>-118</v>
      </c>
      <c r="S1003" s="6"/>
      <c r="T1003" s="5"/>
      <c r="U1003" s="30" t="str">
        <f t="shared" si="206"/>
        <v>PENDIENTE</v>
      </c>
    </row>
    <row r="1004" spans="1:21" x14ac:dyDescent="0.25">
      <c r="A1004" s="4" t="str">
        <f t="shared" si="207"/>
        <v>20252</v>
      </c>
      <c r="B1004" s="4" t="s">
        <v>39</v>
      </c>
      <c r="C1004" s="4" t="s">
        <v>25</v>
      </c>
      <c r="D1004" s="29" t="s">
        <v>54</v>
      </c>
      <c r="E1004" s="28">
        <v>45716</v>
      </c>
      <c r="F1004" s="4">
        <f t="shared" si="210"/>
        <v>18</v>
      </c>
      <c r="G1004" s="4">
        <f t="shared" si="211"/>
        <v>18</v>
      </c>
      <c r="H1004" s="6">
        <v>2861111.11</v>
      </c>
      <c r="I1004" s="6">
        <f t="shared" si="216"/>
        <v>1268737.5562741826</v>
      </c>
      <c r="J1004" s="6">
        <v>0</v>
      </c>
      <c r="K1004" s="6">
        <v>0</v>
      </c>
      <c r="L1004" s="6">
        <f t="shared" si="209"/>
        <v>0</v>
      </c>
      <c r="M1004" s="7">
        <v>2.3339065922330097E-2</v>
      </c>
      <c r="N1004" s="7">
        <f t="shared" si="212"/>
        <v>2.3339065922330097E-2</v>
      </c>
      <c r="O1004" s="7">
        <f t="shared" si="213"/>
        <v>0</v>
      </c>
      <c r="P1004" s="6">
        <f t="shared" si="208"/>
        <v>4129848.6662741825</v>
      </c>
      <c r="Q1004" s="6">
        <f t="shared" si="214"/>
        <v>51500000.020000011</v>
      </c>
      <c r="R1004" s="4">
        <f t="shared" ca="1" si="215"/>
        <v>-149</v>
      </c>
      <c r="S1004" s="6"/>
      <c r="T1004" s="5"/>
      <c r="U1004" s="30" t="str">
        <f t="shared" si="206"/>
        <v>PENDIENTE</v>
      </c>
    </row>
    <row r="1005" spans="1:21" x14ac:dyDescent="0.25">
      <c r="A1005" s="4" t="str">
        <f t="shared" si="207"/>
        <v>20253</v>
      </c>
      <c r="B1005" s="4" t="s">
        <v>39</v>
      </c>
      <c r="C1005" s="4" t="s">
        <v>25</v>
      </c>
      <c r="D1005" s="29" t="s">
        <v>54</v>
      </c>
      <c r="E1005" s="28">
        <v>45746</v>
      </c>
      <c r="F1005" s="4">
        <f t="shared" si="210"/>
        <v>19</v>
      </c>
      <c r="G1005" s="4">
        <f t="shared" si="211"/>
        <v>17</v>
      </c>
      <c r="H1005" s="6">
        <v>2861111.11</v>
      </c>
      <c r="I1005" s="6">
        <f t="shared" si="216"/>
        <v>1201961.8954667815</v>
      </c>
      <c r="J1005" s="6">
        <v>0</v>
      </c>
      <c r="K1005" s="6">
        <v>0</v>
      </c>
      <c r="L1005" s="6">
        <f t="shared" si="209"/>
        <v>0</v>
      </c>
      <c r="M1005" s="7">
        <v>2.3339065922330097E-2</v>
      </c>
      <c r="N1005" s="7">
        <f t="shared" si="212"/>
        <v>2.3339065922330093E-2</v>
      </c>
      <c r="O1005" s="7">
        <f t="shared" si="213"/>
        <v>-1.1102230246251565E-16</v>
      </c>
      <c r="P1005" s="6">
        <f t="shared" si="208"/>
        <v>4063073.0054667816</v>
      </c>
      <c r="Q1005" s="6">
        <f t="shared" si="214"/>
        <v>48638888.910000011</v>
      </c>
      <c r="R1005" s="4">
        <f t="shared" ca="1" si="215"/>
        <v>-178</v>
      </c>
      <c r="S1005" s="6"/>
      <c r="T1005" s="5"/>
      <c r="U1005" s="30" t="str">
        <f t="shared" si="206"/>
        <v>PENDIENTE</v>
      </c>
    </row>
    <row r="1006" spans="1:21" x14ac:dyDescent="0.25">
      <c r="A1006" s="4" t="str">
        <f t="shared" si="207"/>
        <v>20254</v>
      </c>
      <c r="B1006" s="4" t="s">
        <v>39</v>
      </c>
      <c r="C1006" s="4" t="s">
        <v>25</v>
      </c>
      <c r="D1006" s="29" t="s">
        <v>54</v>
      </c>
      <c r="E1006" s="28">
        <v>45777</v>
      </c>
      <c r="F1006" s="4">
        <f t="shared" si="210"/>
        <v>20</v>
      </c>
      <c r="G1006" s="4">
        <f t="shared" si="211"/>
        <v>16</v>
      </c>
      <c r="H1006" s="6">
        <v>2861111.11</v>
      </c>
      <c r="I1006" s="6">
        <f t="shared" si="216"/>
        <v>1135186.2346593805</v>
      </c>
      <c r="J1006" s="6">
        <v>0</v>
      </c>
      <c r="K1006" s="6">
        <v>0</v>
      </c>
      <c r="L1006" s="6">
        <f t="shared" si="209"/>
        <v>0</v>
      </c>
      <c r="M1006" s="7">
        <v>2.3339065922330097E-2</v>
      </c>
      <c r="N1006" s="7">
        <f t="shared" si="212"/>
        <v>2.3339065922330097E-2</v>
      </c>
      <c r="O1006" s="7">
        <f t="shared" si="213"/>
        <v>0</v>
      </c>
      <c r="P1006" s="6">
        <f t="shared" si="208"/>
        <v>3996297.3446593806</v>
      </c>
      <c r="Q1006" s="6">
        <f t="shared" si="214"/>
        <v>45777777.800000012</v>
      </c>
      <c r="R1006" s="4">
        <f t="shared" ca="1" si="215"/>
        <v>-208</v>
      </c>
      <c r="S1006" s="6"/>
      <c r="T1006" s="5"/>
      <c r="U1006" s="30" t="str">
        <f t="shared" si="206"/>
        <v>PENDIENTE</v>
      </c>
    </row>
    <row r="1007" spans="1:21" x14ac:dyDescent="0.25">
      <c r="A1007" s="4" t="str">
        <f t="shared" si="207"/>
        <v>20255</v>
      </c>
      <c r="B1007" s="4" t="s">
        <v>39</v>
      </c>
      <c r="C1007" s="4" t="s">
        <v>25</v>
      </c>
      <c r="D1007" s="29" t="s">
        <v>54</v>
      </c>
      <c r="E1007" s="28">
        <v>45807</v>
      </c>
      <c r="F1007" s="4">
        <f t="shared" si="210"/>
        <v>21</v>
      </c>
      <c r="G1007" s="4">
        <f t="shared" si="211"/>
        <v>15</v>
      </c>
      <c r="H1007" s="6">
        <v>2861111.11</v>
      </c>
      <c r="I1007" s="6">
        <f t="shared" si="216"/>
        <v>1068410.5738519796</v>
      </c>
      <c r="J1007" s="6">
        <v>0</v>
      </c>
      <c r="K1007" s="6">
        <v>0</v>
      </c>
      <c r="L1007" s="6">
        <f t="shared" si="209"/>
        <v>0</v>
      </c>
      <c r="M1007" s="7">
        <v>2.3339065922330097E-2</v>
      </c>
      <c r="N1007" s="7">
        <f t="shared" si="212"/>
        <v>2.3339065922330097E-2</v>
      </c>
      <c r="O1007" s="7">
        <f t="shared" si="213"/>
        <v>0</v>
      </c>
      <c r="P1007" s="6">
        <f t="shared" si="208"/>
        <v>3929521.6838519797</v>
      </c>
      <c r="Q1007" s="6">
        <f t="shared" si="214"/>
        <v>42916666.690000013</v>
      </c>
      <c r="R1007" s="4">
        <f t="shared" ca="1" si="215"/>
        <v>-239</v>
      </c>
      <c r="S1007" s="6"/>
      <c r="T1007" s="5"/>
      <c r="U1007" s="30" t="str">
        <f t="shared" si="206"/>
        <v>PENDIENTE</v>
      </c>
    </row>
    <row r="1008" spans="1:21" x14ac:dyDescent="0.25">
      <c r="A1008" s="4" t="str">
        <f t="shared" si="207"/>
        <v>20256</v>
      </c>
      <c r="B1008" s="4" t="s">
        <v>39</v>
      </c>
      <c r="C1008" s="4" t="s">
        <v>25</v>
      </c>
      <c r="D1008" s="29" t="s">
        <v>54</v>
      </c>
      <c r="E1008" s="28">
        <v>45838</v>
      </c>
      <c r="F1008" s="4">
        <f t="shared" si="210"/>
        <v>22</v>
      </c>
      <c r="G1008" s="4">
        <f t="shared" si="211"/>
        <v>14</v>
      </c>
      <c r="H1008" s="6">
        <v>2861111.11</v>
      </c>
      <c r="I1008" s="6">
        <f t="shared" si="216"/>
        <v>1001634.9130445785</v>
      </c>
      <c r="J1008" s="6">
        <v>0</v>
      </c>
      <c r="K1008" s="6">
        <v>0</v>
      </c>
      <c r="L1008" s="6">
        <f t="shared" si="209"/>
        <v>0</v>
      </c>
      <c r="M1008" s="7">
        <v>2.3339065922330097E-2</v>
      </c>
      <c r="N1008" s="7">
        <f t="shared" si="212"/>
        <v>2.3339065922330097E-2</v>
      </c>
      <c r="O1008" s="7">
        <f t="shared" si="213"/>
        <v>0</v>
      </c>
      <c r="P1008" s="6">
        <f t="shared" si="208"/>
        <v>3862746.0230445783</v>
      </c>
      <c r="Q1008" s="6">
        <f t="shared" si="214"/>
        <v>40055555.580000013</v>
      </c>
      <c r="R1008" s="4">
        <f t="shared" ca="1" si="215"/>
        <v>-269</v>
      </c>
      <c r="S1008" s="6"/>
      <c r="T1008" s="5"/>
      <c r="U1008" s="30" t="str">
        <f t="shared" si="206"/>
        <v>PENDIENTE</v>
      </c>
    </row>
    <row r="1009" spans="1:21" x14ac:dyDescent="0.25">
      <c r="A1009" s="4" t="str">
        <f t="shared" si="207"/>
        <v>20257</v>
      </c>
      <c r="B1009" s="4" t="s">
        <v>39</v>
      </c>
      <c r="C1009" s="4" t="s">
        <v>25</v>
      </c>
      <c r="D1009" s="29" t="s">
        <v>54</v>
      </c>
      <c r="E1009" s="28">
        <v>45868</v>
      </c>
      <c r="F1009" s="4">
        <f t="shared" si="210"/>
        <v>23</v>
      </c>
      <c r="G1009" s="4">
        <f t="shared" si="211"/>
        <v>13</v>
      </c>
      <c r="H1009" s="6">
        <v>2861111.11</v>
      </c>
      <c r="I1009" s="6">
        <f t="shared" si="216"/>
        <v>934859.25223717745</v>
      </c>
      <c r="J1009" s="6">
        <v>0</v>
      </c>
      <c r="K1009" s="6">
        <v>0</v>
      </c>
      <c r="L1009" s="6">
        <f t="shared" si="209"/>
        <v>0</v>
      </c>
      <c r="M1009" s="7">
        <v>2.3339065922330097E-2</v>
      </c>
      <c r="N1009" s="7">
        <f t="shared" si="212"/>
        <v>2.3339065922330097E-2</v>
      </c>
      <c r="O1009" s="7">
        <f t="shared" si="213"/>
        <v>0</v>
      </c>
      <c r="P1009" s="6">
        <f t="shared" si="208"/>
        <v>3795970.3622371773</v>
      </c>
      <c r="Q1009" s="6">
        <f t="shared" si="214"/>
        <v>37194444.470000014</v>
      </c>
      <c r="R1009" s="4">
        <f t="shared" ca="1" si="215"/>
        <v>-300</v>
      </c>
      <c r="S1009" s="6"/>
      <c r="T1009" s="5"/>
      <c r="U1009" s="30" t="str">
        <f t="shared" si="206"/>
        <v>PENDIENTE</v>
      </c>
    </row>
    <row r="1010" spans="1:21" x14ac:dyDescent="0.25">
      <c r="A1010" s="4" t="str">
        <f t="shared" si="207"/>
        <v>20258</v>
      </c>
      <c r="B1010" s="4" t="s">
        <v>39</v>
      </c>
      <c r="C1010" s="4" t="s">
        <v>25</v>
      </c>
      <c r="D1010" s="29" t="s">
        <v>54</v>
      </c>
      <c r="E1010" s="28">
        <v>45899</v>
      </c>
      <c r="F1010" s="4">
        <f t="shared" si="210"/>
        <v>24</v>
      </c>
      <c r="G1010" s="4">
        <f t="shared" si="211"/>
        <v>12</v>
      </c>
      <c r="H1010" s="6">
        <v>2861111.11</v>
      </c>
      <c r="I1010" s="6">
        <f t="shared" si="216"/>
        <v>868083.5914297764</v>
      </c>
      <c r="J1010" s="6">
        <v>0</v>
      </c>
      <c r="K1010" s="6">
        <v>0</v>
      </c>
      <c r="L1010" s="6">
        <f t="shared" si="209"/>
        <v>0</v>
      </c>
      <c r="M1010" s="7">
        <v>2.3339065922330097E-2</v>
      </c>
      <c r="N1010" s="7">
        <f t="shared" si="212"/>
        <v>2.3339065922330097E-2</v>
      </c>
      <c r="O1010" s="7">
        <f t="shared" si="213"/>
        <v>0</v>
      </c>
      <c r="P1010" s="6">
        <f t="shared" si="208"/>
        <v>3729194.7014297764</v>
      </c>
      <c r="Q1010" s="6">
        <f t="shared" si="214"/>
        <v>34333333.360000014</v>
      </c>
      <c r="R1010" s="4">
        <f t="shared" ca="1" si="215"/>
        <v>-330</v>
      </c>
      <c r="S1010" s="6"/>
      <c r="T1010" s="5"/>
      <c r="U1010" s="30" t="str">
        <f t="shared" si="206"/>
        <v>PENDIENTE</v>
      </c>
    </row>
    <row r="1011" spans="1:21" x14ac:dyDescent="0.25">
      <c r="A1011" s="4" t="str">
        <f t="shared" si="207"/>
        <v>20259</v>
      </c>
      <c r="B1011" s="4" t="s">
        <v>39</v>
      </c>
      <c r="C1011" s="4" t="s">
        <v>25</v>
      </c>
      <c r="D1011" s="29" t="s">
        <v>54</v>
      </c>
      <c r="E1011" s="28">
        <v>45930</v>
      </c>
      <c r="F1011" s="4">
        <f t="shared" si="210"/>
        <v>25</v>
      </c>
      <c r="G1011" s="4">
        <f t="shared" si="211"/>
        <v>11</v>
      </c>
      <c r="H1011" s="6">
        <v>2861111.11</v>
      </c>
      <c r="I1011" s="6">
        <f t="shared" si="216"/>
        <v>801307.93062237545</v>
      </c>
      <c r="J1011" s="6">
        <v>0</v>
      </c>
      <c r="K1011" s="6">
        <v>0</v>
      </c>
      <c r="L1011" s="6">
        <f t="shared" si="209"/>
        <v>0</v>
      </c>
      <c r="M1011" s="7">
        <v>2.3339065922330097E-2</v>
      </c>
      <c r="N1011" s="7">
        <f t="shared" si="212"/>
        <v>2.3339065922330097E-2</v>
      </c>
      <c r="O1011" s="7">
        <f t="shared" si="213"/>
        <v>0</v>
      </c>
      <c r="P1011" s="6">
        <f t="shared" si="208"/>
        <v>3662419.0406223754</v>
      </c>
      <c r="Q1011" s="6">
        <f t="shared" si="214"/>
        <v>31472222.250000015</v>
      </c>
      <c r="R1011" s="4">
        <f t="shared" ca="1" si="215"/>
        <v>-361</v>
      </c>
      <c r="S1011" s="6"/>
      <c r="T1011" s="5"/>
      <c r="U1011" s="30" t="str">
        <f t="shared" si="206"/>
        <v>PENDIENTE</v>
      </c>
    </row>
    <row r="1012" spans="1:21" x14ac:dyDescent="0.25">
      <c r="A1012" s="4" t="str">
        <f t="shared" si="207"/>
        <v>202510</v>
      </c>
      <c r="B1012" s="4" t="s">
        <v>39</v>
      </c>
      <c r="C1012" s="4" t="s">
        <v>25</v>
      </c>
      <c r="D1012" s="29" t="s">
        <v>54</v>
      </c>
      <c r="E1012" s="28">
        <v>45960</v>
      </c>
      <c r="F1012" s="4">
        <f t="shared" si="210"/>
        <v>26</v>
      </c>
      <c r="G1012" s="4">
        <f t="shared" si="211"/>
        <v>10</v>
      </c>
      <c r="H1012" s="6">
        <v>2861111.11</v>
      </c>
      <c r="I1012" s="6">
        <f t="shared" si="216"/>
        <v>734532.2698149744</v>
      </c>
      <c r="J1012" s="6">
        <v>0</v>
      </c>
      <c r="K1012" s="6">
        <v>0</v>
      </c>
      <c r="L1012" s="6">
        <f t="shared" si="209"/>
        <v>0</v>
      </c>
      <c r="M1012" s="7">
        <v>2.3339065922330097E-2</v>
      </c>
      <c r="N1012" s="7">
        <f t="shared" si="212"/>
        <v>2.3339065922330097E-2</v>
      </c>
      <c r="O1012" s="7">
        <f t="shared" si="213"/>
        <v>0</v>
      </c>
      <c r="P1012" s="6">
        <f t="shared" si="208"/>
        <v>3595643.379814974</v>
      </c>
      <c r="Q1012" s="6">
        <f t="shared" si="214"/>
        <v>28611111.140000015</v>
      </c>
      <c r="R1012" s="4">
        <f t="shared" ca="1" si="215"/>
        <v>-392</v>
      </c>
      <c r="S1012" s="6"/>
      <c r="T1012" s="5"/>
      <c r="U1012" s="30" t="str">
        <f t="shared" si="206"/>
        <v>PENDIENTE</v>
      </c>
    </row>
    <row r="1013" spans="1:21" x14ac:dyDescent="0.25">
      <c r="A1013" s="4" t="str">
        <f t="shared" si="207"/>
        <v>202511</v>
      </c>
      <c r="B1013" s="4" t="s">
        <v>39</v>
      </c>
      <c r="C1013" s="4" t="s">
        <v>25</v>
      </c>
      <c r="D1013" s="29" t="s">
        <v>54</v>
      </c>
      <c r="E1013" s="28">
        <v>45991</v>
      </c>
      <c r="F1013" s="4">
        <f t="shared" si="210"/>
        <v>27</v>
      </c>
      <c r="G1013" s="4">
        <f t="shared" si="211"/>
        <v>9</v>
      </c>
      <c r="H1013" s="6">
        <v>2861111.11</v>
      </c>
      <c r="I1013" s="6">
        <f t="shared" si="216"/>
        <v>667756.60900757334</v>
      </c>
      <c r="J1013" s="6">
        <v>0</v>
      </c>
      <c r="K1013" s="6">
        <v>0</v>
      </c>
      <c r="L1013" s="6">
        <f t="shared" si="209"/>
        <v>0</v>
      </c>
      <c r="M1013" s="7">
        <v>2.3339065922330097E-2</v>
      </c>
      <c r="N1013" s="7">
        <f t="shared" si="212"/>
        <v>2.3339065922330097E-2</v>
      </c>
      <c r="O1013" s="7">
        <f t="shared" si="213"/>
        <v>0</v>
      </c>
      <c r="P1013" s="6">
        <f t="shared" si="208"/>
        <v>3528867.7190075731</v>
      </c>
      <c r="Q1013" s="6">
        <f t="shared" si="214"/>
        <v>25750000.030000016</v>
      </c>
      <c r="R1013" s="4">
        <f t="shared" ca="1" si="215"/>
        <v>-422</v>
      </c>
      <c r="S1013" s="6"/>
      <c r="T1013" s="5"/>
      <c r="U1013" s="30" t="str">
        <f t="shared" si="206"/>
        <v>PENDIENTE</v>
      </c>
    </row>
    <row r="1014" spans="1:21" x14ac:dyDescent="0.25">
      <c r="A1014" s="4" t="str">
        <f t="shared" si="207"/>
        <v>202512</v>
      </c>
      <c r="B1014" s="4" t="s">
        <v>39</v>
      </c>
      <c r="C1014" s="4" t="s">
        <v>25</v>
      </c>
      <c r="D1014" s="29" t="s">
        <v>54</v>
      </c>
      <c r="E1014" s="28">
        <v>46021</v>
      </c>
      <c r="F1014" s="4">
        <f t="shared" si="210"/>
        <v>28</v>
      </c>
      <c r="G1014" s="4">
        <f t="shared" si="211"/>
        <v>8</v>
      </c>
      <c r="H1014" s="6">
        <v>2861111.11</v>
      </c>
      <c r="I1014" s="6">
        <f t="shared" si="216"/>
        <v>600980.9482001724</v>
      </c>
      <c r="J1014" s="6">
        <v>0</v>
      </c>
      <c r="K1014" s="6">
        <v>0</v>
      </c>
      <c r="L1014" s="6">
        <f t="shared" si="209"/>
        <v>0</v>
      </c>
      <c r="M1014" s="7">
        <v>2.3339065922330097E-2</v>
      </c>
      <c r="N1014" s="7">
        <f t="shared" si="212"/>
        <v>2.33390659223301E-2</v>
      </c>
      <c r="O1014" s="7">
        <f t="shared" si="213"/>
        <v>2.2204460492503131E-16</v>
      </c>
      <c r="P1014" s="6">
        <f t="shared" si="208"/>
        <v>3462092.0582001721</v>
      </c>
      <c r="Q1014" s="6">
        <f t="shared" si="214"/>
        <v>22888888.920000017</v>
      </c>
      <c r="R1014" s="4">
        <f t="shared" ca="1" si="215"/>
        <v>-453</v>
      </c>
      <c r="S1014" s="6"/>
      <c r="T1014" s="5"/>
      <c r="U1014" s="30" t="str">
        <f t="shared" si="206"/>
        <v>PENDIENTE</v>
      </c>
    </row>
    <row r="1015" spans="1:21" x14ac:dyDescent="0.25">
      <c r="A1015" s="4" t="str">
        <f t="shared" si="207"/>
        <v>20261</v>
      </c>
      <c r="B1015" s="4" t="s">
        <v>39</v>
      </c>
      <c r="C1015" s="4" t="s">
        <v>25</v>
      </c>
      <c r="D1015" s="29" t="s">
        <v>54</v>
      </c>
      <c r="E1015" s="28">
        <v>46052</v>
      </c>
      <c r="F1015" s="4">
        <f t="shared" si="210"/>
        <v>29</v>
      </c>
      <c r="G1015" s="4">
        <f t="shared" si="211"/>
        <v>7</v>
      </c>
      <c r="H1015" s="6">
        <v>2861111.11</v>
      </c>
      <c r="I1015" s="6">
        <f t="shared" si="216"/>
        <v>534205.28739277134</v>
      </c>
      <c r="J1015" s="6">
        <v>0</v>
      </c>
      <c r="K1015" s="6">
        <v>0</v>
      </c>
      <c r="L1015" s="6">
        <f t="shared" si="209"/>
        <v>0</v>
      </c>
      <c r="M1015" s="7">
        <v>2.3339065922330097E-2</v>
      </c>
      <c r="N1015" s="7">
        <f t="shared" si="212"/>
        <v>2.3339065922330097E-2</v>
      </c>
      <c r="O1015" s="7">
        <f t="shared" si="213"/>
        <v>0</v>
      </c>
      <c r="P1015" s="6">
        <f t="shared" si="208"/>
        <v>3395316.3973927712</v>
      </c>
      <c r="Q1015" s="6">
        <f t="shared" si="214"/>
        <v>20027777.810000017</v>
      </c>
      <c r="R1015" s="4">
        <f t="shared" ca="1" si="215"/>
        <v>-483</v>
      </c>
      <c r="S1015" s="6"/>
      <c r="T1015" s="5"/>
      <c r="U1015" s="30" t="str">
        <f t="shared" si="206"/>
        <v>PENDIENTE</v>
      </c>
    </row>
    <row r="1016" spans="1:21" x14ac:dyDescent="0.25">
      <c r="A1016" s="4" t="str">
        <f t="shared" si="207"/>
        <v>20262</v>
      </c>
      <c r="B1016" s="4" t="s">
        <v>39</v>
      </c>
      <c r="C1016" s="4" t="s">
        <v>25</v>
      </c>
      <c r="D1016" s="29" t="s">
        <v>54</v>
      </c>
      <c r="E1016" s="28">
        <v>46081</v>
      </c>
      <c r="F1016" s="4">
        <f t="shared" si="210"/>
        <v>30</v>
      </c>
      <c r="G1016" s="4">
        <f t="shared" si="211"/>
        <v>6</v>
      </c>
      <c r="H1016" s="6">
        <v>2861111.11</v>
      </c>
      <c r="I1016" s="6">
        <f t="shared" si="216"/>
        <v>467429.62658537028</v>
      </c>
      <c r="J1016" s="6">
        <v>0</v>
      </c>
      <c r="K1016" s="6">
        <v>0</v>
      </c>
      <c r="L1016" s="6">
        <f t="shared" si="209"/>
        <v>0</v>
      </c>
      <c r="M1016" s="7">
        <v>2.3339065922330097E-2</v>
      </c>
      <c r="N1016" s="7">
        <f t="shared" si="212"/>
        <v>2.3339065922330097E-2</v>
      </c>
      <c r="O1016" s="7">
        <f t="shared" si="213"/>
        <v>0</v>
      </c>
      <c r="P1016" s="6">
        <f t="shared" si="208"/>
        <v>3328540.7365853703</v>
      </c>
      <c r="Q1016" s="6">
        <f t="shared" si="214"/>
        <v>17166666.700000018</v>
      </c>
      <c r="R1016" s="4">
        <f t="shared" ca="1" si="215"/>
        <v>-514</v>
      </c>
      <c r="S1016" s="6"/>
      <c r="T1016" s="5"/>
      <c r="U1016" s="30" t="str">
        <f t="shared" si="206"/>
        <v>PENDIENTE</v>
      </c>
    </row>
    <row r="1017" spans="1:21" x14ac:dyDescent="0.25">
      <c r="A1017" s="4" t="str">
        <f t="shared" si="207"/>
        <v>20263</v>
      </c>
      <c r="B1017" s="4" t="s">
        <v>39</v>
      </c>
      <c r="C1017" s="4" t="s">
        <v>25</v>
      </c>
      <c r="D1017" s="29" t="s">
        <v>54</v>
      </c>
      <c r="E1017" s="28">
        <v>46111</v>
      </c>
      <c r="F1017" s="4">
        <f t="shared" si="210"/>
        <v>31</v>
      </c>
      <c r="G1017" s="4">
        <f t="shared" si="211"/>
        <v>5</v>
      </c>
      <c r="H1017" s="6">
        <v>2861111.11</v>
      </c>
      <c r="I1017" s="6">
        <f t="shared" si="216"/>
        <v>400653.96577796928</v>
      </c>
      <c r="J1017" s="6">
        <v>0</v>
      </c>
      <c r="K1017" s="6">
        <v>0</v>
      </c>
      <c r="L1017" s="6">
        <f t="shared" si="209"/>
        <v>0</v>
      </c>
      <c r="M1017" s="7">
        <v>2.3339065922330097E-2</v>
      </c>
      <c r="N1017" s="7">
        <f t="shared" si="212"/>
        <v>2.3339065922330097E-2</v>
      </c>
      <c r="O1017" s="7">
        <f t="shared" si="213"/>
        <v>0</v>
      </c>
      <c r="P1017" s="6">
        <f t="shared" si="208"/>
        <v>3261765.0757779693</v>
      </c>
      <c r="Q1017" s="6">
        <f t="shared" si="214"/>
        <v>14305555.590000018</v>
      </c>
      <c r="R1017" s="4">
        <f t="shared" ca="1" si="215"/>
        <v>-543</v>
      </c>
      <c r="S1017" s="6"/>
      <c r="T1017" s="5"/>
      <c r="U1017" s="30" t="str">
        <f t="shared" si="206"/>
        <v>PENDIENTE</v>
      </c>
    </row>
    <row r="1018" spans="1:21" x14ac:dyDescent="0.25">
      <c r="A1018" s="4" t="str">
        <f t="shared" si="207"/>
        <v>20264</v>
      </c>
      <c r="B1018" s="4" t="s">
        <v>39</v>
      </c>
      <c r="C1018" s="4" t="s">
        <v>25</v>
      </c>
      <c r="D1018" s="29" t="s">
        <v>54</v>
      </c>
      <c r="E1018" s="28">
        <v>46142</v>
      </c>
      <c r="F1018" s="4">
        <f t="shared" si="210"/>
        <v>32</v>
      </c>
      <c r="G1018" s="4">
        <f t="shared" si="211"/>
        <v>4</v>
      </c>
      <c r="H1018" s="6">
        <v>2861111.11</v>
      </c>
      <c r="I1018" s="6">
        <f t="shared" si="216"/>
        <v>333878.30497056828</v>
      </c>
      <c r="J1018" s="6">
        <v>0</v>
      </c>
      <c r="K1018" s="6">
        <v>0</v>
      </c>
      <c r="L1018" s="6">
        <f t="shared" si="209"/>
        <v>0</v>
      </c>
      <c r="M1018" s="7">
        <v>2.3339065922330097E-2</v>
      </c>
      <c r="N1018" s="7">
        <f t="shared" si="212"/>
        <v>2.33390659223301E-2</v>
      </c>
      <c r="O1018" s="7">
        <f t="shared" si="213"/>
        <v>2.2204460492503131E-16</v>
      </c>
      <c r="P1018" s="6">
        <f t="shared" si="208"/>
        <v>3194989.4149705684</v>
      </c>
      <c r="Q1018" s="6">
        <f t="shared" si="214"/>
        <v>11444444.480000019</v>
      </c>
      <c r="R1018" s="4">
        <f t="shared" ca="1" si="215"/>
        <v>-573</v>
      </c>
      <c r="S1018" s="6"/>
      <c r="T1018" s="5"/>
      <c r="U1018" s="30" t="str">
        <f t="shared" si="206"/>
        <v>PENDIENTE</v>
      </c>
    </row>
    <row r="1019" spans="1:21" x14ac:dyDescent="0.25">
      <c r="A1019" s="4" t="str">
        <f t="shared" si="207"/>
        <v>20265</v>
      </c>
      <c r="B1019" s="4" t="s">
        <v>39</v>
      </c>
      <c r="C1019" s="4" t="s">
        <v>25</v>
      </c>
      <c r="D1019" s="29" t="s">
        <v>54</v>
      </c>
      <c r="E1019" s="28">
        <v>46172</v>
      </c>
      <c r="F1019" s="4">
        <f t="shared" si="210"/>
        <v>33</v>
      </c>
      <c r="G1019" s="4">
        <f t="shared" si="211"/>
        <v>3</v>
      </c>
      <c r="H1019" s="6">
        <v>2861111.11</v>
      </c>
      <c r="I1019" s="6">
        <f t="shared" si="216"/>
        <v>267102.64416316722</v>
      </c>
      <c r="J1019" s="6">
        <v>0</v>
      </c>
      <c r="K1019" s="6">
        <v>0</v>
      </c>
      <c r="L1019" s="6">
        <f t="shared" si="209"/>
        <v>0</v>
      </c>
      <c r="M1019" s="7">
        <v>2.3339065922330097E-2</v>
      </c>
      <c r="N1019" s="7">
        <f t="shared" si="212"/>
        <v>2.3339065922330097E-2</v>
      </c>
      <c r="O1019" s="7">
        <f t="shared" si="213"/>
        <v>0</v>
      </c>
      <c r="P1019" s="6">
        <f t="shared" si="208"/>
        <v>3128213.754163167</v>
      </c>
      <c r="Q1019" s="6">
        <f t="shared" si="214"/>
        <v>8583333.3700000197</v>
      </c>
      <c r="R1019" s="4">
        <f t="shared" ca="1" si="215"/>
        <v>-604</v>
      </c>
      <c r="S1019" s="6"/>
      <c r="T1019" s="5"/>
      <c r="U1019" s="30" t="str">
        <f t="shared" si="206"/>
        <v>PENDIENTE</v>
      </c>
    </row>
    <row r="1020" spans="1:21" x14ac:dyDescent="0.25">
      <c r="A1020" s="4" t="str">
        <f t="shared" si="207"/>
        <v>20266</v>
      </c>
      <c r="B1020" s="4" t="s">
        <v>39</v>
      </c>
      <c r="C1020" s="4" t="s">
        <v>25</v>
      </c>
      <c r="D1020" s="29" t="s">
        <v>54</v>
      </c>
      <c r="E1020" s="28">
        <v>46203</v>
      </c>
      <c r="F1020" s="4">
        <f t="shared" si="210"/>
        <v>34</v>
      </c>
      <c r="G1020" s="4">
        <f t="shared" si="211"/>
        <v>2</v>
      </c>
      <c r="H1020" s="6">
        <v>2861111.11</v>
      </c>
      <c r="I1020" s="6">
        <f t="shared" si="216"/>
        <v>200326.98335576622</v>
      </c>
      <c r="J1020" s="6">
        <v>0</v>
      </c>
      <c r="K1020" s="6">
        <v>0</v>
      </c>
      <c r="L1020" s="6">
        <f t="shared" si="209"/>
        <v>0</v>
      </c>
      <c r="M1020" s="7">
        <v>2.3339065922330097E-2</v>
      </c>
      <c r="N1020" s="7">
        <f t="shared" si="212"/>
        <v>2.3339065922330097E-2</v>
      </c>
      <c r="O1020" s="7">
        <f t="shared" si="213"/>
        <v>0</v>
      </c>
      <c r="P1020" s="6">
        <f t="shared" si="208"/>
        <v>3061438.093355766</v>
      </c>
      <c r="Q1020" s="6">
        <f t="shared" si="214"/>
        <v>5722222.2600000203</v>
      </c>
      <c r="R1020" s="4">
        <f t="shared" ca="1" si="215"/>
        <v>-634</v>
      </c>
      <c r="S1020" s="6"/>
      <c r="T1020" s="5"/>
      <c r="U1020" s="30" t="str">
        <f t="shared" si="206"/>
        <v>PENDIENTE</v>
      </c>
    </row>
    <row r="1021" spans="1:21" x14ac:dyDescent="0.25">
      <c r="A1021" s="4" t="str">
        <f t="shared" si="207"/>
        <v>20267</v>
      </c>
      <c r="B1021" s="4" t="s">
        <v>39</v>
      </c>
      <c r="C1021" s="4" t="s">
        <v>25</v>
      </c>
      <c r="D1021" s="29" t="s">
        <v>54</v>
      </c>
      <c r="E1021" s="28">
        <v>46233</v>
      </c>
      <c r="F1021" s="4">
        <f t="shared" si="210"/>
        <v>35</v>
      </c>
      <c r="G1021" s="4">
        <f t="shared" si="211"/>
        <v>1</v>
      </c>
      <c r="H1021" s="6">
        <v>2861111.11</v>
      </c>
      <c r="I1021" s="6">
        <f t="shared" si="216"/>
        <v>133551.32254836519</v>
      </c>
      <c r="J1021" s="6">
        <v>0</v>
      </c>
      <c r="K1021" s="6">
        <v>0</v>
      </c>
      <c r="L1021" s="6">
        <f t="shared" si="209"/>
        <v>0</v>
      </c>
      <c r="M1021" s="7">
        <v>2.3339065922330097E-2</v>
      </c>
      <c r="N1021" s="7">
        <f t="shared" si="212"/>
        <v>2.3339065922330097E-2</v>
      </c>
      <c r="O1021" s="7">
        <f t="shared" si="213"/>
        <v>0</v>
      </c>
      <c r="P1021" s="6">
        <f t="shared" si="208"/>
        <v>2994662.4325483651</v>
      </c>
      <c r="Q1021" s="6">
        <f t="shared" si="214"/>
        <v>2861111.1500000204</v>
      </c>
      <c r="R1021" s="4">
        <f t="shared" ca="1" si="215"/>
        <v>-665</v>
      </c>
      <c r="S1021" s="6"/>
      <c r="T1021" s="5"/>
      <c r="U1021" s="30" t="str">
        <f t="shared" si="206"/>
        <v>PENDIENTE</v>
      </c>
    </row>
    <row r="1022" spans="1:21" x14ac:dyDescent="0.25">
      <c r="A1022" s="4" t="str">
        <f t="shared" si="207"/>
        <v>20268</v>
      </c>
      <c r="B1022" s="4" t="s">
        <v>39</v>
      </c>
      <c r="C1022" s="4" t="s">
        <v>25</v>
      </c>
      <c r="D1022" s="29" t="s">
        <v>54</v>
      </c>
      <c r="E1022" s="28">
        <v>46264</v>
      </c>
      <c r="F1022" s="4">
        <f t="shared" si="210"/>
        <v>36</v>
      </c>
      <c r="G1022" s="4">
        <f t="shared" si="211"/>
        <v>0</v>
      </c>
      <c r="H1022" s="6">
        <v>2861111.11</v>
      </c>
      <c r="I1022" s="6">
        <f t="shared" si="216"/>
        <v>66775.661740964148</v>
      </c>
      <c r="J1022" s="6">
        <v>0</v>
      </c>
      <c r="K1022" s="6">
        <v>0</v>
      </c>
      <c r="L1022" s="6">
        <f t="shared" si="209"/>
        <v>0</v>
      </c>
      <c r="M1022" s="7">
        <v>2.3339065922330097E-2</v>
      </c>
      <c r="N1022" s="7">
        <f t="shared" si="212"/>
        <v>2.3339065922330097E-2</v>
      </c>
      <c r="O1022" s="7">
        <f t="shared" si="213"/>
        <v>0</v>
      </c>
      <c r="P1022" s="6">
        <f t="shared" si="208"/>
        <v>2927886.7717409641</v>
      </c>
      <c r="Q1022" s="6">
        <f t="shared" si="214"/>
        <v>4.0000020526349545E-2</v>
      </c>
      <c r="R1022" s="4">
        <f t="shared" ca="1" si="215"/>
        <v>-695</v>
      </c>
      <c r="S1022" s="6"/>
      <c r="T1022" s="5"/>
      <c r="U1022" s="30" t="str">
        <f t="shared" si="206"/>
        <v>PENDIENTE</v>
      </c>
    </row>
    <row r="1023" spans="1:21" x14ac:dyDescent="0.25">
      <c r="A1023" s="4" t="str">
        <f t="shared" si="207"/>
        <v>202311</v>
      </c>
      <c r="B1023" s="4" t="s">
        <v>20</v>
      </c>
      <c r="C1023" s="4" t="s">
        <v>21</v>
      </c>
      <c r="D1023" s="29" t="s">
        <v>55</v>
      </c>
      <c r="E1023" s="28">
        <v>45259</v>
      </c>
      <c r="F1023" s="4">
        <v>0</v>
      </c>
      <c r="G1023" s="4">
        <v>12</v>
      </c>
      <c r="H1023" s="6">
        <v>0</v>
      </c>
      <c r="I1023" s="6">
        <v>0</v>
      </c>
      <c r="J1023" s="6">
        <v>0</v>
      </c>
      <c r="K1023" s="6">
        <v>0</v>
      </c>
      <c r="L1023" s="6">
        <v>0</v>
      </c>
      <c r="M1023" s="7">
        <v>0</v>
      </c>
      <c r="N1023" s="7">
        <v>0</v>
      </c>
      <c r="O1023" s="7">
        <v>0</v>
      </c>
      <c r="P1023" s="6">
        <f t="shared" si="208"/>
        <v>0</v>
      </c>
      <c r="Q1023" s="6">
        <v>60000000</v>
      </c>
      <c r="R1023" s="4" t="s">
        <v>27</v>
      </c>
      <c r="S1023" s="6">
        <v>0</v>
      </c>
      <c r="T1023" s="5">
        <v>45259</v>
      </c>
      <c r="U1023" s="30" t="str">
        <f t="shared" si="206"/>
        <v>PAGADO</v>
      </c>
    </row>
    <row r="1024" spans="1:21" x14ac:dyDescent="0.25">
      <c r="A1024" s="4" t="str">
        <f t="shared" si="207"/>
        <v>202312</v>
      </c>
      <c r="B1024" s="4" t="s">
        <v>20</v>
      </c>
      <c r="C1024" s="4" t="s">
        <v>21</v>
      </c>
      <c r="D1024" s="29" t="s">
        <v>55</v>
      </c>
      <c r="E1024" s="28">
        <v>45289</v>
      </c>
      <c r="F1024" s="4">
        <v>1</v>
      </c>
      <c r="G1024" s="4">
        <v>11</v>
      </c>
      <c r="H1024" s="6">
        <v>5000000</v>
      </c>
      <c r="I1024" s="6">
        <v>965900</v>
      </c>
      <c r="J1024" s="6">
        <v>0</v>
      </c>
      <c r="K1024" s="6">
        <v>0</v>
      </c>
      <c r="L1024" s="6">
        <f t="shared" si="209"/>
        <v>0</v>
      </c>
      <c r="M1024" s="7">
        <f>I1024/Q1023</f>
        <v>1.6098333333333333E-2</v>
      </c>
      <c r="N1024" s="7">
        <v>1.6098333333333333E-2</v>
      </c>
      <c r="O1024" s="7">
        <f t="shared" si="213"/>
        <v>0</v>
      </c>
      <c r="P1024" s="6">
        <f t="shared" si="208"/>
        <v>5965900</v>
      </c>
      <c r="Q1024" s="6">
        <f t="shared" si="214"/>
        <v>55000000</v>
      </c>
      <c r="R1024" s="4" t="str">
        <f t="shared" ca="1" si="215"/>
        <v>OK</v>
      </c>
      <c r="S1024" s="6">
        <f>3455065.43+2521011.57</f>
        <v>5976077</v>
      </c>
      <c r="T1024" s="5">
        <v>45294</v>
      </c>
      <c r="U1024" s="30" t="str">
        <f t="shared" si="206"/>
        <v>PAGADO</v>
      </c>
    </row>
    <row r="1025" spans="1:21" x14ac:dyDescent="0.25">
      <c r="A1025" s="4" t="str">
        <f t="shared" si="207"/>
        <v>20241</v>
      </c>
      <c r="B1025" s="4" t="s">
        <v>20</v>
      </c>
      <c r="C1025" s="4" t="s">
        <v>21</v>
      </c>
      <c r="D1025" s="29" t="s">
        <v>55</v>
      </c>
      <c r="E1025" s="28">
        <v>45320</v>
      </c>
      <c r="F1025" s="4">
        <v>2</v>
      </c>
      <c r="G1025" s="4">
        <v>10</v>
      </c>
      <c r="H1025" s="6">
        <v>5000000</v>
      </c>
      <c r="I1025" s="6">
        <f>Q1024*M1025</f>
        <v>885408.33333333326</v>
      </c>
      <c r="J1025" s="6">
        <v>0</v>
      </c>
      <c r="K1025" s="6">
        <v>0</v>
      </c>
      <c r="L1025" s="6">
        <f t="shared" si="209"/>
        <v>0</v>
      </c>
      <c r="M1025" s="7">
        <v>1.6098333333333333E-2</v>
      </c>
      <c r="N1025" s="7">
        <v>1.6098333333333333E-2</v>
      </c>
      <c r="O1025" s="7">
        <f t="shared" si="213"/>
        <v>0</v>
      </c>
      <c r="P1025" s="6">
        <f t="shared" si="208"/>
        <v>5885408.333333333</v>
      </c>
      <c r="Q1025" s="6">
        <f t="shared" si="214"/>
        <v>50000000</v>
      </c>
      <c r="R1025" s="4" t="str">
        <f t="shared" ca="1" si="215"/>
        <v>OK</v>
      </c>
      <c r="S1025" s="6">
        <f>2280099.87+3629330.13</f>
        <v>5909430</v>
      </c>
      <c r="T1025" s="5">
        <v>45322</v>
      </c>
      <c r="U1025" s="30" t="str">
        <f t="shared" si="206"/>
        <v>PAGADO</v>
      </c>
    </row>
    <row r="1026" spans="1:21" x14ac:dyDescent="0.25">
      <c r="A1026" s="4" t="str">
        <f t="shared" si="207"/>
        <v>20242</v>
      </c>
      <c r="B1026" s="4" t="s">
        <v>20</v>
      </c>
      <c r="C1026" s="4" t="s">
        <v>21</v>
      </c>
      <c r="D1026" s="29" t="s">
        <v>55</v>
      </c>
      <c r="E1026" s="28">
        <v>45351</v>
      </c>
      <c r="F1026" s="4">
        <v>3</v>
      </c>
      <c r="G1026" s="4">
        <v>9</v>
      </c>
      <c r="H1026" s="6">
        <v>5000000</v>
      </c>
      <c r="I1026" s="6">
        <f t="shared" ref="I1026:I1035" si="217">Q1025*M1026</f>
        <v>804916.66666666663</v>
      </c>
      <c r="J1026" s="6">
        <v>0</v>
      </c>
      <c r="K1026" s="6">
        <v>0</v>
      </c>
      <c r="L1026" s="6">
        <f t="shared" si="209"/>
        <v>0</v>
      </c>
      <c r="M1026" s="7">
        <v>1.6098333333333333E-2</v>
      </c>
      <c r="N1026" s="7">
        <v>1.6098333333333333E-2</v>
      </c>
      <c r="O1026" s="7">
        <f t="shared" si="213"/>
        <v>0</v>
      </c>
      <c r="P1026" s="6">
        <f t="shared" si="208"/>
        <v>5804916.666666667</v>
      </c>
      <c r="Q1026" s="6">
        <f t="shared" si="214"/>
        <v>45000000</v>
      </c>
      <c r="R1026" s="4" t="str">
        <f t="shared" ca="1" si="215"/>
        <v>OK</v>
      </c>
      <c r="S1026" s="6">
        <f>2609122.57+1733530.8+1475906.63</f>
        <v>5818560</v>
      </c>
      <c r="T1026" s="5">
        <v>45359</v>
      </c>
      <c r="U1026" s="30" t="str">
        <f t="shared" si="206"/>
        <v>PAGADO</v>
      </c>
    </row>
    <row r="1027" spans="1:21" x14ac:dyDescent="0.25">
      <c r="A1027" s="4" t="str">
        <f t="shared" si="207"/>
        <v>20243</v>
      </c>
      <c r="B1027" s="4" t="s">
        <v>20</v>
      </c>
      <c r="C1027" s="4" t="s">
        <v>21</v>
      </c>
      <c r="D1027" s="29" t="s">
        <v>55</v>
      </c>
      <c r="E1027" s="28">
        <v>45380</v>
      </c>
      <c r="F1027" s="4">
        <v>4</v>
      </c>
      <c r="G1027" s="4">
        <v>8</v>
      </c>
      <c r="H1027" s="6">
        <v>5000000</v>
      </c>
      <c r="I1027" s="6">
        <f t="shared" si="217"/>
        <v>724425</v>
      </c>
      <c r="J1027" s="6">
        <v>0</v>
      </c>
      <c r="K1027" s="6">
        <v>0</v>
      </c>
      <c r="L1027" s="6">
        <f t="shared" si="209"/>
        <v>0</v>
      </c>
      <c r="M1027" s="7">
        <v>1.6098333333333333E-2</v>
      </c>
      <c r="N1027" s="7">
        <v>1.6098333333333333E-2</v>
      </c>
      <c r="O1027" s="7">
        <f t="shared" si="213"/>
        <v>0</v>
      </c>
      <c r="P1027" s="6">
        <f t="shared" si="208"/>
        <v>5724425</v>
      </c>
      <c r="Q1027" s="6">
        <f t="shared" si="214"/>
        <v>40000000</v>
      </c>
      <c r="R1027" s="4" t="str">
        <f t="shared" ca="1" si="215"/>
        <v>OK</v>
      </c>
      <c r="S1027" s="6">
        <v>5682334</v>
      </c>
      <c r="T1027" s="5">
        <v>45383</v>
      </c>
      <c r="U1027" s="30" t="str">
        <f t="shared" si="206"/>
        <v>PAGADO</v>
      </c>
    </row>
    <row r="1028" spans="1:21" x14ac:dyDescent="0.25">
      <c r="A1028" s="4" t="str">
        <f t="shared" si="207"/>
        <v>20244</v>
      </c>
      <c r="B1028" s="4" t="s">
        <v>20</v>
      </c>
      <c r="C1028" s="4" t="s">
        <v>21</v>
      </c>
      <c r="D1028" s="29" t="s">
        <v>55</v>
      </c>
      <c r="E1028" s="28">
        <v>45411</v>
      </c>
      <c r="F1028" s="4">
        <v>5</v>
      </c>
      <c r="G1028" s="4">
        <v>7</v>
      </c>
      <c r="H1028" s="6">
        <v>5000000</v>
      </c>
      <c r="I1028" s="6">
        <f t="shared" si="217"/>
        <v>643933.33333333326</v>
      </c>
      <c r="J1028" s="6">
        <v>0</v>
      </c>
      <c r="K1028" s="6">
        <v>0</v>
      </c>
      <c r="L1028" s="6">
        <f t="shared" si="209"/>
        <v>42091</v>
      </c>
      <c r="M1028" s="7">
        <v>1.6098333333333333E-2</v>
      </c>
      <c r="N1028" s="7">
        <v>1.6098333333333333E-2</v>
      </c>
      <c r="O1028" s="7">
        <f t="shared" si="213"/>
        <v>0</v>
      </c>
      <c r="P1028" s="6">
        <f t="shared" si="208"/>
        <v>5686024.333333333</v>
      </c>
      <c r="Q1028" s="6">
        <f t="shared" si="214"/>
        <v>35000000</v>
      </c>
      <c r="R1028" s="4" t="str">
        <f t="shared" ca="1" si="215"/>
        <v>OK</v>
      </c>
      <c r="S1028" s="6">
        <v>6011278</v>
      </c>
      <c r="T1028" s="5">
        <v>45441</v>
      </c>
      <c r="U1028" s="30" t="str">
        <f t="shared" ref="U1028:U1035" si="218">IF(AND(S1028="",T1028=""),"PENDIENTE",IF(AND(S1028&lt;&gt;"",T1028&lt;&gt;""),"PAGADO","ABONADO"))</f>
        <v>PAGADO</v>
      </c>
    </row>
    <row r="1029" spans="1:21" x14ac:dyDescent="0.25">
      <c r="A1029" s="4" t="str">
        <f t="shared" ref="A1029:A1035" si="219">CONCATENATE(YEAR($E1029),MONTH($E1029))</f>
        <v>20245</v>
      </c>
      <c r="B1029" s="4" t="s">
        <v>20</v>
      </c>
      <c r="C1029" s="4" t="s">
        <v>21</v>
      </c>
      <c r="D1029" s="29" t="s">
        <v>55</v>
      </c>
      <c r="E1029" s="28">
        <v>45441</v>
      </c>
      <c r="F1029" s="4">
        <v>6</v>
      </c>
      <c r="G1029" s="4">
        <v>6</v>
      </c>
      <c r="H1029" s="6">
        <v>5000000</v>
      </c>
      <c r="I1029" s="6">
        <f t="shared" si="217"/>
        <v>563441.66666666663</v>
      </c>
      <c r="J1029" s="6">
        <v>0</v>
      </c>
      <c r="K1029" s="6">
        <v>0</v>
      </c>
      <c r="L1029" s="6">
        <f t="shared" si="209"/>
        <v>0</v>
      </c>
      <c r="M1029" s="7">
        <v>1.6098333333333333E-2</v>
      </c>
      <c r="N1029" s="7">
        <v>1.6098333333333333E-2</v>
      </c>
      <c r="O1029" s="7">
        <f t="shared" si="213"/>
        <v>0</v>
      </c>
      <c r="P1029" s="6">
        <f t="shared" si="208"/>
        <v>5563441.666666667</v>
      </c>
      <c r="Q1029" s="6">
        <f t="shared" si="214"/>
        <v>30000000</v>
      </c>
      <c r="R1029" s="4" t="str">
        <f t="shared" ca="1" si="215"/>
        <v>OK</v>
      </c>
      <c r="S1029" s="6">
        <v>5455478</v>
      </c>
      <c r="T1029" s="5">
        <v>45455</v>
      </c>
      <c r="U1029" s="30" t="str">
        <f t="shared" si="218"/>
        <v>PAGADO</v>
      </c>
    </row>
    <row r="1030" spans="1:21" x14ac:dyDescent="0.25">
      <c r="A1030" s="4" t="str">
        <f t="shared" si="219"/>
        <v>20246</v>
      </c>
      <c r="B1030" s="4" t="s">
        <v>20</v>
      </c>
      <c r="C1030" s="4" t="s">
        <v>21</v>
      </c>
      <c r="D1030" s="29" t="s">
        <v>55</v>
      </c>
      <c r="E1030" s="28">
        <v>45472</v>
      </c>
      <c r="F1030" s="4">
        <v>7</v>
      </c>
      <c r="G1030" s="4">
        <v>5</v>
      </c>
      <c r="H1030" s="6">
        <v>5000000</v>
      </c>
      <c r="I1030" s="6">
        <f t="shared" si="217"/>
        <v>482950</v>
      </c>
      <c r="J1030" s="6">
        <v>0</v>
      </c>
      <c r="K1030" s="6">
        <v>0</v>
      </c>
      <c r="L1030" s="6">
        <f t="shared" si="209"/>
        <v>107963.66666666698</v>
      </c>
      <c r="M1030" s="7">
        <v>1.6098333333333333E-2</v>
      </c>
      <c r="N1030" s="7">
        <v>1.6098333333333333E-2</v>
      </c>
      <c r="O1030" s="7">
        <f t="shared" si="213"/>
        <v>0</v>
      </c>
      <c r="P1030" s="6">
        <f t="shared" si="208"/>
        <v>5590913.666666667</v>
      </c>
      <c r="Q1030" s="6">
        <f t="shared" si="214"/>
        <v>25000000</v>
      </c>
      <c r="R1030" s="4" t="str">
        <f t="shared" ca="1" si="215"/>
        <v>OK</v>
      </c>
      <c r="S1030" s="6">
        <v>5455478</v>
      </c>
      <c r="T1030" s="5">
        <v>45471</v>
      </c>
      <c r="U1030" s="30" t="str">
        <f t="shared" si="218"/>
        <v>PAGADO</v>
      </c>
    </row>
    <row r="1031" spans="1:21" x14ac:dyDescent="0.25">
      <c r="A1031" s="4" t="str">
        <f t="shared" si="219"/>
        <v>20247</v>
      </c>
      <c r="B1031" s="4" t="s">
        <v>20</v>
      </c>
      <c r="C1031" s="4" t="s">
        <v>21</v>
      </c>
      <c r="D1031" s="29" t="s">
        <v>55</v>
      </c>
      <c r="E1031" s="28">
        <v>45502</v>
      </c>
      <c r="F1031" s="4">
        <v>8</v>
      </c>
      <c r="G1031" s="4">
        <v>4</v>
      </c>
      <c r="H1031" s="6">
        <v>5000000</v>
      </c>
      <c r="I1031" s="6">
        <f t="shared" si="217"/>
        <v>402458.33333333331</v>
      </c>
      <c r="J1031" s="6">
        <v>0</v>
      </c>
      <c r="K1031" s="6">
        <v>0</v>
      </c>
      <c r="L1031" s="6">
        <f t="shared" si="209"/>
        <v>135435.66666666698</v>
      </c>
      <c r="M1031" s="7">
        <v>1.6098333333333333E-2</v>
      </c>
      <c r="N1031" s="7">
        <v>1.6098333333333333E-2</v>
      </c>
      <c r="O1031" s="7">
        <f t="shared" si="213"/>
        <v>0</v>
      </c>
      <c r="P1031" s="6">
        <f t="shared" si="208"/>
        <v>5537894</v>
      </c>
      <c r="Q1031" s="6">
        <f t="shared" si="214"/>
        <v>20000000</v>
      </c>
      <c r="R1031" s="4" t="str">
        <f t="shared" ca="1" si="215"/>
        <v>OK</v>
      </c>
      <c r="S1031" s="6">
        <v>5369530</v>
      </c>
      <c r="T1031" s="5">
        <v>45502</v>
      </c>
      <c r="U1031" s="30" t="str">
        <f t="shared" si="218"/>
        <v>PAGADO</v>
      </c>
    </row>
    <row r="1032" spans="1:21" x14ac:dyDescent="0.25">
      <c r="A1032" s="4" t="str">
        <f t="shared" si="219"/>
        <v>20248</v>
      </c>
      <c r="B1032" s="4" t="s">
        <v>20</v>
      </c>
      <c r="C1032" s="4" t="s">
        <v>21</v>
      </c>
      <c r="D1032" s="29" t="s">
        <v>55</v>
      </c>
      <c r="E1032" s="28">
        <v>45533</v>
      </c>
      <c r="F1032" s="4">
        <v>9</v>
      </c>
      <c r="G1032" s="4">
        <v>3</v>
      </c>
      <c r="H1032" s="6">
        <v>5000000</v>
      </c>
      <c r="I1032" s="6">
        <f t="shared" si="217"/>
        <v>321966.66666666663</v>
      </c>
      <c r="J1032" s="6">
        <v>0</v>
      </c>
      <c r="K1032" s="6">
        <v>0</v>
      </c>
      <c r="L1032" s="6">
        <f t="shared" si="209"/>
        <v>168364</v>
      </c>
      <c r="M1032" s="7">
        <v>1.6098333333333333E-2</v>
      </c>
      <c r="N1032" s="7">
        <v>1.6098333333333333E-2</v>
      </c>
      <c r="O1032" s="7">
        <f t="shared" si="213"/>
        <v>0</v>
      </c>
      <c r="P1032" s="6">
        <f t="shared" si="208"/>
        <v>5490330.666666667</v>
      </c>
      <c r="Q1032" s="6">
        <f t="shared" si="214"/>
        <v>15000000</v>
      </c>
      <c r="R1032" s="4" t="str">
        <f t="shared" ca="1" si="215"/>
        <v>OK</v>
      </c>
      <c r="S1032" s="6">
        <v>5285825</v>
      </c>
      <c r="T1032" s="5">
        <v>45533</v>
      </c>
      <c r="U1032" s="30" t="str">
        <f t="shared" si="218"/>
        <v>PAGADO</v>
      </c>
    </row>
    <row r="1033" spans="1:21" x14ac:dyDescent="0.25">
      <c r="A1033" s="4" t="str">
        <f t="shared" si="219"/>
        <v>20249</v>
      </c>
      <c r="B1033" s="4" t="s">
        <v>20</v>
      </c>
      <c r="C1033" s="4" t="s">
        <v>21</v>
      </c>
      <c r="D1033" s="29" t="s">
        <v>55</v>
      </c>
      <c r="E1033" s="28">
        <v>45564</v>
      </c>
      <c r="F1033" s="4">
        <v>10</v>
      </c>
      <c r="G1033" s="4">
        <v>2</v>
      </c>
      <c r="H1033" s="6">
        <v>5000000</v>
      </c>
      <c r="I1033" s="6">
        <f t="shared" si="217"/>
        <v>241475</v>
      </c>
      <c r="J1033" s="6">
        <v>0</v>
      </c>
      <c r="K1033" s="6">
        <v>0</v>
      </c>
      <c r="L1033" s="6">
        <f t="shared" si="209"/>
        <v>204505.66666666698</v>
      </c>
      <c r="M1033" s="7">
        <v>1.6098333333333333E-2</v>
      </c>
      <c r="N1033" s="7">
        <v>1.6098333333333333E-2</v>
      </c>
      <c r="O1033" s="7">
        <f t="shared" si="213"/>
        <v>0</v>
      </c>
      <c r="P1033" s="6">
        <f t="shared" si="208"/>
        <v>5445980.666666667</v>
      </c>
      <c r="Q1033" s="6">
        <f t="shared" si="214"/>
        <v>10000000</v>
      </c>
      <c r="R1033" s="4">
        <f t="shared" ca="1" si="215"/>
        <v>-26</v>
      </c>
      <c r="S1033" s="6"/>
      <c r="T1033" s="5"/>
      <c r="U1033" s="30" t="str">
        <f t="shared" si="218"/>
        <v>PENDIENTE</v>
      </c>
    </row>
    <row r="1034" spans="1:21" x14ac:dyDescent="0.25">
      <c r="A1034" s="4" t="str">
        <f t="shared" si="219"/>
        <v>202410</v>
      </c>
      <c r="B1034" s="4" t="s">
        <v>20</v>
      </c>
      <c r="C1034" s="4" t="s">
        <v>21</v>
      </c>
      <c r="D1034" s="29" t="s">
        <v>55</v>
      </c>
      <c r="E1034" s="28">
        <v>45594</v>
      </c>
      <c r="F1034" s="4">
        <v>11</v>
      </c>
      <c r="G1034" s="4">
        <v>1</v>
      </c>
      <c r="H1034" s="6">
        <v>5000000</v>
      </c>
      <c r="I1034" s="6">
        <f t="shared" si="217"/>
        <v>160983.33333333331</v>
      </c>
      <c r="J1034" s="6">
        <v>0</v>
      </c>
      <c r="K1034" s="6">
        <v>0</v>
      </c>
      <c r="L1034" s="6">
        <f t="shared" si="209"/>
        <v>0</v>
      </c>
      <c r="M1034" s="7">
        <v>1.6098333333333333E-2</v>
      </c>
      <c r="N1034" s="7">
        <v>1.6098333333333333E-2</v>
      </c>
      <c r="O1034" s="7">
        <f t="shared" si="213"/>
        <v>0</v>
      </c>
      <c r="P1034" s="6">
        <f t="shared" ref="P1034:P1035" si="220">IFERROR(H1034+I1034+J1034+K1034+L1034,"")</f>
        <v>5160983.333333333</v>
      </c>
      <c r="Q1034" s="6">
        <f t="shared" si="214"/>
        <v>5000000</v>
      </c>
      <c r="R1034" s="4">
        <f t="shared" ca="1" si="215"/>
        <v>-26</v>
      </c>
      <c r="S1034" s="6"/>
      <c r="T1034" s="5"/>
      <c r="U1034" s="30" t="str">
        <f t="shared" si="218"/>
        <v>PENDIENTE</v>
      </c>
    </row>
    <row r="1035" spans="1:21" x14ac:dyDescent="0.25">
      <c r="A1035" s="4" t="str">
        <f t="shared" si="219"/>
        <v>202411</v>
      </c>
      <c r="B1035" s="4" t="s">
        <v>20</v>
      </c>
      <c r="C1035" s="4" t="s">
        <v>21</v>
      </c>
      <c r="D1035" s="37" t="s">
        <v>55</v>
      </c>
      <c r="E1035" s="38">
        <v>45625</v>
      </c>
      <c r="F1035" s="39">
        <v>12</v>
      </c>
      <c r="G1035" s="39">
        <v>0</v>
      </c>
      <c r="H1035" s="40">
        <v>5000000</v>
      </c>
      <c r="I1035" s="40">
        <f t="shared" si="217"/>
        <v>80491.666666666657</v>
      </c>
      <c r="J1035" s="40">
        <v>0</v>
      </c>
      <c r="K1035" s="40">
        <v>0</v>
      </c>
      <c r="L1035" s="40">
        <f t="shared" si="209"/>
        <v>0</v>
      </c>
      <c r="M1035" s="41">
        <v>1.6098333333333333E-2</v>
      </c>
      <c r="N1035" s="41">
        <v>1.6098333333333333E-2</v>
      </c>
      <c r="O1035" s="41">
        <f t="shared" si="213"/>
        <v>0</v>
      </c>
      <c r="P1035" s="40">
        <f t="shared" si="220"/>
        <v>5080491.666666667</v>
      </c>
      <c r="Q1035" s="40">
        <f t="shared" si="214"/>
        <v>0</v>
      </c>
      <c r="R1035" s="39">
        <f t="shared" ca="1" si="215"/>
        <v>-56</v>
      </c>
      <c r="S1035" s="40"/>
      <c r="T1035" s="42"/>
      <c r="U1035" s="43" t="str">
        <f t="shared" si="218"/>
        <v>PENDIENTE</v>
      </c>
    </row>
  </sheetData>
  <conditionalFormatting sqref="L1">
    <cfRule type="cellIs" dxfId="32" priority="1" operator="lessThan">
      <formula>0</formula>
    </cfRule>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Metrica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cris7james10@gmail.com</cp:lastModifiedBy>
  <dcterms:created xsi:type="dcterms:W3CDTF">2024-09-02T21:02:00Z</dcterms:created>
  <dcterms:modified xsi:type="dcterms:W3CDTF">2024-09-03T05:36:53Z</dcterms:modified>
</cp:coreProperties>
</file>